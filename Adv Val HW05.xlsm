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tevenyang/Downloads/"/>
    </mc:Choice>
  </mc:AlternateContent>
  <xr:revisionPtr revIDLastSave="0" documentId="13_ncr:1_{92B8812B-3CD1-F840-93FA-6BBF9AA1EF33}" xr6:coauthVersionLast="47" xr6:coauthVersionMax="47" xr10:uidLastSave="{00000000-0000-0000-0000-000000000000}"/>
  <bookViews>
    <workbookView xWindow="4420" yWindow="1280" windowWidth="25820" windowHeight="17200" xr2:uid="{00000000-000D-0000-FFFF-FFFF00000000}"/>
  </bookViews>
  <sheets>
    <sheet name="PortfolioTemp" sheetId="3" r:id="rId1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4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anscount" hidden="1">3</definedName>
    <definedName name="CBWorkbookPriority" localSheetId="0" hidden="1">-1497752417</definedName>
    <definedName name="CBWorkbookPriority" hidden="1">-273698591</definedName>
    <definedName name="lambda">PortfolioTemp!$E$18</definedName>
    <definedName name="MRP">PortfolioTemp!$D$2</definedName>
    <definedName name="Pal_Workbook_GUID" hidden="1">"VIHB58PDALXSR3WDIX8QFXS5"</definedName>
    <definedName name="PI">PortfolioTemp!$F$6:$F$13</definedName>
    <definedName name="RiskAfterRecalcMacro" hidden="1">""</definedName>
    <definedName name="RiskAfterSimMacro" hidden="1">"DisplaySampleData"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TRUE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ncount" hidden="1">3</definedName>
    <definedName name="Sigma">PortfolioTemp!$H$6:$O$13</definedName>
    <definedName name="solver_adj" localSheetId="0" hidden="1">PortfolioTemp!$H$24:$O$24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PortfolioTemp!$H$24:$O$24</definedName>
    <definedName name="solver_lhs2" localSheetId="0" hidden="1">PortfolioTemp!$H$24:$O$24</definedName>
    <definedName name="solver_lhs3" localSheetId="0" hidden="1">PortfolioTemp!$P$24</definedName>
    <definedName name="solver_lhs4" localSheetId="0" hidden="1">PortfolioTemp!$I$28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PortfolioTemp!$I$30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2</definedName>
    <definedName name="solver_rel4" localSheetId="0" hidden="1">2</definedName>
    <definedName name="solver_rhs1" localSheetId="0" hidden="1">1</definedName>
    <definedName name="solver_rhs2" localSheetId="0" hidden="1">0</definedName>
    <definedName name="solver_rhs3" localSheetId="0" hidden="1">1</definedName>
    <definedName name="solver_rhs4" localSheetId="0" hidden="1">PortfolioTemp!$K$28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  <definedName name="VarP">PortfolioTemp!$E$16</definedName>
    <definedName name="w" localSheetId="0">PortfolioTemp!$D$6:$D$13</definedName>
    <definedName name="wt">PortfolioTemp!$H$16:$O$16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5" i="3" l="1"/>
  <c r="L54" i="3"/>
  <c r="K54" i="3"/>
  <c r="I55" i="3"/>
  <c r="H55" i="3"/>
  <c r="I54" i="3"/>
  <c r="H54" i="3"/>
  <c r="I29" i="3" a="1"/>
  <c r="I29" i="3" s="1"/>
  <c r="I30" i="3" s="1"/>
  <c r="E16" i="3" a="1"/>
  <c r="E16" i="3" s="1"/>
  <c r="E15" i="3"/>
  <c r="P24" i="3"/>
  <c r="E17" i="3" l="1"/>
  <c r="E18" i="3"/>
  <c r="F6" i="3" s="1" a="1"/>
  <c r="F6" i="3" s="1"/>
  <c r="F15" i="3" s="1"/>
  <c r="H16" i="3" l="1" a="1"/>
  <c r="K16" i="3" s="1"/>
  <c r="J16" i="3" l="1"/>
  <c r="N16" i="3"/>
  <c r="I16" i="3"/>
  <c r="M16" i="3"/>
  <c r="H16" i="3"/>
  <c r="O16" i="3"/>
  <c r="L16" i="3"/>
  <c r="H21" i="3" l="1" a="1"/>
  <c r="I21" i="3" l="1"/>
  <c r="L21" i="3"/>
  <c r="N21" i="3"/>
  <c r="H21" i="3"/>
  <c r="J21" i="3"/>
  <c r="O21" i="3"/>
  <c r="M21" i="3"/>
  <c r="K21" i="3"/>
  <c r="G33" i="3" l="1"/>
  <c r="G34" i="3" s="1"/>
  <c r="G35" i="3" s="1"/>
  <c r="I28" i="3"/>
  <c r="M28" i="3" s="1"/>
  <c r="G36" i="3" l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<sst xmlns="http://schemas.openxmlformats.org/spreadsheetml/2006/main" count="45" uniqueCount="41">
  <si>
    <t>Portfolio Properties</t>
  </si>
  <si>
    <t>Req'd Return</t>
  </si>
  <si>
    <t>Return</t>
  </si>
  <si>
    <t>Variance</t>
  </si>
  <si>
    <t>Std. Dev</t>
  </si>
  <si>
    <t>=</t>
  </si>
  <si>
    <t>US Bond</t>
  </si>
  <si>
    <t>Intl Bond</t>
  </si>
  <si>
    <t>Lg Gr</t>
  </si>
  <si>
    <t>Lg Val</t>
  </si>
  <si>
    <t>Sm Gr</t>
  </si>
  <si>
    <t>Sm Val</t>
  </si>
  <si>
    <t>Dev</t>
  </si>
  <si>
    <t>Emerg</t>
  </si>
  <si>
    <t>w = 8 x 1</t>
  </si>
  <si>
    <r>
      <t xml:space="preserve">Historical </t>
    </r>
    <r>
      <rPr>
        <b/>
        <sz val="10"/>
        <rFont val="Symbol"/>
        <family val="1"/>
        <charset val="2"/>
      </rPr>
      <t>m</t>
    </r>
  </si>
  <si>
    <t>Sigma = 8 x 8</t>
  </si>
  <si>
    <t>US Bonds</t>
  </si>
  <si>
    <t>Int'l Bonds</t>
  </si>
  <si>
    <t>US Lg Growth</t>
  </si>
  <si>
    <t>US Lg Value</t>
  </si>
  <si>
    <t>US Sm Growth</t>
  </si>
  <si>
    <t>US Sm Value</t>
  </si>
  <si>
    <t>Int'l Dev Eq</t>
  </si>
  <si>
    <t>Int'l Emerg Eq</t>
  </si>
  <si>
    <r>
      <t>s</t>
    </r>
    <r>
      <rPr>
        <vertAlign val="superscript"/>
        <sz val="10"/>
        <rFont val="Symbol"/>
        <family val="1"/>
        <charset val="2"/>
      </rPr>
      <t>2</t>
    </r>
  </si>
  <si>
    <t>s</t>
  </si>
  <si>
    <t>l</t>
  </si>
  <si>
    <t>Market Risk Premium</t>
  </si>
  <si>
    <r>
      <t>w</t>
    </r>
    <r>
      <rPr>
        <b/>
        <vertAlign val="superscript"/>
        <sz val="10"/>
        <rFont val="Times New Roman"/>
        <family val="1"/>
      </rPr>
      <t>t</t>
    </r>
    <r>
      <rPr>
        <b/>
        <sz val="10"/>
        <rFont val="Times New Roman"/>
        <family val="1"/>
      </rPr>
      <t xml:space="preserve"> = transpose(w) = 1 x 8</t>
    </r>
  </si>
  <si>
    <t>Optimal Portfolio Weights</t>
  </si>
  <si>
    <r>
      <t xml:space="preserve">P </t>
    </r>
    <r>
      <rPr>
        <b/>
        <sz val="10"/>
        <rFont val="Times New Roman"/>
        <family val="1"/>
      </rPr>
      <t>( Implied E[r</t>
    </r>
    <r>
      <rPr>
        <b/>
        <vertAlign val="subscript"/>
        <sz val="10"/>
        <rFont val="Times New Roman"/>
        <family val="1"/>
      </rPr>
      <t>i</t>
    </r>
    <r>
      <rPr>
        <b/>
        <sz val="10"/>
        <rFont val="Times New Roman"/>
        <family val="1"/>
      </rPr>
      <t>-r</t>
    </r>
    <r>
      <rPr>
        <b/>
        <vertAlign val="subscript"/>
        <sz val="10"/>
        <rFont val="Times New Roman"/>
        <family val="1"/>
      </rPr>
      <t>f</t>
    </r>
    <r>
      <rPr>
        <b/>
        <sz val="10"/>
        <rFont val="Times New Roman"/>
        <family val="1"/>
      </rPr>
      <t>])</t>
    </r>
  </si>
  <si>
    <r>
      <t>P</t>
    </r>
    <r>
      <rPr>
        <b/>
        <vertAlign val="superscript"/>
        <sz val="10"/>
        <rFont val="Times New Roman"/>
        <family val="1"/>
      </rPr>
      <t>t</t>
    </r>
    <r>
      <rPr>
        <b/>
        <sz val="10"/>
        <rFont val="Symbol"/>
        <family val="1"/>
        <charset val="2"/>
      </rPr>
      <t xml:space="preserve"> </t>
    </r>
    <r>
      <rPr>
        <b/>
        <sz val="10"/>
        <rFont val="Times New Roman"/>
        <family val="1"/>
      </rPr>
      <t>( Implied E[</t>
    </r>
    <r>
      <rPr>
        <sz val="10"/>
        <rFont val="Times New Roman"/>
        <family val="1"/>
      </rPr>
      <t>r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>-r</t>
    </r>
    <r>
      <rPr>
        <vertAlign val="subscript"/>
        <sz val="10"/>
        <rFont val="Times New Roman"/>
        <family val="1"/>
      </rPr>
      <t>f</t>
    </r>
    <r>
      <rPr>
        <sz val="10"/>
        <rFont val="Times New Roman"/>
        <family val="1"/>
      </rPr>
      <t>]</t>
    </r>
    <r>
      <rPr>
        <b/>
        <sz val="10"/>
        <rFont val="Times New Roman"/>
        <family val="1"/>
      </rPr>
      <t xml:space="preserve"> )</t>
    </r>
  </si>
  <si>
    <t>Sharpe Ratio</t>
  </si>
  <si>
    <t>Excess Return</t>
  </si>
  <si>
    <t>Opt Risk</t>
  </si>
  <si>
    <t>Opt Return</t>
  </si>
  <si>
    <t>lamda</t>
  </si>
  <si>
    <t>degree of risk aversion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</si>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</sst>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"/>
    <numFmt numFmtId="166" formatCode="0.000000"/>
    <numFmt numFmtId="167" formatCode="0.0000%"/>
  </numFmts>
  <fonts count="1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Geneva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Symbol"/>
      <family val="1"/>
      <charset val="2"/>
    </font>
    <font>
      <b/>
      <sz val="10"/>
      <color rgb="FF008000"/>
      <name val="Times New Roman"/>
      <family val="1"/>
    </font>
    <font>
      <sz val="10"/>
      <name val="Symbol"/>
      <family val="1"/>
      <charset val="2"/>
    </font>
    <font>
      <vertAlign val="superscript"/>
      <sz val="10"/>
      <name val="Symbol"/>
      <family val="1"/>
      <charset val="2"/>
    </font>
    <font>
      <b/>
      <sz val="10"/>
      <color rgb="FFFF000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Times New Roman"/>
      <family val="1"/>
    </font>
    <font>
      <b/>
      <vertAlign val="subscript"/>
      <sz val="10"/>
      <name val="Times New Roman"/>
      <family val="1"/>
    </font>
    <font>
      <vertAlign val="subscript"/>
      <sz val="1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1" fillId="0" borderId="0"/>
    <xf numFmtId="0" fontId="3" fillId="0" borderId="0"/>
  </cellStyleXfs>
  <cellXfs count="66">
    <xf numFmtId="0" fontId="0" fillId="0" borderId="0" xfId="0"/>
    <xf numFmtId="166" fontId="5" fillId="0" borderId="0" xfId="0" applyNumberFormat="1" applyFont="1" applyAlignment="1">
      <alignment horizontal="right" vertical="center"/>
    </xf>
    <xf numFmtId="166" fontId="5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left" vertical="center"/>
    </xf>
    <xf numFmtId="10" fontId="5" fillId="0" borderId="0" xfId="1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left" vertical="center"/>
    </xf>
    <xf numFmtId="165" fontId="4" fillId="0" borderId="12" xfId="0" applyNumberFormat="1" applyFont="1" applyBorder="1" applyAlignment="1">
      <alignment horizontal="center" vertical="center"/>
    </xf>
    <xf numFmtId="165" fontId="4" fillId="0" borderId="13" xfId="0" applyNumberFormat="1" applyFont="1" applyBorder="1" applyAlignment="1">
      <alignment horizontal="center" vertical="center"/>
    </xf>
    <xf numFmtId="165" fontId="4" fillId="0" borderId="14" xfId="0" applyNumberFormat="1" applyFont="1" applyBorder="1" applyAlignment="1">
      <alignment horizontal="right" vertical="center"/>
    </xf>
    <xf numFmtId="165" fontId="7" fillId="0" borderId="9" xfId="0" applyNumberFormat="1" applyFont="1" applyBorder="1" applyAlignment="1">
      <alignment horizontal="center" vertical="center"/>
    </xf>
    <xf numFmtId="10" fontId="7" fillId="0" borderId="0" xfId="1" applyNumberFormat="1" applyFont="1" applyAlignment="1">
      <alignment horizontal="center" vertical="center"/>
    </xf>
    <xf numFmtId="165" fontId="7" fillId="0" borderId="10" xfId="0" applyNumberFormat="1" applyFont="1" applyBorder="1" applyAlignment="1">
      <alignment horizontal="center" vertical="center"/>
    </xf>
    <xf numFmtId="165" fontId="7" fillId="0" borderId="11" xfId="0" applyNumberFormat="1" applyFont="1" applyBorder="1" applyAlignment="1">
      <alignment horizontal="center" vertical="center"/>
    </xf>
    <xf numFmtId="166" fontId="7" fillId="0" borderId="1" xfId="0" applyNumberFormat="1" applyFont="1" applyBorder="1" applyAlignment="1">
      <alignment horizontal="center" vertical="center"/>
    </xf>
    <xf numFmtId="166" fontId="7" fillId="0" borderId="2" xfId="0" applyNumberFormat="1" applyFont="1" applyBorder="1" applyAlignment="1">
      <alignment horizontal="center" vertical="center"/>
    </xf>
    <xf numFmtId="166" fontId="7" fillId="0" borderId="3" xfId="0" applyNumberFormat="1" applyFont="1" applyBorder="1" applyAlignment="1">
      <alignment horizontal="center" vertical="center"/>
    </xf>
    <xf numFmtId="166" fontId="7" fillId="0" borderId="4" xfId="0" applyNumberFormat="1" applyFont="1" applyBorder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6" fontId="7" fillId="0" borderId="5" xfId="0" applyNumberFormat="1" applyFont="1" applyBorder="1" applyAlignment="1">
      <alignment horizontal="center" vertical="center"/>
    </xf>
    <xf numFmtId="166" fontId="7" fillId="0" borderId="6" xfId="0" applyNumberFormat="1" applyFont="1" applyBorder="1" applyAlignment="1">
      <alignment horizontal="center" vertical="center"/>
    </xf>
    <xf numFmtId="166" fontId="7" fillId="0" borderId="7" xfId="0" applyNumberFormat="1" applyFont="1" applyBorder="1" applyAlignment="1">
      <alignment horizontal="center" vertical="center"/>
    </xf>
    <xf numFmtId="166" fontId="7" fillId="0" borderId="8" xfId="0" applyNumberFormat="1" applyFont="1" applyBorder="1" applyAlignment="1">
      <alignment horizontal="center" vertical="center"/>
    </xf>
    <xf numFmtId="10" fontId="5" fillId="2" borderId="0" xfId="1" applyNumberFormat="1" applyFont="1" applyFill="1" applyAlignment="1">
      <alignment horizontal="center" vertical="center"/>
    </xf>
    <xf numFmtId="166" fontId="10" fillId="2" borderId="0" xfId="0" applyNumberFormat="1" applyFont="1" applyFill="1" applyAlignment="1">
      <alignment horizontal="center" vertical="center"/>
    </xf>
    <xf numFmtId="0" fontId="5" fillId="0" borderId="0" xfId="0" applyFont="1"/>
    <xf numFmtId="0" fontId="12" fillId="0" borderId="0" xfId="0" applyFont="1"/>
    <xf numFmtId="0" fontId="5" fillId="0" borderId="0" xfId="0" applyFont="1" applyAlignment="1">
      <alignment horizontal="center"/>
    </xf>
    <xf numFmtId="164" fontId="5" fillId="3" borderId="0" xfId="1" applyNumberFormat="1" applyFont="1" applyFill="1" applyProtection="1">
      <protection locked="0"/>
    </xf>
    <xf numFmtId="164" fontId="5" fillId="0" borderId="0" xfId="1" applyNumberFormat="1" applyFont="1"/>
    <xf numFmtId="10" fontId="5" fillId="0" borderId="15" xfId="1" applyNumberFormat="1" applyFont="1" applyBorder="1" applyProtection="1">
      <protection locked="0"/>
    </xf>
    <xf numFmtId="10" fontId="5" fillId="0" borderId="16" xfId="1" applyNumberFormat="1" applyFont="1" applyBorder="1" applyProtection="1">
      <protection locked="0"/>
    </xf>
    <xf numFmtId="10" fontId="5" fillId="0" borderId="16" xfId="1" applyNumberFormat="1" applyFont="1" applyBorder="1"/>
    <xf numFmtId="10" fontId="5" fillId="0" borderId="17" xfId="1" applyNumberFormat="1" applyFont="1" applyBorder="1"/>
    <xf numFmtId="10" fontId="5" fillId="0" borderId="18" xfId="1" applyNumberFormat="1" applyFont="1" applyBorder="1" applyAlignment="1">
      <alignment vertical="center"/>
    </xf>
    <xf numFmtId="10" fontId="5" fillId="0" borderId="19" xfId="1" applyNumberFormat="1" applyFont="1" applyBorder="1" applyAlignment="1">
      <alignment vertical="center"/>
    </xf>
    <xf numFmtId="10" fontId="5" fillId="0" borderId="20" xfId="1" applyNumberFormat="1" applyFont="1" applyBorder="1" applyAlignment="1">
      <alignment vertical="center"/>
    </xf>
    <xf numFmtId="10" fontId="5" fillId="0" borderId="21" xfId="1" applyNumberFormat="1" applyFont="1" applyBorder="1" applyAlignment="1">
      <alignment vertical="center"/>
    </xf>
    <xf numFmtId="10" fontId="5" fillId="0" borderId="22" xfId="1" applyNumberFormat="1" applyFont="1" applyBorder="1" applyAlignment="1">
      <alignment vertical="center"/>
    </xf>
    <xf numFmtId="10" fontId="5" fillId="0" borderId="23" xfId="1" applyNumberFormat="1" applyFont="1" applyBorder="1" applyAlignment="1">
      <alignment vertical="center"/>
    </xf>
    <xf numFmtId="10" fontId="5" fillId="0" borderId="24" xfId="1" applyNumberFormat="1" applyFont="1" applyBorder="1" applyAlignment="1">
      <alignment vertical="center"/>
    </xf>
    <xf numFmtId="10" fontId="5" fillId="0" borderId="25" xfId="1" applyNumberFormat="1" applyFont="1" applyBorder="1" applyAlignment="1">
      <alignment vertical="center"/>
    </xf>
    <xf numFmtId="167" fontId="5" fillId="0" borderId="26" xfId="1" applyNumberFormat="1" applyFont="1" applyBorder="1" applyAlignment="1">
      <alignment horizontal="center" vertical="center"/>
    </xf>
    <xf numFmtId="166" fontId="5" fillId="4" borderId="0" xfId="0" applyNumberFormat="1" applyFont="1" applyFill="1" applyAlignment="1">
      <alignment horizontal="right" vertical="center"/>
    </xf>
    <xf numFmtId="166" fontId="5" fillId="4" borderId="0" xfId="0" applyNumberFormat="1" applyFont="1" applyFill="1" applyAlignment="1">
      <alignment horizontal="center" vertical="center"/>
    </xf>
    <xf numFmtId="166" fontId="6" fillId="0" borderId="0" xfId="0" applyNumberFormat="1" applyFont="1" applyAlignment="1">
      <alignment horizontal="center" vertical="center" wrapText="1"/>
    </xf>
    <xf numFmtId="166" fontId="5" fillId="0" borderId="0" xfId="0" applyNumberFormat="1" applyFont="1" applyAlignment="1">
      <alignment vertical="center"/>
    </xf>
    <xf numFmtId="10" fontId="4" fillId="0" borderId="0" xfId="1" applyNumberFormat="1" applyFont="1" applyAlignment="1">
      <alignment horizontal="center" vertical="center"/>
    </xf>
    <xf numFmtId="10" fontId="4" fillId="2" borderId="0" xfId="1" applyNumberFormat="1" applyFont="1" applyFill="1" applyProtection="1">
      <protection hidden="1"/>
    </xf>
    <xf numFmtId="167" fontId="4" fillId="2" borderId="0" xfId="1" applyNumberFormat="1" applyFont="1" applyFill="1" applyProtection="1">
      <protection hidden="1"/>
    </xf>
    <xf numFmtId="167" fontId="4" fillId="0" borderId="0" xfId="1" applyNumberFormat="1" applyFont="1" applyProtection="1">
      <protection hidden="1"/>
    </xf>
    <xf numFmtId="0" fontId="5" fillId="5" borderId="0" xfId="0" applyFont="1" applyFill="1" applyAlignment="1">
      <alignment horizontal="center" vertical="center"/>
    </xf>
    <xf numFmtId="166" fontId="5" fillId="5" borderId="0" xfId="0" applyNumberFormat="1" applyFont="1" applyFill="1" applyAlignment="1">
      <alignment horizontal="center" vertical="center"/>
    </xf>
    <xf numFmtId="166" fontId="5" fillId="5" borderId="0" xfId="0" applyNumberFormat="1" applyFont="1" applyFill="1" applyAlignment="1">
      <alignment horizontal="right" vertical="center"/>
    </xf>
    <xf numFmtId="9" fontId="5" fillId="6" borderId="0" xfId="1" applyFont="1" applyFill="1" applyAlignment="1">
      <alignment horizontal="right" vertical="center"/>
    </xf>
    <xf numFmtId="10" fontId="5" fillId="0" borderId="0" xfId="1" applyNumberFormat="1" applyFont="1" applyBorder="1" applyAlignment="1">
      <alignment vertical="center"/>
    </xf>
    <xf numFmtId="10" fontId="5" fillId="0" borderId="0" xfId="1" applyNumberFormat="1" applyFont="1" applyBorder="1" applyAlignment="1" applyProtection="1">
      <protection locked="0"/>
    </xf>
    <xf numFmtId="166" fontId="5" fillId="0" borderId="1" xfId="0" applyNumberFormat="1" applyFont="1" applyBorder="1" applyAlignment="1">
      <alignment horizontal="center" vertical="center"/>
    </xf>
    <xf numFmtId="166" fontId="5" fillId="0" borderId="3" xfId="0" applyNumberFormat="1" applyFont="1" applyBorder="1" applyAlignment="1">
      <alignment horizontal="center" vertical="center"/>
    </xf>
    <xf numFmtId="166" fontId="5" fillId="0" borderId="6" xfId="0" applyNumberFormat="1" applyFont="1" applyBorder="1" applyAlignment="1">
      <alignment horizontal="center" vertical="center"/>
    </xf>
    <xf numFmtId="166" fontId="5" fillId="0" borderId="8" xfId="0" applyNumberFormat="1" applyFont="1" applyBorder="1" applyAlignment="1">
      <alignment horizontal="center" vertical="center"/>
    </xf>
  </cellXfs>
  <cellStyles count="4">
    <cellStyle name="Normal" xfId="0" builtinId="0"/>
    <cellStyle name="Normal 4" xfId="3" xr:uid="{00000000-0005-0000-0000-000001000000}"/>
    <cellStyle name="Normal 6 2" xfId="2" xr:uid="{00000000-0005-0000-0000-000002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Frontier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PortfolioTemp!$F$33:$F$50</c:f>
              <c:numCache>
                <c:formatCode>0.00%</c:formatCode>
                <c:ptCount val="18"/>
                <c:pt idx="0">
                  <c:v>3.1701735591042439E-2</c:v>
                </c:pt>
                <c:pt idx="1">
                  <c:v>3.0978530317769405E-2</c:v>
                </c:pt>
                <c:pt idx="2">
                  <c:v>3.7707310596994628E-2</c:v>
                </c:pt>
                <c:pt idx="3">
                  <c:v>4.8396223108494701E-2</c:v>
                </c:pt>
                <c:pt idx="4">
                  <c:v>6.0965323276969047E-2</c:v>
                </c:pt>
                <c:pt idx="5">
                  <c:v>7.4387397978619624E-2</c:v>
                </c:pt>
                <c:pt idx="6">
                  <c:v>8.8301854192862142E-2</c:v>
                </c:pt>
                <c:pt idx="7">
                  <c:v>0.10249515570397051</c:v>
                </c:pt>
                <c:pt idx="8">
                  <c:v>0.11686932017394126</c:v>
                </c:pt>
                <c:pt idx="9">
                  <c:v>0.13160998229434898</c:v>
                </c:pt>
                <c:pt idx="10">
                  <c:v>0.1471499859678036</c:v>
                </c:pt>
                <c:pt idx="11">
                  <c:v>0.1632909266498965</c:v>
                </c:pt>
                <c:pt idx="12">
                  <c:v>0.17987171621907355</c:v>
                </c:pt>
                <c:pt idx="13">
                  <c:v>0.19778665113046418</c:v>
                </c:pt>
                <c:pt idx="14">
                  <c:v>0.21835013617864504</c:v>
                </c:pt>
                <c:pt idx="15">
                  <c:v>0.24141970607031177</c:v>
                </c:pt>
                <c:pt idx="16">
                  <c:v>0.27226559718615212</c:v>
                </c:pt>
                <c:pt idx="17">
                  <c:v>0.3201374652129938</c:v>
                </c:pt>
              </c:numCache>
            </c:numRef>
          </c:xVal>
          <c:yVal>
            <c:numRef>
              <c:f>PortfolioTemp!$G$33:$G$50</c:f>
              <c:numCache>
                <c:formatCode>0.0%</c:formatCode>
                <c:ptCount val="18"/>
                <c:pt idx="0">
                  <c:v>1.6570452017123335E-3</c:v>
                </c:pt>
                <c:pt idx="1">
                  <c:v>1.0300898067473203E-2</c:v>
                </c:pt>
                <c:pt idx="2">
                  <c:v>1.8944750933234073E-2</c:v>
                </c:pt>
                <c:pt idx="3">
                  <c:v>2.7588603798994943E-2</c:v>
                </c:pt>
                <c:pt idx="4">
                  <c:v>3.6232456664755816E-2</c:v>
                </c:pt>
                <c:pt idx="5">
                  <c:v>4.4876309530516689E-2</c:v>
                </c:pt>
                <c:pt idx="6">
                  <c:v>5.3520162396277562E-2</c:v>
                </c:pt>
                <c:pt idx="7">
                  <c:v>6.2164015262038436E-2</c:v>
                </c:pt>
                <c:pt idx="8">
                  <c:v>7.0807868127799309E-2</c:v>
                </c:pt>
                <c:pt idx="9">
                  <c:v>7.9451720993560182E-2</c:v>
                </c:pt>
                <c:pt idx="10">
                  <c:v>8.8095573859321055E-2</c:v>
                </c:pt>
                <c:pt idx="11">
                  <c:v>9.6739426725081928E-2</c:v>
                </c:pt>
                <c:pt idx="12">
                  <c:v>0.1053832795908428</c:v>
                </c:pt>
                <c:pt idx="13">
                  <c:v>0.11402713245660367</c:v>
                </c:pt>
                <c:pt idx="14">
                  <c:v>0.12267098532236455</c:v>
                </c:pt>
                <c:pt idx="15">
                  <c:v>0.13131483818812542</c:v>
                </c:pt>
                <c:pt idx="16">
                  <c:v>0.13995869105388628</c:v>
                </c:pt>
                <c:pt idx="17">
                  <c:v>0.14860254391964714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FF-6E4E-A393-57CC25869ED6}"/>
            </c:ext>
          </c:extLst>
        </c:ser>
        <c:ser>
          <c:idx val="1"/>
          <c:order val="1"/>
          <c:tx>
            <c:v>Optimal Portfolio</c:v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xVal>
            <c:numRef>
              <c:f>PortfolioTemp!$N$28</c:f>
              <c:numCache>
                <c:formatCode>0.000000</c:formatCode>
                <c:ptCount val="1"/>
                <c:pt idx="0">
                  <c:v>9.892170465099763E-2</c:v>
                </c:pt>
              </c:numCache>
            </c:numRef>
          </c:xVal>
          <c:yVal>
            <c:numRef>
              <c:f>PortfolioTemp!$O$28</c:f>
              <c:numCache>
                <c:formatCode>0.000000</c:formatCode>
                <c:ptCount val="1"/>
                <c:pt idx="0">
                  <c:v>6.0000140372509864E-2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AFF-6E4E-A393-57CC25869ED6}"/>
            </c:ext>
          </c:extLst>
        </c:ser>
        <c:ser>
          <c:idx val="2"/>
          <c:order val="2"/>
          <c:spPr>
            <a:ln w="25400" cap="rnd">
              <a:solidFill>
                <a:schemeClr val="accent1">
                  <a:shade val="15000"/>
                </a:schemeClr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PortfolioTemp!$H$54:$H$55</c:f>
              <c:numCache>
                <c:formatCode>0.000000</c:formatCode>
                <c:ptCount val="2"/>
                <c:pt idx="0">
                  <c:v>9.892170465099763E-2</c:v>
                </c:pt>
                <c:pt idx="1">
                  <c:v>9.892170465099763E-2</c:v>
                </c:pt>
              </c:numCache>
            </c:numRef>
          </c:xVal>
          <c:yVal>
            <c:numRef>
              <c:f>PortfolioTemp!$I$54:$I$55</c:f>
              <c:numCache>
                <c:formatCode>0.000000</c:formatCode>
                <c:ptCount val="2"/>
                <c:pt idx="0">
                  <c:v>0</c:v>
                </c:pt>
                <c:pt idx="1">
                  <c:v>6.0000140372509864E-2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AFF-6E4E-A393-57CC25869ED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1"/>
            <c:bubble3D val="0"/>
            <c:spPr>
              <a:ln w="25400" cap="rnd">
                <a:solidFill>
                  <a:schemeClr val="accent1">
                    <a:shade val="1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CAFF-6E4E-A393-57CC25869ED6}"/>
              </c:ext>
            </c:extLst>
          </c:dPt>
          <c:xVal>
            <c:numRef>
              <c:f>PortfolioTemp!$K$54:$K$55</c:f>
              <c:numCache>
                <c:formatCode>0.000000</c:formatCode>
                <c:ptCount val="2"/>
                <c:pt idx="0">
                  <c:v>9.892170465099763E-2</c:v>
                </c:pt>
                <c:pt idx="1">
                  <c:v>0</c:v>
                </c:pt>
              </c:numCache>
            </c:numRef>
          </c:xVal>
          <c:yVal>
            <c:numRef>
              <c:f>PortfolioTemp!$L$54:$L$55</c:f>
              <c:numCache>
                <c:formatCode>0.000000</c:formatCode>
                <c:ptCount val="2"/>
                <c:pt idx="0">
                  <c:v>6.0000140372509864E-2</c:v>
                </c:pt>
                <c:pt idx="1">
                  <c:v>6.0000140372509864E-2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AFF-6E4E-A393-57CC25869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161904"/>
        <c:axId val="1740179808"/>
      </c:scatterChart>
      <c:valAx>
        <c:axId val="174016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179808"/>
        <c:crosses val="autoZero"/>
        <c:crossBetween val="midCat"/>
      </c:valAx>
      <c:valAx>
        <c:axId val="174017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161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0</xdr:colOff>
      <xdr:row>27</xdr:row>
      <xdr:rowOff>0</xdr:rowOff>
    </xdr:from>
    <xdr:ext cx="6321089" cy="801475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B3DD57D-D7A5-40A5-B2FB-08D0FD435E5C}"/>
            </a:ext>
          </a:extLst>
        </xdr:cNvPr>
        <xdr:cNvSpPr txBox="1"/>
      </xdr:nvSpPr>
      <xdr:spPr>
        <a:xfrm>
          <a:off x="12358688" y="5464969"/>
          <a:ext cx="6321089" cy="8014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Sub Sharpe_And_Frontier()</a:t>
          </a:r>
        </a:p>
        <a:p>
          <a:endParaRPr lang="en-US" sz="1100"/>
        </a:p>
        <a:p>
          <a:r>
            <a:rPr lang="en-US" sz="1100"/>
            <a:t>    Dim r As Integer, c As Integer</a:t>
          </a:r>
        </a:p>
        <a:p>
          <a:endParaRPr lang="en-US" sz="1100"/>
        </a:p>
        <a:p>
          <a:r>
            <a:rPr lang="en-US" sz="1100"/>
            <a:t>    SolverReset</a:t>
          </a:r>
        </a:p>
        <a:p>
          <a:r>
            <a:rPr lang="en-US" sz="1100"/>
            <a:t>    </a:t>
          </a:r>
        </a:p>
        <a:p>
          <a:r>
            <a:rPr lang="en-US" sz="1100"/>
            <a:t>    'MAXIMIZE SHARPE RATIO TO FIND OPTIMAL PORTFOLIO</a:t>
          </a:r>
        </a:p>
        <a:p>
          <a:r>
            <a:rPr lang="en-US" sz="1100"/>
            <a:t>    </a:t>
          </a:r>
        </a:p>
        <a:p>
          <a:r>
            <a:rPr lang="en-US" sz="1100"/>
            <a:t>    SolverOk SetCell:="$M$28", MaxMinVal:=1, ValueOf:=0, ByChange:="$H$24:$O$24", _</a:t>
          </a:r>
        </a:p>
        <a:p>
          <a:r>
            <a:rPr lang="en-US" sz="1100"/>
            <a:t>        Engine:=1, EngineDesc:="GRG Nonlinear"</a:t>
          </a:r>
        </a:p>
        <a:p>
          <a:r>
            <a:rPr lang="en-US" sz="1100"/>
            <a:t>    SolverAdd CellRef:="$H$24:$O$24", Relation:=1, FormulaText:="1" 'weights &lt;=1</a:t>
          </a:r>
        </a:p>
        <a:p>
          <a:r>
            <a:rPr lang="en-US" sz="1100"/>
            <a:t>    SolverAdd CellRef:="$H$24:$O$24", Relation:=3, FormulaText:="0" 'weights &gt;=0</a:t>
          </a:r>
        </a:p>
        <a:p>
          <a:r>
            <a:rPr lang="en-US" sz="1100"/>
            <a:t>    SolverAdd CellRef:="$P$24", Relation:=2, FormulaText:="1"       'sum of weights = 1</a:t>
          </a:r>
        </a:p>
        <a:p>
          <a:r>
            <a:rPr lang="en-US" sz="1100"/>
            <a:t>    </a:t>
          </a:r>
        </a:p>
        <a:p>
          <a:r>
            <a:rPr lang="en-US" sz="1100"/>
            <a:t>    SolverSolve userfinish:=True</a:t>
          </a:r>
        </a:p>
        <a:p>
          <a:r>
            <a:rPr lang="en-US" sz="1100"/>
            <a:t>    </a:t>
          </a:r>
        </a:p>
        <a:p>
          <a:r>
            <a:rPr lang="en-US" sz="1100"/>
            <a:t>    Range("N28").Value = Range("I30").Value 'record optimal risk</a:t>
          </a:r>
        </a:p>
        <a:p>
          <a:r>
            <a:rPr lang="en-US" sz="1100"/>
            <a:t>    Range("O28").Value = Range("I28").Value 'record optimal return</a:t>
          </a:r>
        </a:p>
        <a:p>
          <a:r>
            <a:rPr lang="en-US" sz="1100"/>
            <a:t>    </a:t>
          </a:r>
        </a:p>
        <a:p>
          <a:r>
            <a:rPr lang="en-US" sz="1100"/>
            <a:t>    'CHANGE SOLVER MODEL SET UP TO MINIMIZE RISK GIVEN TARGET RETURN SATISFIED</a:t>
          </a:r>
        </a:p>
        <a:p>
          <a:r>
            <a:rPr lang="en-US" sz="1100"/>
            <a:t>    </a:t>
          </a:r>
        </a:p>
        <a:p>
          <a:r>
            <a:rPr lang="en-US" sz="1100"/>
            <a:t>    SolverOk SetCell:="$I$30", MaxMinVal:=2, ValueOf:=0, ByChange:="$H$24:$O$24", _</a:t>
          </a:r>
        </a:p>
        <a:p>
          <a:r>
            <a:rPr lang="en-US" sz="1100"/>
            <a:t>        Engine:=1, EngineDesc:="GRG Nonlinear"</a:t>
          </a:r>
        </a:p>
        <a:p>
          <a:r>
            <a:rPr lang="en-US" sz="1100"/>
            <a:t>    SolverAdd CellRef:="$I$28", Relation:=2, FormulaText:="$K$28" 'calculated return = target return</a:t>
          </a:r>
        </a:p>
        <a:p>
          <a:r>
            <a:rPr lang="en-US" sz="1100"/>
            <a:t>    </a:t>
          </a:r>
        </a:p>
        <a:p>
          <a:r>
            <a:rPr lang="en-US" sz="1100"/>
            <a:t>    </a:t>
          </a:r>
        </a:p>
        <a:p>
          <a:r>
            <a:rPr lang="en-US" sz="1100"/>
            <a:t>    Range("F33:F50").ClearContents</a:t>
          </a:r>
        </a:p>
        <a:p>
          <a:r>
            <a:rPr lang="en-US" sz="1100"/>
            <a:t>    Range("H33:O50").ClearContents</a:t>
          </a:r>
        </a:p>
        <a:p>
          <a:r>
            <a:rPr lang="en-US" sz="1100"/>
            <a:t>    </a:t>
          </a:r>
        </a:p>
        <a:p>
          <a:r>
            <a:rPr lang="en-US" sz="1100"/>
            <a:t>    For r = 1 To 18</a:t>
          </a:r>
        </a:p>
        <a:p>
          <a:r>
            <a:rPr lang="en-US" sz="1100"/>
            <a:t>        </a:t>
          </a:r>
        </a:p>
        <a:p>
          <a:r>
            <a:rPr lang="en-US" sz="1100"/>
            <a:t>        Range("K28").Value = Range("G32").Offset(r, 0).Value 'Set K28 to Target Return for this run</a:t>
          </a:r>
        </a:p>
        <a:p>
          <a:r>
            <a:rPr lang="en-US" sz="1100"/>
            <a:t>        </a:t>
          </a:r>
        </a:p>
        <a:p>
          <a:r>
            <a:rPr lang="en-US" sz="1100"/>
            <a:t>        SolverSolve userfinish:=True</a:t>
          </a:r>
        </a:p>
        <a:p>
          <a:endParaRPr lang="en-US" sz="1100"/>
        </a:p>
        <a:p>
          <a:r>
            <a:rPr lang="en-US" sz="1100"/>
            <a:t>        Range("F32").Offset(r, 0).Value = Range("I30").Value 'Record Std Devation post optimization</a:t>
          </a:r>
        </a:p>
        <a:p>
          <a:endParaRPr lang="en-US" sz="1100"/>
        </a:p>
        <a:p>
          <a:r>
            <a:rPr lang="en-US" sz="1100"/>
            <a:t>        For c = 1 To 8</a:t>
          </a:r>
        </a:p>
        <a:p>
          <a:r>
            <a:rPr lang="en-US" sz="1100"/>
            <a:t>            Range("G32").Offset(r, c).Value = Range("G24").Offset(0, c).Value ' record the 8 weights for portfolio</a:t>
          </a:r>
        </a:p>
        <a:p>
          <a:r>
            <a:rPr lang="en-US" sz="1100"/>
            <a:t>        Next c</a:t>
          </a:r>
        </a:p>
        <a:p>
          <a:r>
            <a:rPr lang="en-US" sz="1100"/>
            <a:t>        </a:t>
          </a:r>
        </a:p>
        <a:p>
          <a:r>
            <a:rPr lang="en-US" sz="1100"/>
            <a:t>    Next r</a:t>
          </a:r>
        </a:p>
        <a:p>
          <a:endParaRPr lang="en-US" sz="1100"/>
        </a:p>
        <a:p>
          <a:r>
            <a:rPr lang="en-US" sz="1100"/>
            <a:t>    </a:t>
          </a:r>
        </a:p>
        <a:p>
          <a:r>
            <a:rPr lang="en-US" sz="1100"/>
            <a:t>    </a:t>
          </a:r>
        </a:p>
        <a:p>
          <a:r>
            <a:rPr lang="en-US" sz="1100"/>
            <a:t>End Sub</a:t>
          </a:r>
        </a:p>
      </xdr:txBody>
    </xdr:sp>
    <xdr:clientData/>
  </xdr:oneCellAnchor>
  <xdr:twoCellAnchor>
    <xdr:from>
      <xdr:col>3</xdr:col>
      <xdr:colOff>582428</xdr:colOff>
      <xdr:row>38</xdr:row>
      <xdr:rowOff>80533</xdr:rowOff>
    </xdr:from>
    <xdr:to>
      <xdr:col>4</xdr:col>
      <xdr:colOff>438494</xdr:colOff>
      <xdr:row>42</xdr:row>
      <xdr:rowOff>63598</xdr:rowOff>
    </xdr:to>
    <xdr:sp macro="[0]!Sharpe_And_Frontier" textlink="">
      <xdr:nvSpPr>
        <xdr:cNvPr id="3" name="5-Point Star 2">
          <a:extLst>
            <a:ext uri="{FF2B5EF4-FFF2-40B4-BE49-F238E27FC236}">
              <a16:creationId xmlns:a16="http://schemas.microsoft.com/office/drawing/2014/main" id="{05B0A60B-8064-ADBA-6945-A7137C534823}"/>
            </a:ext>
          </a:extLst>
        </xdr:cNvPr>
        <xdr:cNvSpPr/>
      </xdr:nvSpPr>
      <xdr:spPr>
        <a:xfrm>
          <a:off x="2044405" y="7936812"/>
          <a:ext cx="815949" cy="810042"/>
        </a:xfrm>
        <a:prstGeom prst="star5">
          <a:avLst>
            <a:gd name="adj" fmla="val 17021"/>
            <a:gd name="hf" fmla="val 105146"/>
            <a:gd name="vf" fmla="val 11055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711200</xdr:colOff>
      <xdr:row>31</xdr:row>
      <xdr:rowOff>193040</xdr:rowOff>
    </xdr:from>
    <xdr:to>
      <xdr:col>13</xdr:col>
      <xdr:colOff>274320</xdr:colOff>
      <xdr:row>50</xdr:row>
      <xdr:rowOff>40640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49F4AA-131C-D857-0C32-6DDB2D3E6D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R55"/>
  <sheetViews>
    <sheetView showGridLines="0" tabSelected="1" zoomScale="85" zoomScaleNormal="227" workbookViewId="0">
      <selection activeCell="G21" sqref="G21"/>
    </sheetView>
  </sheetViews>
  <sheetFormatPr baseColWidth="10" defaultColWidth="12.6640625" defaultRowHeight="16" customHeight="1" x14ac:dyDescent="0.15"/>
  <cols>
    <col min="1" max="1" width="4.6640625" style="1" customWidth="1"/>
    <col min="2" max="2" width="1.83203125" style="1" bestFit="1" customWidth="1"/>
    <col min="3" max="3" width="12.83203125" style="1" bestFit="1" customWidth="1"/>
    <col min="4" max="5" width="12.6640625" style="2"/>
    <col min="6" max="6" width="17" style="2" bestFit="1" customWidth="1"/>
    <col min="7" max="7" width="9.5" style="2" customWidth="1"/>
    <col min="8" max="14" width="12.6640625" style="2"/>
    <col min="15" max="16384" width="12.6640625" style="1"/>
  </cols>
  <sheetData>
    <row r="2" spans="2:15" ht="16" customHeight="1" x14ac:dyDescent="0.15">
      <c r="C2" s="1" t="s">
        <v>28</v>
      </c>
      <c r="D2" s="16">
        <v>0.06</v>
      </c>
      <c r="H2" s="3">
        <v>1</v>
      </c>
      <c r="I2" s="3">
        <v>2</v>
      </c>
      <c r="J2" s="3">
        <v>3</v>
      </c>
      <c r="K2" s="3">
        <v>4</v>
      </c>
      <c r="L2" s="3">
        <v>5</v>
      </c>
      <c r="M2" s="3">
        <v>6</v>
      </c>
      <c r="N2" s="3">
        <v>7</v>
      </c>
      <c r="O2" s="3">
        <v>8</v>
      </c>
    </row>
    <row r="3" spans="2:15" ht="16" customHeight="1" x14ac:dyDescent="0.15">
      <c r="H3" s="4" t="s">
        <v>6</v>
      </c>
      <c r="I3" s="4" t="s">
        <v>7</v>
      </c>
      <c r="J3" s="4" t="s">
        <v>8</v>
      </c>
      <c r="K3" s="4" t="s">
        <v>9</v>
      </c>
      <c r="L3" s="4" t="s">
        <v>10</v>
      </c>
      <c r="M3" s="4" t="s">
        <v>11</v>
      </c>
      <c r="N3" s="4" t="s">
        <v>12</v>
      </c>
      <c r="O3" s="4" t="s">
        <v>13</v>
      </c>
    </row>
    <row r="4" spans="2:15" ht="16" customHeight="1" x14ac:dyDescent="0.15">
      <c r="D4" s="2" t="s">
        <v>37</v>
      </c>
      <c r="E4" s="2" t="s">
        <v>38</v>
      </c>
      <c r="H4" s="1"/>
      <c r="I4" s="1"/>
      <c r="J4" s="1"/>
      <c r="K4" s="1"/>
      <c r="L4" s="1"/>
      <c r="M4" s="1"/>
      <c r="N4" s="1"/>
    </row>
    <row r="5" spans="2:15" ht="16" customHeight="1" x14ac:dyDescent="0.15">
      <c r="D5" s="5" t="s">
        <v>14</v>
      </c>
      <c r="E5" s="5" t="s">
        <v>15</v>
      </c>
      <c r="F5" s="50" t="s">
        <v>31</v>
      </c>
      <c r="G5" s="9"/>
      <c r="H5" s="6" t="s">
        <v>16</v>
      </c>
      <c r="I5" s="1"/>
      <c r="J5" s="1"/>
      <c r="K5" s="1"/>
      <c r="L5" s="1"/>
      <c r="M5" s="1"/>
      <c r="N5" s="1"/>
    </row>
    <row r="6" spans="2:15" ht="16" customHeight="1" x14ac:dyDescent="0.15">
      <c r="B6" s="3">
        <v>1</v>
      </c>
      <c r="C6" s="1" t="s">
        <v>17</v>
      </c>
      <c r="D6" s="15">
        <v>0.19339999999999999</v>
      </c>
      <c r="E6" s="16">
        <v>3.15E-2</v>
      </c>
      <c r="F6" s="28" cm="1">
        <f t="array" ref="F6:F13">lambda*MMULT(Sigma,w)</f>
        <v>1.6570452017123335E-3</v>
      </c>
      <c r="G6" s="7"/>
      <c r="H6" s="19">
        <v>1.005E-3</v>
      </c>
      <c r="I6" s="20">
        <v>1.328E-3</v>
      </c>
      <c r="J6" s="20">
        <v>-5.7899999999999998E-4</v>
      </c>
      <c r="K6" s="20">
        <v>-6.7500000000000004E-4</v>
      </c>
      <c r="L6" s="20">
        <v>1.21E-4</v>
      </c>
      <c r="M6" s="20">
        <v>1.2799999999999999E-4</v>
      </c>
      <c r="N6" s="20">
        <v>-4.4499999999999997E-4</v>
      </c>
      <c r="O6" s="21">
        <v>-4.37E-4</v>
      </c>
    </row>
    <row r="7" spans="2:15" ht="16" customHeight="1" x14ac:dyDescent="0.15">
      <c r="B7" s="3">
        <v>2</v>
      </c>
      <c r="C7" s="1" t="s">
        <v>18</v>
      </c>
      <c r="D7" s="17">
        <v>0.26129999999999998</v>
      </c>
      <c r="E7" s="16">
        <v>1.7500000000000002E-2</v>
      </c>
      <c r="F7" s="28">
        <v>1.335712072111186E-2</v>
      </c>
      <c r="G7" s="7"/>
      <c r="H7" s="22">
        <v>1.328E-3</v>
      </c>
      <c r="I7" s="23">
        <v>7.2769999999999996E-3</v>
      </c>
      <c r="J7" s="23">
        <v>-1.307E-3</v>
      </c>
      <c r="K7" s="23">
        <v>-6.0999999999999997E-4</v>
      </c>
      <c r="L7" s="23">
        <v>-2.2369999999999998E-3</v>
      </c>
      <c r="M7" s="23">
        <v>-9.8900000000000008E-4</v>
      </c>
      <c r="N7" s="23">
        <v>1.4419999999999999E-3</v>
      </c>
      <c r="O7" s="24">
        <v>-1.5349999999999999E-3</v>
      </c>
    </row>
    <row r="8" spans="2:15" ht="16" customHeight="1" x14ac:dyDescent="0.15">
      <c r="B8" s="3">
        <v>3</v>
      </c>
      <c r="C8" s="1" t="s">
        <v>19</v>
      </c>
      <c r="D8" s="17">
        <v>0.12089999999999999</v>
      </c>
      <c r="E8" s="16">
        <v>-6.3899999999999998E-2</v>
      </c>
      <c r="F8" s="28">
        <v>0.12830583396886397</v>
      </c>
      <c r="G8" s="7"/>
      <c r="H8" s="22">
        <v>-5.7899999999999998E-4</v>
      </c>
      <c r="I8" s="23">
        <v>-1.307E-3</v>
      </c>
      <c r="J8" s="23">
        <v>5.9852000000000002E-2</v>
      </c>
      <c r="K8" s="23">
        <v>2.7588000000000001E-2</v>
      </c>
      <c r="L8" s="23">
        <v>6.3496999999999998E-2</v>
      </c>
      <c r="M8" s="23">
        <v>2.3036000000000001E-2</v>
      </c>
      <c r="N8" s="23">
        <v>3.2967000000000003E-2</v>
      </c>
      <c r="O8" s="24">
        <v>4.8038999999999998E-2</v>
      </c>
    </row>
    <row r="9" spans="2:15" ht="16" customHeight="1" x14ac:dyDescent="0.15">
      <c r="B9" s="3">
        <v>4</v>
      </c>
      <c r="C9" s="1" t="s">
        <v>20</v>
      </c>
      <c r="D9" s="17">
        <v>0.12089999999999999</v>
      </c>
      <c r="E9" s="16">
        <v>-2.86E-2</v>
      </c>
      <c r="F9" s="28">
        <v>8.1643482513379759E-2</v>
      </c>
      <c r="G9" s="7"/>
      <c r="H9" s="22">
        <v>-6.7500000000000004E-4</v>
      </c>
      <c r="I9" s="23">
        <v>-6.0999999999999997E-4</v>
      </c>
      <c r="J9" s="23">
        <v>2.7588000000000001E-2</v>
      </c>
      <c r="K9" s="23">
        <v>2.9609E-2</v>
      </c>
      <c r="L9" s="23">
        <v>2.6571999999999998E-2</v>
      </c>
      <c r="M9" s="23">
        <v>2.1465000000000001E-2</v>
      </c>
      <c r="N9" s="23">
        <v>2.0697E-2</v>
      </c>
      <c r="O9" s="24">
        <v>2.9853999999999999E-2</v>
      </c>
    </row>
    <row r="10" spans="2:15" ht="16" customHeight="1" x14ac:dyDescent="0.15">
      <c r="B10" s="3">
        <v>5</v>
      </c>
      <c r="C10" s="1" t="s">
        <v>21</v>
      </c>
      <c r="D10" s="17">
        <v>1.34E-2</v>
      </c>
      <c r="E10" s="16">
        <v>-6.7500000000000004E-2</v>
      </c>
      <c r="F10" s="28">
        <v>0.14860254391964711</v>
      </c>
      <c r="G10" s="7"/>
      <c r="H10" s="22">
        <v>1.21E-4</v>
      </c>
      <c r="I10" s="23">
        <v>-2.2369999999999998E-3</v>
      </c>
      <c r="J10" s="23">
        <v>6.3496999999999998E-2</v>
      </c>
      <c r="K10" s="23">
        <v>2.6571999999999998E-2</v>
      </c>
      <c r="L10" s="23">
        <v>0.102488</v>
      </c>
      <c r="M10" s="23">
        <v>4.2743999999999997E-2</v>
      </c>
      <c r="N10" s="23">
        <v>3.9942999999999999E-2</v>
      </c>
      <c r="O10" s="24">
        <v>6.5993999999999997E-2</v>
      </c>
    </row>
    <row r="11" spans="2:15" ht="16" customHeight="1" x14ac:dyDescent="0.15">
      <c r="B11" s="3">
        <v>6</v>
      </c>
      <c r="C11" s="1" t="s">
        <v>22</v>
      </c>
      <c r="D11" s="17">
        <v>1.34E-2</v>
      </c>
      <c r="E11" s="16">
        <v>-5.4000000000000003E-3</v>
      </c>
      <c r="F11" s="28">
        <v>7.4075518190228284E-2</v>
      </c>
      <c r="G11" s="7"/>
      <c r="H11" s="22">
        <v>1.2799999999999999E-4</v>
      </c>
      <c r="I11" s="23">
        <v>-9.8900000000000008E-4</v>
      </c>
      <c r="J11" s="23">
        <v>2.3036000000000001E-2</v>
      </c>
      <c r="K11" s="23">
        <v>2.1465000000000001E-2</v>
      </c>
      <c r="L11" s="23">
        <v>4.2743999999999997E-2</v>
      </c>
      <c r="M11" s="23">
        <v>3.2056000000000001E-2</v>
      </c>
      <c r="N11" s="23">
        <v>1.9880999999999999E-2</v>
      </c>
      <c r="O11" s="24">
        <v>3.2235E-2</v>
      </c>
    </row>
    <row r="12" spans="2:15" ht="16" customHeight="1" x14ac:dyDescent="0.15">
      <c r="B12" s="3">
        <v>7</v>
      </c>
      <c r="C12" s="1" t="s">
        <v>23</v>
      </c>
      <c r="D12" s="17">
        <v>0.24179999999999999</v>
      </c>
      <c r="E12" s="16">
        <v>-6.7500000000000004E-2</v>
      </c>
      <c r="F12" s="28">
        <v>9.6022017269376203E-2</v>
      </c>
      <c r="G12" s="7"/>
      <c r="H12" s="22">
        <v>-4.4499999999999997E-4</v>
      </c>
      <c r="I12" s="23">
        <v>1.4419999999999999E-3</v>
      </c>
      <c r="J12" s="23">
        <v>3.2967000000000003E-2</v>
      </c>
      <c r="K12" s="23">
        <v>2.0697E-2</v>
      </c>
      <c r="L12" s="23">
        <v>3.9942999999999999E-2</v>
      </c>
      <c r="M12" s="23">
        <v>1.9880999999999999E-2</v>
      </c>
      <c r="N12" s="23">
        <v>2.8355000000000002E-2</v>
      </c>
      <c r="O12" s="24">
        <v>3.5063999999999998E-2</v>
      </c>
    </row>
    <row r="13" spans="2:15" ht="16" customHeight="1" x14ac:dyDescent="0.15">
      <c r="B13" s="3">
        <v>8</v>
      </c>
      <c r="C13" s="1" t="s">
        <v>24</v>
      </c>
      <c r="D13" s="18">
        <v>3.49E-2</v>
      </c>
      <c r="E13" s="16">
        <v>-5.2600000000000001E-2</v>
      </c>
      <c r="F13" s="28">
        <v>0.131932081457064</v>
      </c>
      <c r="G13" s="7"/>
      <c r="H13" s="25">
        <v>-4.37E-4</v>
      </c>
      <c r="I13" s="26">
        <v>-1.5349999999999999E-3</v>
      </c>
      <c r="J13" s="26">
        <v>4.8038999999999998E-2</v>
      </c>
      <c r="K13" s="26">
        <v>2.9853999999999999E-2</v>
      </c>
      <c r="L13" s="26">
        <v>6.5993999999999997E-2</v>
      </c>
      <c r="M13" s="26">
        <v>3.2235E-2</v>
      </c>
      <c r="N13" s="26">
        <v>3.5063999999999998E-2</v>
      </c>
      <c r="O13" s="27">
        <v>7.9958000000000001E-2</v>
      </c>
    </row>
    <row r="14" spans="2:15" ht="16" customHeight="1" x14ac:dyDescent="0.15">
      <c r="D14" s="8"/>
      <c r="E14" s="8"/>
      <c r="F14" s="8"/>
      <c r="G14" s="8"/>
      <c r="H14" s="8"/>
      <c r="I14" s="8"/>
      <c r="J14" s="8"/>
      <c r="L14" s="1"/>
      <c r="M14" s="1"/>
      <c r="N14" s="1"/>
    </row>
    <row r="15" spans="2:15" ht="16" customHeight="1" x14ac:dyDescent="0.15">
      <c r="D15" s="8"/>
      <c r="E15" s="52">
        <f>SUMPRODUCT(w,E6:E13)</f>
        <v>-1.9652499999999996E-2</v>
      </c>
      <c r="F15" s="52">
        <f>SUMPRODUCT(w,PI)</f>
        <v>5.9999999999999991E-2</v>
      </c>
      <c r="H15" s="6" t="s">
        <v>29</v>
      </c>
    </row>
    <row r="16" spans="2:15" ht="16" customHeight="1" x14ac:dyDescent="0.15">
      <c r="D16" s="10" t="s">
        <v>25</v>
      </c>
      <c r="E16" s="29" cm="1">
        <f t="array" ref="E16">MMULT(wt,MMULT(Sigma,w))</f>
        <v>9.7854578639400003E-3</v>
      </c>
      <c r="H16" s="12">
        <f t="array" ref="H16:O16">TRANSPOSE(w)</f>
        <v>0.19339999999999999</v>
      </c>
      <c r="I16" s="13">
        <v>0.26129999999999998</v>
      </c>
      <c r="J16" s="13">
        <v>0.12089999999999999</v>
      </c>
      <c r="K16" s="13">
        <v>0.12089999999999999</v>
      </c>
      <c r="L16" s="13">
        <v>1.34E-2</v>
      </c>
      <c r="M16" s="13">
        <v>1.34E-2</v>
      </c>
      <c r="N16" s="13">
        <v>0.24179999999999999</v>
      </c>
      <c r="O16" s="14">
        <v>3.49E-2</v>
      </c>
    </row>
    <row r="17" spans="1:18" ht="16" customHeight="1" x14ac:dyDescent="0.15">
      <c r="C17"/>
      <c r="D17" s="10" t="s">
        <v>26</v>
      </c>
      <c r="E17" s="7">
        <f>SQRT(E16)</f>
        <v>9.8921473219620012E-2</v>
      </c>
    </row>
    <row r="18" spans="1:18" ht="16" customHeight="1" x14ac:dyDescent="0.15">
      <c r="C18"/>
      <c r="D18" s="10" t="s">
        <v>27</v>
      </c>
      <c r="E18" s="5">
        <f>MRP/E16</f>
        <v>6.1315475304536946</v>
      </c>
    </row>
    <row r="19" spans="1:18" ht="16" customHeight="1" x14ac:dyDescent="0.15">
      <c r="B19" s="48"/>
      <c r="C19" s="48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8"/>
      <c r="P19" s="48"/>
    </row>
    <row r="20" spans="1:18" ht="16" customHeight="1" x14ac:dyDescent="0.15">
      <c r="H20" s="9" t="s">
        <v>32</v>
      </c>
    </row>
    <row r="21" spans="1:18" ht="16" customHeight="1" x14ac:dyDescent="0.15">
      <c r="G21" s="2" t="s">
        <v>26</v>
      </c>
      <c r="H21" s="12">
        <f t="array" ref="H21:O21">TRANSPOSE(F6:F13)</f>
        <v>1.6570452017123335E-3</v>
      </c>
      <c r="I21" s="13">
        <v>1.335712072111186E-2</v>
      </c>
      <c r="J21" s="13">
        <v>0.12830583396886397</v>
      </c>
      <c r="K21" s="13">
        <v>8.1643482513379759E-2</v>
      </c>
      <c r="L21" s="13">
        <v>0.14860254391964711</v>
      </c>
      <c r="M21" s="13">
        <v>7.4075518190228284E-2</v>
      </c>
      <c r="N21" s="13">
        <v>9.6022017269376203E-2</v>
      </c>
      <c r="O21" s="14">
        <v>0.131932081457064</v>
      </c>
    </row>
    <row r="22" spans="1:18" s="2" customFormat="1" ht="16" customHeight="1" x14ac:dyDescent="0.15">
      <c r="A22" s="1"/>
      <c r="B22" s="1"/>
      <c r="C22" s="11"/>
      <c r="O22" s="1"/>
      <c r="P22" s="1"/>
      <c r="Q22" s="1"/>
      <c r="R22" s="1"/>
    </row>
    <row r="23" spans="1:18" s="2" customFormat="1" ht="16" customHeight="1" thickBot="1" x14ac:dyDescent="0.2">
      <c r="A23" s="1"/>
      <c r="B23" s="1"/>
      <c r="C23" s="11"/>
      <c r="D23"/>
      <c r="E23"/>
      <c r="H23" s="5" t="s">
        <v>30</v>
      </c>
      <c r="O23" s="1"/>
      <c r="P23" s="1"/>
      <c r="Q23" s="1"/>
      <c r="R23" s="1"/>
    </row>
    <row r="24" spans="1:18" s="2" customFormat="1" ht="16" customHeight="1" thickBot="1" x14ac:dyDescent="0.2">
      <c r="A24" s="1"/>
      <c r="B24" s="1"/>
      <c r="C24" s="11"/>
      <c r="D24"/>
      <c r="E24"/>
      <c r="H24" s="47">
        <v>0</v>
      </c>
      <c r="I24" s="47">
        <v>0</v>
      </c>
      <c r="J24" s="47">
        <v>0</v>
      </c>
      <c r="K24" s="47">
        <v>0</v>
      </c>
      <c r="L24" s="47">
        <v>0.99999998357369058</v>
      </c>
      <c r="M24" s="47">
        <v>0</v>
      </c>
      <c r="N24" s="47">
        <v>0</v>
      </c>
      <c r="O24" s="47">
        <v>0</v>
      </c>
      <c r="P24" s="59">
        <f>SUM(H24:O24)</f>
        <v>0.99999998357369058</v>
      </c>
    </row>
    <row r="25" spans="1:18" ht="16" customHeight="1" x14ac:dyDescent="0.15">
      <c r="D25"/>
      <c r="E25" s="30"/>
      <c r="F25"/>
      <c r="G25"/>
      <c r="H25"/>
      <c r="I25"/>
      <c r="J25"/>
      <c r="K25"/>
      <c r="Q25" s="2"/>
      <c r="R25" s="2"/>
    </row>
    <row r="26" spans="1:18" ht="16" customHeight="1" x14ac:dyDescent="0.15">
      <c r="D26"/>
      <c r="E26" s="30"/>
      <c r="F26"/>
      <c r="G26"/>
      <c r="H26"/>
      <c r="I26"/>
      <c r="J26"/>
      <c r="K26"/>
      <c r="Q26" s="2"/>
      <c r="R26" s="2"/>
    </row>
    <row r="27" spans="1:18" ht="16" customHeight="1" x14ac:dyDescent="0.15">
      <c r="D27"/>
      <c r="E27" s="30"/>
      <c r="F27" s="30"/>
      <c r="G27" s="30"/>
      <c r="H27" s="31" t="s">
        <v>0</v>
      </c>
      <c r="I27" s="30"/>
      <c r="J27" s="30"/>
      <c r="K27" s="30" t="s">
        <v>1</v>
      </c>
      <c r="L27" s="30"/>
      <c r="M27" s="2" t="s">
        <v>33</v>
      </c>
      <c r="N27" s="2" t="s">
        <v>35</v>
      </c>
      <c r="O27" s="1" t="s">
        <v>36</v>
      </c>
    </row>
    <row r="28" spans="1:18" ht="16" customHeight="1" x14ac:dyDescent="0.15">
      <c r="D28"/>
      <c r="E28" s="30"/>
      <c r="F28" s="30"/>
      <c r="G28" s="30"/>
      <c r="H28" s="30" t="s">
        <v>34</v>
      </c>
      <c r="I28" s="53">
        <f>SUMPRODUCT(H24:O24,H21:O21)</f>
        <v>0.14860254147865573</v>
      </c>
      <c r="J28" s="32" t="s">
        <v>5</v>
      </c>
      <c r="K28" s="33">
        <v>0.14860254391964714</v>
      </c>
      <c r="L28" s="30"/>
      <c r="M28" s="56">
        <f>I28/I30</f>
        <v>0.46418353871761781</v>
      </c>
      <c r="N28" s="57">
        <v>9.892170465099763E-2</v>
      </c>
      <c r="O28" s="58">
        <v>6.0000140372509864E-2</v>
      </c>
      <c r="Q28" s="51"/>
    </row>
    <row r="29" spans="1:18" ht="16" customHeight="1" x14ac:dyDescent="0.15">
      <c r="D29"/>
      <c r="E29" s="30"/>
      <c r="F29" s="30"/>
      <c r="G29" s="30"/>
      <c r="H29" s="30" t="s">
        <v>3</v>
      </c>
      <c r="I29" s="54" cm="1">
        <f t="array" ref="I29">MMULT(H24:O24,MMULT(Sigma,TRANSPOSE(H24:O24)))</f>
        <v>0.10248799663300082</v>
      </c>
      <c r="J29" s="55"/>
      <c r="K29" s="30"/>
      <c r="L29" s="30"/>
      <c r="Q29" s="30"/>
    </row>
    <row r="30" spans="1:18" ht="16" customHeight="1" x14ac:dyDescent="0.15">
      <c r="D30"/>
      <c r="E30" s="30"/>
      <c r="F30" s="30"/>
      <c r="G30" s="30"/>
      <c r="H30" s="30" t="s">
        <v>4</v>
      </c>
      <c r="I30" s="53">
        <f>SQRT(I29)</f>
        <v>0.3201374652129938</v>
      </c>
      <c r="J30" s="30"/>
      <c r="K30" s="30"/>
      <c r="L30" s="30"/>
      <c r="Q30" s="30"/>
    </row>
    <row r="31" spans="1:18" ht="16" customHeight="1" x14ac:dyDescent="0.15">
      <c r="D31"/>
      <c r="E31" s="30"/>
      <c r="F31" s="30"/>
      <c r="G31" s="30"/>
      <c r="H31" s="30"/>
      <c r="I31" s="30"/>
      <c r="J31" s="30"/>
      <c r="K31" s="30"/>
      <c r="L31" s="30"/>
      <c r="Q31" s="30"/>
    </row>
    <row r="32" spans="1:18" ht="16" customHeight="1" thickBot="1" x14ac:dyDescent="0.2">
      <c r="D32"/>
      <c r="E32" s="30"/>
      <c r="F32" s="30" t="s">
        <v>4</v>
      </c>
      <c r="G32" s="30" t="s">
        <v>2</v>
      </c>
      <c r="H32" s="3"/>
      <c r="I32" s="3"/>
      <c r="J32" s="3"/>
      <c r="K32" s="3"/>
      <c r="L32" s="3"/>
      <c r="M32" s="3"/>
      <c r="N32" s="3"/>
      <c r="O32" s="3"/>
      <c r="Q32" s="30"/>
    </row>
    <row r="33" spans="4:17" ht="16" customHeight="1" x14ac:dyDescent="0.15">
      <c r="D33"/>
      <c r="E33" s="30"/>
      <c r="F33" s="35">
        <v>3.1701735591042439E-2</v>
      </c>
      <c r="G33" s="34">
        <f>MIN(H21:O21)</f>
        <v>1.6570452017123335E-3</v>
      </c>
      <c r="H33" s="39">
        <v>0.99999999999999989</v>
      </c>
      <c r="I33" s="40">
        <v>1.4866101502457864E-8</v>
      </c>
      <c r="J33" s="40">
        <v>0</v>
      </c>
      <c r="K33" s="40">
        <v>0</v>
      </c>
      <c r="L33" s="40">
        <v>0</v>
      </c>
      <c r="M33" s="40">
        <v>0</v>
      </c>
      <c r="N33" s="40">
        <v>0</v>
      </c>
      <c r="O33" s="41">
        <v>0</v>
      </c>
      <c r="Q33" s="30"/>
    </row>
    <row r="34" spans="4:17" ht="16" customHeight="1" x14ac:dyDescent="0.15">
      <c r="D34"/>
      <c r="E34" s="30"/>
      <c r="F34" s="36">
        <v>3.0978530317769405E-2</v>
      </c>
      <c r="G34" s="34">
        <f>G33+(MAX($H$21:$O$21)-MIN($H$21:$O$21))/17</f>
        <v>1.0300898067473203E-2</v>
      </c>
      <c r="H34" s="42">
        <v>0.90120043850814102</v>
      </c>
      <c r="I34" s="60">
        <v>1.4866101502457864E-8</v>
      </c>
      <c r="J34" s="60">
        <v>0</v>
      </c>
      <c r="K34" s="60">
        <v>4.7248479941298605E-2</v>
      </c>
      <c r="L34" s="60">
        <v>0</v>
      </c>
      <c r="M34" s="60">
        <v>0</v>
      </c>
      <c r="N34" s="60">
        <v>5.1551066684459086E-2</v>
      </c>
      <c r="O34" s="43">
        <v>0</v>
      </c>
      <c r="Q34" s="30"/>
    </row>
    <row r="35" spans="4:17" ht="16" customHeight="1" x14ac:dyDescent="0.15">
      <c r="D35"/>
      <c r="E35" s="30"/>
      <c r="F35" s="36">
        <v>3.7707310596994628E-2</v>
      </c>
      <c r="G35" s="34">
        <f>G34+(MAX($H$21:$O$21)-MIN($H$21:$O$21))/17</f>
        <v>1.8944750933234073E-2</v>
      </c>
      <c r="H35" s="42">
        <v>0.80448786646341774</v>
      </c>
      <c r="I35" s="61">
        <v>1.2030166791605524E-2</v>
      </c>
      <c r="J35" s="61">
        <v>2.5933147603661527E-2</v>
      </c>
      <c r="K35" s="61">
        <v>6.9863367780942223E-2</v>
      </c>
      <c r="L35" s="61">
        <v>0</v>
      </c>
      <c r="M35" s="60">
        <v>0</v>
      </c>
      <c r="N35" s="60">
        <v>8.7685450164211656E-2</v>
      </c>
      <c r="O35" s="43">
        <v>0</v>
      </c>
      <c r="Q35" s="30"/>
    </row>
    <row r="36" spans="4:17" ht="16" customHeight="1" x14ac:dyDescent="0.15">
      <c r="D36"/>
      <c r="E36" s="30"/>
      <c r="F36" s="36">
        <v>4.8396223108494701E-2</v>
      </c>
      <c r="G36" s="34">
        <f>G35+(MAX($H$21:$O$21)-MIN($H$21:$O$21))/17</f>
        <v>2.7588603798994943E-2</v>
      </c>
      <c r="H36" s="42">
        <v>0.68321238449062882</v>
      </c>
      <c r="I36" s="61">
        <v>5.4861205829306946E-2</v>
      </c>
      <c r="J36" s="61">
        <v>4.3000977502889455E-2</v>
      </c>
      <c r="K36" s="61">
        <v>7.2846025132417822E-2</v>
      </c>
      <c r="L36" s="61">
        <v>0</v>
      </c>
      <c r="M36" s="60">
        <v>0</v>
      </c>
      <c r="N36" s="60">
        <v>0.13961372508444844</v>
      </c>
      <c r="O36" s="43">
        <v>6.4656854699210869E-3</v>
      </c>
      <c r="Q36" s="30"/>
    </row>
    <row r="37" spans="4:17" ht="16" customHeight="1" x14ac:dyDescent="0.15">
      <c r="D37"/>
      <c r="E37" s="30"/>
      <c r="F37" s="36">
        <v>6.0965323276969047E-2</v>
      </c>
      <c r="G37" s="34">
        <f t="shared" ref="G37:G49" si="0">G36+(MAX($H$21:$O$21)-MIN($H$21:$O$21))/17</f>
        <v>3.6232456664755816E-2</v>
      </c>
      <c r="H37" s="42">
        <v>0.55347350700731768</v>
      </c>
      <c r="I37" s="61">
        <v>0.1057769945027498</v>
      </c>
      <c r="J37" s="61">
        <v>6.7964775171112296E-2</v>
      </c>
      <c r="K37" s="61">
        <v>8.576340594113388E-2</v>
      </c>
      <c r="L37" s="61">
        <v>7.2263491554352185E-4</v>
      </c>
      <c r="M37" s="60">
        <v>2.7183847879871199E-3</v>
      </c>
      <c r="N37" s="60">
        <v>0.17679461428893273</v>
      </c>
      <c r="O37" s="43">
        <v>6.7856909922135427E-3</v>
      </c>
      <c r="Q37" s="30"/>
    </row>
    <row r="38" spans="4:17" ht="16" customHeight="1" x14ac:dyDescent="0.15">
      <c r="D38"/>
      <c r="E38" s="30"/>
      <c r="F38" s="36">
        <v>7.4387397978619624E-2</v>
      </c>
      <c r="G38" s="34">
        <f t="shared" si="0"/>
        <v>4.4876309530516689E-2</v>
      </c>
      <c r="H38" s="42">
        <v>0.42498960371903888</v>
      </c>
      <c r="I38" s="61">
        <v>0.1615289422072817</v>
      </c>
      <c r="J38" s="61">
        <v>8.8566727253780841E-2</v>
      </c>
      <c r="K38" s="61">
        <v>9.6911914431404886E-2</v>
      </c>
      <c r="L38" s="61">
        <v>8.3309998224338603E-4</v>
      </c>
      <c r="M38" s="60">
        <v>3.6209687523822793E-3</v>
      </c>
      <c r="N38" s="60">
        <v>0.19901413328188347</v>
      </c>
      <c r="O38" s="43">
        <v>2.4534612530470342E-2</v>
      </c>
      <c r="Q38" s="30"/>
    </row>
    <row r="39" spans="4:17" ht="16" customHeight="1" x14ac:dyDescent="0.15">
      <c r="D39"/>
      <c r="E39" s="30"/>
      <c r="F39" s="36">
        <v>8.8301854192862142E-2</v>
      </c>
      <c r="G39" s="34">
        <f t="shared" si="0"/>
        <v>5.3520162396277562E-2</v>
      </c>
      <c r="H39" s="42">
        <v>0.28983693371735664</v>
      </c>
      <c r="I39" s="61">
        <v>0.21912635873176781</v>
      </c>
      <c r="J39" s="61">
        <v>0.11293912280416973</v>
      </c>
      <c r="K39" s="61">
        <v>0.10343571451186577</v>
      </c>
      <c r="L39" s="61">
        <v>2.0244953883126718E-3</v>
      </c>
      <c r="M39" s="60">
        <v>1.8727426042018405E-2</v>
      </c>
      <c r="N39" s="60">
        <v>0.22304512860681075</v>
      </c>
      <c r="O39" s="43">
        <v>3.0864818141389826E-2</v>
      </c>
      <c r="Q39" s="30"/>
    </row>
    <row r="40" spans="4:17" ht="16" customHeight="1" x14ac:dyDescent="0.15">
      <c r="D40"/>
      <c r="E40" s="30"/>
      <c r="F40" s="36">
        <v>0.10249515570397051</v>
      </c>
      <c r="G40" s="34">
        <f t="shared" si="0"/>
        <v>6.2164015262038436E-2</v>
      </c>
      <c r="H40" s="42">
        <v>0.16054710028055863</v>
      </c>
      <c r="I40" s="61">
        <v>0.27533294138899211</v>
      </c>
      <c r="J40" s="61">
        <v>0.12561462077944296</v>
      </c>
      <c r="K40" s="61">
        <v>0.1244410572946205</v>
      </c>
      <c r="L40" s="61">
        <v>1.4958370409894365E-2</v>
      </c>
      <c r="M40" s="60">
        <v>1.4282408281942705E-2</v>
      </c>
      <c r="N40" s="60">
        <v>0.24825213225819187</v>
      </c>
      <c r="O40" s="43">
        <v>3.6571369653331298E-2</v>
      </c>
      <c r="Q40" s="30"/>
    </row>
    <row r="41" spans="4:17" ht="16" customHeight="1" x14ac:dyDescent="0.15">
      <c r="F41" s="36">
        <v>0.11686932017394126</v>
      </c>
      <c r="G41" s="34">
        <f t="shared" si="0"/>
        <v>7.0807868127799309E-2</v>
      </c>
      <c r="H41" s="42">
        <v>2.9356722097756856E-2</v>
      </c>
      <c r="I41" s="61">
        <v>0.33137910987858132</v>
      </c>
      <c r="J41" s="61">
        <v>0.14436388276465917</v>
      </c>
      <c r="K41" s="61">
        <v>0.13868567589523098</v>
      </c>
      <c r="L41" s="61">
        <v>2.1267422099190771E-2</v>
      </c>
      <c r="M41" s="60">
        <v>1.7676973451611129E-2</v>
      </c>
      <c r="N41" s="60">
        <v>0.2740301700102295</v>
      </c>
      <c r="O41" s="43">
        <v>4.3240054145583566E-2</v>
      </c>
      <c r="Q41" s="30"/>
    </row>
    <row r="42" spans="4:17" ht="16" customHeight="1" x14ac:dyDescent="0.15">
      <c r="F42" s="36">
        <v>0.13160998229434898</v>
      </c>
      <c r="G42" s="34">
        <f t="shared" si="0"/>
        <v>7.9451720993560182E-2</v>
      </c>
      <c r="H42" s="42">
        <v>0</v>
      </c>
      <c r="I42" s="60">
        <v>0.27939536480209837</v>
      </c>
      <c r="J42" s="60">
        <v>0.15693264452378866</v>
      </c>
      <c r="K42" s="60">
        <v>0.1497441831696146</v>
      </c>
      <c r="L42" s="60">
        <v>3.3571794125736125E-2</v>
      </c>
      <c r="M42" s="60">
        <v>0</v>
      </c>
      <c r="N42" s="60">
        <v>0.32891118092417398</v>
      </c>
      <c r="O42" s="43">
        <v>5.1444832039576636E-2</v>
      </c>
      <c r="Q42" s="30"/>
    </row>
    <row r="43" spans="4:17" ht="16" customHeight="1" x14ac:dyDescent="0.15">
      <c r="F43" s="37">
        <v>0.1471499859678036</v>
      </c>
      <c r="G43" s="34">
        <f t="shared" si="0"/>
        <v>8.8095573859321055E-2</v>
      </c>
      <c r="H43" s="42">
        <v>0</v>
      </c>
      <c r="I43" s="60">
        <v>0.19004981275879068</v>
      </c>
      <c r="J43" s="60">
        <v>0.18158478521696447</v>
      </c>
      <c r="K43" s="60">
        <v>0.14100809433530315</v>
      </c>
      <c r="L43" s="60">
        <v>3.3583548330238966E-2</v>
      </c>
      <c r="M43" s="60">
        <v>0</v>
      </c>
      <c r="N43" s="60">
        <v>0.39296954196541561</v>
      </c>
      <c r="O43" s="43">
        <v>6.0804217034501763E-2</v>
      </c>
      <c r="Q43" s="30"/>
    </row>
    <row r="44" spans="4:17" ht="16" customHeight="1" x14ac:dyDescent="0.15">
      <c r="F44" s="37">
        <v>0.1632909266498965</v>
      </c>
      <c r="G44" s="34">
        <f t="shared" si="0"/>
        <v>9.6739426725081928E-2</v>
      </c>
      <c r="H44" s="42">
        <v>0</v>
      </c>
      <c r="I44" s="60">
        <v>0.10083299193662995</v>
      </c>
      <c r="J44" s="60">
        <v>0.20500177530289501</v>
      </c>
      <c r="K44" s="60">
        <v>0.13287583973902073</v>
      </c>
      <c r="L44" s="60">
        <v>3.4979209967670122E-2</v>
      </c>
      <c r="M44" s="60">
        <v>0</v>
      </c>
      <c r="N44" s="60">
        <v>0.45652882192977501</v>
      </c>
      <c r="O44" s="43">
        <v>6.9781361151992127E-2</v>
      </c>
      <c r="Q44" s="30"/>
    </row>
    <row r="45" spans="4:17" ht="16" customHeight="1" x14ac:dyDescent="0.15">
      <c r="F45" s="37">
        <v>0.17987171621907355</v>
      </c>
      <c r="G45" s="34">
        <f t="shared" si="0"/>
        <v>0.1053832795908428</v>
      </c>
      <c r="H45" s="42">
        <v>0</v>
      </c>
      <c r="I45" s="60">
        <v>1.1976449043901476E-2</v>
      </c>
      <c r="J45" s="60">
        <v>0.22889614510865708</v>
      </c>
      <c r="K45" s="60">
        <v>0.12537524101714362</v>
      </c>
      <c r="L45" s="60">
        <v>3.6675669504905396E-2</v>
      </c>
      <c r="M45" s="60">
        <v>0</v>
      </c>
      <c r="N45" s="60">
        <v>0.51810311751612748</v>
      </c>
      <c r="O45" s="43">
        <v>7.8973377912402526E-2</v>
      </c>
      <c r="Q45" s="30"/>
    </row>
    <row r="46" spans="4:17" ht="16" customHeight="1" x14ac:dyDescent="0.15">
      <c r="F46" s="37">
        <v>0.19778665113046418</v>
      </c>
      <c r="G46" s="34">
        <f t="shared" si="0"/>
        <v>0.11402713245660367</v>
      </c>
      <c r="H46" s="42">
        <v>0</v>
      </c>
      <c r="I46" s="60">
        <v>0</v>
      </c>
      <c r="J46" s="60">
        <v>0.3282246822854869</v>
      </c>
      <c r="K46" s="60">
        <v>3.4492365838598854E-2</v>
      </c>
      <c r="L46" s="60">
        <v>5.786244370456501E-2</v>
      </c>
      <c r="M46" s="60">
        <v>0</v>
      </c>
      <c r="N46" s="60">
        <v>0.44401884969686217</v>
      </c>
      <c r="O46" s="43">
        <v>0.13540165618457728</v>
      </c>
      <c r="Q46" s="30"/>
    </row>
    <row r="47" spans="4:17" ht="16" customHeight="1" x14ac:dyDescent="0.15">
      <c r="F47" s="37">
        <v>0.21835013617864504</v>
      </c>
      <c r="G47" s="34">
        <f t="shared" si="0"/>
        <v>0.12267098532236455</v>
      </c>
      <c r="H47" s="42">
        <v>0</v>
      </c>
      <c r="I47" s="60">
        <v>0</v>
      </c>
      <c r="J47" s="60">
        <v>0.42802663872580332</v>
      </c>
      <c r="K47" s="60">
        <v>0</v>
      </c>
      <c r="L47" s="60">
        <v>0.11072873974275123</v>
      </c>
      <c r="M47" s="60">
        <v>0</v>
      </c>
      <c r="N47" s="60">
        <v>0.26607447463208794</v>
      </c>
      <c r="O47" s="43">
        <v>0.19517014376785924</v>
      </c>
      <c r="Q47" s="30"/>
    </row>
    <row r="48" spans="4:17" ht="16" customHeight="1" x14ac:dyDescent="0.15">
      <c r="F48" s="37">
        <v>0.24141970607031177</v>
      </c>
      <c r="G48" s="34">
        <f t="shared" si="0"/>
        <v>0.13131483818812542</v>
      </c>
      <c r="H48" s="42">
        <v>0</v>
      </c>
      <c r="I48" s="60">
        <v>0</v>
      </c>
      <c r="J48" s="60">
        <v>0.52366381985618571</v>
      </c>
      <c r="K48" s="60">
        <v>0</v>
      </c>
      <c r="L48" s="60">
        <v>0.1765945961069175</v>
      </c>
      <c r="M48" s="60">
        <v>0</v>
      </c>
      <c r="N48" s="60">
        <v>4.6288485942991675E-2</v>
      </c>
      <c r="O48" s="43">
        <v>0.25345309810564892</v>
      </c>
      <c r="Q48" s="30"/>
    </row>
    <row r="49" spans="6:17" ht="16" customHeight="1" x14ac:dyDescent="0.15">
      <c r="F49" s="37">
        <v>0.27226559718615212</v>
      </c>
      <c r="G49" s="34">
        <f t="shared" si="0"/>
        <v>0.13995869105388628</v>
      </c>
      <c r="H49" s="42">
        <v>0</v>
      </c>
      <c r="I49" s="60">
        <v>0</v>
      </c>
      <c r="J49" s="60">
        <v>0.26315793317153785</v>
      </c>
      <c r="K49" s="60">
        <v>0</v>
      </c>
      <c r="L49" s="60">
        <v>0.5387383014875845</v>
      </c>
      <c r="M49" s="60">
        <v>0</v>
      </c>
      <c r="N49" s="60">
        <v>0</v>
      </c>
      <c r="O49" s="43">
        <v>0.19810375897762056</v>
      </c>
      <c r="Q49" s="30"/>
    </row>
    <row r="50" spans="6:17" ht="16" customHeight="1" thickBot="1" x14ac:dyDescent="0.2">
      <c r="F50" s="38">
        <v>0.3201374652129938</v>
      </c>
      <c r="G50" s="34">
        <f>G49+(MAX($H$21:$O$21)-MIN($H$21:$O$21))/17</f>
        <v>0.14860254391964714</v>
      </c>
      <c r="H50" s="44">
        <v>0</v>
      </c>
      <c r="I50" s="45">
        <v>0</v>
      </c>
      <c r="J50" s="45">
        <v>0</v>
      </c>
      <c r="K50" s="45">
        <v>0</v>
      </c>
      <c r="L50" s="45">
        <v>0.99999998357369058</v>
      </c>
      <c r="M50" s="45">
        <v>0</v>
      </c>
      <c r="N50" s="45">
        <v>0</v>
      </c>
      <c r="O50" s="46">
        <v>0</v>
      </c>
      <c r="Q50" s="30"/>
    </row>
    <row r="53" spans="6:17" ht="16" customHeight="1" x14ac:dyDescent="0.15">
      <c r="H53" s="2" t="s">
        <v>39</v>
      </c>
      <c r="I53" s="2" t="s">
        <v>40</v>
      </c>
      <c r="K53" s="2" t="s">
        <v>39</v>
      </c>
      <c r="L53" s="2" t="s">
        <v>40</v>
      </c>
    </row>
    <row r="54" spans="6:17" ht="16" customHeight="1" x14ac:dyDescent="0.15">
      <c r="H54" s="62">
        <f>N28</f>
        <v>9.892170465099763E-2</v>
      </c>
      <c r="I54" s="63">
        <f>0</f>
        <v>0</v>
      </c>
      <c r="K54" s="62">
        <f>N28</f>
        <v>9.892170465099763E-2</v>
      </c>
      <c r="L54" s="63">
        <f>O28</f>
        <v>6.0000140372509864E-2</v>
      </c>
    </row>
    <row r="55" spans="6:17" ht="16" customHeight="1" x14ac:dyDescent="0.15">
      <c r="H55" s="64">
        <f>N28</f>
        <v>9.892170465099763E-2</v>
      </c>
      <c r="I55" s="65">
        <f>O28</f>
        <v>6.0000140372509864E-2</v>
      </c>
      <c r="K55" s="64">
        <v>0</v>
      </c>
      <c r="L55" s="65">
        <f>O28</f>
        <v>6.0000140372509864E-2</v>
      </c>
    </row>
  </sheetData>
  <printOptions horizontalCentered="1" verticalCentered="1" headings="1"/>
  <pageMargins left="0.75" right="0.75" top="0.75" bottom="0.75" header="0.5" footer="0.5"/>
  <pageSetup scale="66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PortfolioTemp</vt:lpstr>
      <vt:lpstr>lambda</vt:lpstr>
      <vt:lpstr>MRP</vt:lpstr>
      <vt:lpstr>PI</vt:lpstr>
      <vt:lpstr>Sigma</vt:lpstr>
      <vt:lpstr>VarP</vt:lpstr>
      <vt:lpstr>PortfolioTemp!w</vt:lpstr>
      <vt:lpstr>wt</vt:lpstr>
    </vt:vector>
  </TitlesOfParts>
  <Company>McCombs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ButlerJC</dc:creator>
  <cp:lastModifiedBy>Yang, Siyuan</cp:lastModifiedBy>
  <dcterms:created xsi:type="dcterms:W3CDTF">2014-10-30T03:44:42Z</dcterms:created>
  <dcterms:modified xsi:type="dcterms:W3CDTF">2023-11-28T20:03:16Z</dcterms:modified>
</cp:coreProperties>
</file>