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tevenyang/Downloads/"/>
    </mc:Choice>
  </mc:AlternateContent>
  <xr:revisionPtr revIDLastSave="0" documentId="13_ncr:1_{0B247CB1-40B3-4542-B558-CDB638D76506}" xr6:coauthVersionLast="47" xr6:coauthVersionMax="47" xr10:uidLastSave="{00000000-0000-0000-0000-000000000000}"/>
  <bookViews>
    <workbookView xWindow="0" yWindow="640" windowWidth="30240" windowHeight="19000" activeTab="10" xr2:uid="{00000000-000D-0000-FFFF-FFFF00000000}"/>
  </bookViews>
  <sheets>
    <sheet name="StyleOverTime" sheetId="7" state="hidden" r:id="rId1"/>
    <sheet name="TimeVanguardInvGrade" sheetId="15" state="hidden" r:id="rId2"/>
    <sheet name="TimeHarbor" sheetId="14" state="hidden" r:id="rId3"/>
    <sheet name="Front" sheetId="16" r:id="rId4"/>
    <sheet name="100 Guess" sheetId="20" r:id="rId5"/>
    <sheet name="FFWork" sheetId="19" r:id="rId6"/>
    <sheet name="SolverWork" sheetId="17" r:id="rId7"/>
    <sheet name="SolverPretty" sheetId="18" r:id="rId8"/>
    <sheet name="MutualFunds" sheetId="1" r:id="rId9"/>
    <sheet name="Benchmarks" sheetId="2" r:id="rId10"/>
    <sheet name="FamaFrench" sheetId="3" r:id="rId11"/>
  </sheets>
  <externalReferences>
    <externalReference r:id="rId12"/>
    <externalReference r:id="rId13"/>
  </externalReferences>
  <definedNames>
    <definedName name="anscount" hidden="1">3</definedName>
    <definedName name="APR">[1]ExecutiveSummary!$B$3</definedName>
    <definedName name="CBWorkbookPriority" hidden="1">-1497752417</definedName>
    <definedName name="DateRng">OFFSET(#REF!,0,0,COUNT(#REF!),1)</definedName>
    <definedName name="effRate">[1]ExecutiveSummary!$B$8</definedName>
    <definedName name="Frequency">[1]ExecutiveSummary!$B$5</definedName>
    <definedName name="LoanAmt">[1]ExecutiveSummary!$B$2</definedName>
    <definedName name="LoanType">[1]ExecutiveSummary!$B$6</definedName>
    <definedName name="nPeriods">[1]ExecutiveSummary!$B$9</definedName>
    <definedName name="OverTimeData" localSheetId="5">OFFSET([2]StyleOverTime!$B$4,0,0,16,COUNT([2]StyleOverTime!$B$4:$XFD$4))</definedName>
    <definedName name="OverTimeData" localSheetId="2">OFFSET(TimeHarbor!$B$4,0,0,16,COUNT(TimeHarbor!$B$4:$XFD$4))</definedName>
    <definedName name="OverTimeData" localSheetId="1">OFFSET(TimeVanguardInvGrade!$B$4,0,0,16,COUNT(TimeVanguardInvGrade!$B$4:$XFD$4))</definedName>
    <definedName name="OverTimeData">OFFSET(StyleOverTime!$B$4,0,0,16,COUNT(StyleOverTime!$B$4:$XFD$4))</definedName>
    <definedName name="sencount" hidden="1">3</definedName>
    <definedName name="solver_adj" localSheetId="6" hidden="1">SolverWork!$E$7:$T$7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itr" localSheetId="6" hidden="1">2147483647</definedName>
    <definedName name="solver_lhs1" localSheetId="6" hidden="1">SolverWork!$D$7</definedName>
    <definedName name="solver_lhs2" localSheetId="6" hidden="1">SolverWork!$E$7:$T$7</definedName>
    <definedName name="solver_lhs3" localSheetId="6" hidden="1">SolverWork!$E$7:$T$7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opt" localSheetId="6" hidden="1">SolverWork!$B$5</definedName>
    <definedName name="solver_pre" localSheetId="6" hidden="1">0.000001</definedName>
    <definedName name="solver_rbv" localSheetId="6" hidden="1">1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hs1" localSheetId="6" hidden="1">1</definedName>
    <definedName name="solver_rhs2" localSheetId="6" hidden="1">1</definedName>
    <definedName name="solver_rhs3" localSheetId="6" hidden="1">0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1</definedName>
    <definedName name="solver_val" localSheetId="6" hidden="1">0</definedName>
    <definedName name="solver_ver" localSheetId="6" hidden="1">2</definedName>
    <definedName name="StopDate" localSheetId="5">OFFSET([2]StyleOverTime!$B$2,0,0,1,COUNT([2]StyleOverTime!$B$2:$XFD$2))</definedName>
    <definedName name="StopDate" localSheetId="2">OFFSET(TimeHarbor!$B$2,0,0,1,COUNT(TimeHarbor!$B$2:$XFD$2))</definedName>
    <definedName name="StopDate" localSheetId="1">OFFSET(TimeVanguardInvGrade!$B$2,0,0,1,COUNT(TimeVanguardInvGrade!$B$2:$XFD$2))</definedName>
    <definedName name="StopDate">OFFSET(StyleOverTime!$B$2,0,0,1,COUNT(StyleOverTime!$B$2:$XFD$2))</definedName>
    <definedName name="Style" localSheetId="5">OFFSET([2]StyleOverTime!$B$21,0,0,1,COUNT([2]StyleOverTime!$B$21:$XFD$21))</definedName>
    <definedName name="Style" localSheetId="2">OFFSET(TimeHarbor!$B$21,0,0,1,COUNT(TimeHarbor!$B$21:$XFD$21))</definedName>
    <definedName name="Style" localSheetId="1">OFFSET(TimeVanguardInvGrade!$B$21,0,0,1,COUNT(TimeVanguardInvGrade!$B$21:$XFD$21))</definedName>
    <definedName name="Style">OFFSET(StyleOverTime!$B$21,0,0,1,COUNT(StyleOverTime!$B$21:$XFD$21))</definedName>
    <definedName name="Term">[1]ExecutiveSummary!$B$4</definedName>
    <definedName name="Xdate">OFFSET(#REF!,0,0,COUNT(#REF!),1)</definedName>
    <definedName name="XrangeFF">OFFSET(FFWork!$D$11,0,0,COUNT(FFWork!$B$11:$B$249),4)</definedName>
    <definedName name="Y_Comp" localSheetId="5">OFFSET(#REF!,0,0,COUNT(#REF!),1)</definedName>
    <definedName name="Y_Comp">OFFSET(#REF!,0,0,COUNT(#REF!),1)</definedName>
    <definedName name="Y_CompP">OFFSET(#REF!,0,0,COUNT(#REF!),1)</definedName>
    <definedName name="Y_Fund">OFFSET(#REF!,0,0,COUNT(#REF!),1)</definedName>
    <definedName name="Y_MOM">OFFSET(#REF!,0,0,COUNT(#REF!),1)</definedName>
    <definedName name="Y_SMB">OFFSET(#REF!,0,0,COUNT(#REF!),1)</definedName>
    <definedName name="Y_Style">OFFSET(#REF!,0,0,COUNT(#REF!),1)</definedName>
    <definedName name="Y_VMG">OFFSET(#REF!,0,0,COUNT(#REF!),1)</definedName>
    <definedName name="YrangeFF">OFFSET(FFWork!$C$11,0,0,COUNT(FFWork!$B$11:$B$249),1)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6" l="1"/>
  <c r="B11" i="19" l="1"/>
  <c r="G11" i="19" l="1"/>
  <c r="B12" i="19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8" i="19" s="1"/>
  <c r="B29" i="19" s="1"/>
  <c r="B30" i="19" s="1"/>
  <c r="B31" i="19" s="1"/>
  <c r="B32" i="19" s="1"/>
  <c r="B33" i="19" s="1"/>
  <c r="B34" i="19" s="1"/>
  <c r="B35" i="19" s="1"/>
  <c r="B36" i="19" s="1"/>
  <c r="B37" i="19" s="1"/>
  <c r="B38" i="19" s="1"/>
  <c r="B39" i="19" s="1"/>
  <c r="B40" i="19" s="1"/>
  <c r="B41" i="19" s="1"/>
  <c r="B42" i="19" s="1"/>
  <c r="B43" i="19" s="1"/>
  <c r="B44" i="19" s="1"/>
  <c r="B45" i="19" s="1"/>
  <c r="B46" i="19" s="1"/>
  <c r="B47" i="19" s="1"/>
  <c r="B48" i="19" s="1"/>
  <c r="B49" i="19" s="1"/>
  <c r="B50" i="19" s="1"/>
  <c r="B51" i="19" s="1"/>
  <c r="B52" i="19" s="1"/>
  <c r="B53" i="19" s="1"/>
  <c r="B54" i="19" s="1"/>
  <c r="B55" i="19" s="1"/>
  <c r="B56" i="19" s="1"/>
  <c r="B57" i="19" s="1"/>
  <c r="B58" i="19" s="1"/>
  <c r="B59" i="19" s="1"/>
  <c r="B60" i="19" s="1"/>
  <c r="B61" i="19" s="1"/>
  <c r="B62" i="19" s="1"/>
  <c r="B63" i="19" s="1"/>
  <c r="B64" i="19" s="1"/>
  <c r="B65" i="19" s="1"/>
  <c r="B66" i="19" s="1"/>
  <c r="B67" i="19" s="1"/>
  <c r="B68" i="19" s="1"/>
  <c r="B69" i="19" s="1"/>
  <c r="B70" i="19" s="1"/>
  <c r="B71" i="19" s="1"/>
  <c r="B72" i="19" s="1"/>
  <c r="B73" i="19" s="1"/>
  <c r="B74" i="19" s="1"/>
  <c r="B75" i="19" s="1"/>
  <c r="B76" i="19" s="1"/>
  <c r="B77" i="19" s="1"/>
  <c r="B78" i="19" s="1"/>
  <c r="B79" i="19" s="1"/>
  <c r="B80" i="19" s="1"/>
  <c r="B81" i="19" s="1"/>
  <c r="B82" i="19" s="1"/>
  <c r="B83" i="19" s="1"/>
  <c r="B84" i="19" s="1"/>
  <c r="B85" i="19" s="1"/>
  <c r="B86" i="19" s="1"/>
  <c r="B87" i="19" s="1"/>
  <c r="B88" i="19" s="1"/>
  <c r="B89" i="19" s="1"/>
  <c r="B90" i="19" s="1"/>
  <c r="B91" i="19" s="1"/>
  <c r="B92" i="19" s="1"/>
  <c r="B93" i="19" s="1"/>
  <c r="B94" i="19" s="1"/>
  <c r="B95" i="19" s="1"/>
  <c r="B96" i="19" s="1"/>
  <c r="B97" i="19" s="1"/>
  <c r="B98" i="19" s="1"/>
  <c r="B99" i="19" s="1"/>
  <c r="B100" i="19" s="1"/>
  <c r="B101" i="19" s="1"/>
  <c r="B102" i="19" s="1"/>
  <c r="B103" i="19" s="1"/>
  <c r="B104" i="19" s="1"/>
  <c r="B105" i="19" s="1"/>
  <c r="B106" i="19" s="1"/>
  <c r="B107" i="19" s="1"/>
  <c r="B108" i="19" s="1"/>
  <c r="B109" i="19" s="1"/>
  <c r="B110" i="19" s="1"/>
  <c r="B111" i="19" s="1"/>
  <c r="B112" i="19" s="1"/>
  <c r="B113" i="19" s="1"/>
  <c r="B114" i="19" s="1"/>
  <c r="B115" i="19" s="1"/>
  <c r="B116" i="19" s="1"/>
  <c r="B117" i="19" s="1"/>
  <c r="B118" i="19" s="1"/>
  <c r="B119" i="19" s="1"/>
  <c r="B120" i="19" s="1"/>
  <c r="B121" i="19" s="1"/>
  <c r="B122" i="19" s="1"/>
  <c r="B123" i="19" s="1"/>
  <c r="B124" i="19" s="1"/>
  <c r="B125" i="19" s="1"/>
  <c r="B126" i="19" s="1"/>
  <c r="B127" i="19" s="1"/>
  <c r="B128" i="19" s="1"/>
  <c r="B129" i="19" s="1"/>
  <c r="B130" i="19" s="1"/>
  <c r="B131" i="19" s="1"/>
  <c r="B132" i="19" s="1"/>
  <c r="B133" i="19" s="1"/>
  <c r="B134" i="19" s="1"/>
  <c r="B135" i="19" s="1"/>
  <c r="B136" i="19" s="1"/>
  <c r="B137" i="19" s="1"/>
  <c r="B138" i="19" s="1"/>
  <c r="B139" i="19" s="1"/>
  <c r="B140" i="19" s="1"/>
  <c r="B141" i="19" s="1"/>
  <c r="B142" i="19" s="1"/>
  <c r="B143" i="19" s="1"/>
  <c r="B144" i="19" s="1"/>
  <c r="B145" i="19" s="1"/>
  <c r="B146" i="19" s="1"/>
  <c r="B147" i="19" s="1"/>
  <c r="B148" i="19" s="1"/>
  <c r="B149" i="19" s="1"/>
  <c r="B150" i="19" s="1"/>
  <c r="B151" i="19" s="1"/>
  <c r="B152" i="19" s="1"/>
  <c r="B153" i="19" s="1"/>
  <c r="B154" i="19" s="1"/>
  <c r="B155" i="19" s="1"/>
  <c r="B156" i="19" s="1"/>
  <c r="B157" i="19" s="1"/>
  <c r="B158" i="19" s="1"/>
  <c r="B159" i="19" s="1"/>
  <c r="B160" i="19" s="1"/>
  <c r="B161" i="19" s="1"/>
  <c r="B162" i="19" s="1"/>
  <c r="B163" i="19" s="1"/>
  <c r="B164" i="19" s="1"/>
  <c r="B165" i="19" s="1"/>
  <c r="B166" i="19" s="1"/>
  <c r="B167" i="19" s="1"/>
  <c r="B168" i="19" s="1"/>
  <c r="B169" i="19" s="1"/>
  <c r="B170" i="19" s="1"/>
  <c r="B171" i="19" s="1"/>
  <c r="B172" i="19" s="1"/>
  <c r="B173" i="19" s="1"/>
  <c r="B174" i="19" s="1"/>
  <c r="B175" i="19" s="1"/>
  <c r="B176" i="19" s="1"/>
  <c r="B177" i="19" s="1"/>
  <c r="B178" i="19" s="1"/>
  <c r="B179" i="19" s="1"/>
  <c r="B180" i="19" s="1"/>
  <c r="B181" i="19" s="1"/>
  <c r="B182" i="19" s="1"/>
  <c r="B183" i="19" s="1"/>
  <c r="B184" i="19" s="1"/>
  <c r="B185" i="19" s="1"/>
  <c r="B186" i="19" s="1"/>
  <c r="B187" i="19" s="1"/>
  <c r="B188" i="19" s="1"/>
  <c r="B189" i="19" s="1"/>
  <c r="B190" i="19" s="1"/>
  <c r="B191" i="19" s="1"/>
  <c r="B192" i="19" s="1"/>
  <c r="B193" i="19" s="1"/>
  <c r="B194" i="19" s="1"/>
  <c r="B195" i="19" s="1"/>
  <c r="B196" i="19" s="1"/>
  <c r="B197" i="19" s="1"/>
  <c r="B198" i="19" s="1"/>
  <c r="B199" i="19" s="1"/>
  <c r="B200" i="19" s="1"/>
  <c r="B201" i="19" s="1"/>
  <c r="B202" i="19" s="1"/>
  <c r="B203" i="19" s="1"/>
  <c r="B204" i="19" s="1"/>
  <c r="B205" i="19" s="1"/>
  <c r="B206" i="19" s="1"/>
  <c r="B207" i="19" s="1"/>
  <c r="B208" i="19" s="1"/>
  <c r="B209" i="19" s="1"/>
  <c r="B210" i="19" s="1"/>
  <c r="B211" i="19" s="1"/>
  <c r="B212" i="19" s="1"/>
  <c r="B213" i="19" s="1"/>
  <c r="B214" i="19" s="1"/>
  <c r="B215" i="19" s="1"/>
  <c r="B216" i="19" s="1"/>
  <c r="B217" i="19" s="1"/>
  <c r="B218" i="19" s="1"/>
  <c r="B219" i="19" s="1"/>
  <c r="B220" i="19" s="1"/>
  <c r="B221" i="19" s="1"/>
  <c r="B222" i="19" s="1"/>
  <c r="B223" i="19" s="1"/>
  <c r="B224" i="19" s="1"/>
  <c r="B225" i="19" s="1"/>
  <c r="B226" i="19" s="1"/>
  <c r="B227" i="19" s="1"/>
  <c r="B228" i="19" s="1"/>
  <c r="B229" i="19" s="1"/>
  <c r="B230" i="19" s="1"/>
  <c r="B231" i="19" s="1"/>
  <c r="B232" i="19" s="1"/>
  <c r="B233" i="19" s="1"/>
  <c r="B234" i="19" s="1"/>
  <c r="B235" i="19" s="1"/>
  <c r="B236" i="19" s="1"/>
  <c r="B237" i="19" s="1"/>
  <c r="B238" i="19" s="1"/>
  <c r="B239" i="19" s="1"/>
  <c r="B240" i="19" s="1"/>
  <c r="B241" i="19" s="1"/>
  <c r="B242" i="19" s="1"/>
  <c r="B243" i="19" s="1"/>
  <c r="B244" i="19" s="1"/>
  <c r="B245" i="19" s="1"/>
  <c r="B246" i="19" s="1"/>
  <c r="B247" i="19" s="1"/>
  <c r="B248" i="19" s="1"/>
  <c r="B249" i="19" s="1"/>
  <c r="B250" i="19" s="1"/>
  <c r="G250" i="19" s="1"/>
  <c r="D11" i="19"/>
  <c r="E11" i="19"/>
  <c r="F11" i="19"/>
  <c r="C11" i="19"/>
  <c r="D250" i="19" l="1"/>
  <c r="C250" i="19"/>
  <c r="E250" i="19"/>
  <c r="F250" i="19"/>
  <c r="G12" i="19" l="1"/>
  <c r="F12" i="19"/>
  <c r="E12" i="19"/>
  <c r="D12" i="19"/>
  <c r="C12" i="19"/>
  <c r="C3" i="18" a="1"/>
  <c r="C3" i="18" s="1"/>
  <c r="C249" i="17"/>
  <c r="D249" i="17" s="1"/>
  <c r="B10" i="17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C1" i="1"/>
  <c r="D1" i="1"/>
  <c r="E1" i="1"/>
  <c r="F1" i="1"/>
  <c r="G1" i="1"/>
  <c r="H1" i="1"/>
  <c r="I1" i="1"/>
  <c r="J1" i="1"/>
  <c r="K1" i="1"/>
  <c r="L1" i="1"/>
  <c r="M1" i="1"/>
  <c r="N1" i="1"/>
  <c r="O1" i="1"/>
  <c r="A13" i="7"/>
  <c r="A7" i="7"/>
  <c r="A11" i="7"/>
  <c r="A15" i="7"/>
  <c r="A19" i="7"/>
  <c r="A4" i="7"/>
  <c r="A8" i="7"/>
  <c r="A12" i="7"/>
  <c r="A16" i="7"/>
  <c r="A5" i="7"/>
  <c r="A9" i="7"/>
  <c r="A17" i="7"/>
  <c r="A6" i="7"/>
  <c r="A10" i="7"/>
  <c r="A14" i="7"/>
  <c r="A18" i="7"/>
  <c r="H10" i="17" l="1" a="1"/>
  <c r="H10" i="17" s="1"/>
  <c r="C10" i="17"/>
  <c r="B11" i="17"/>
  <c r="K11" i="17" s="1" a="1"/>
  <c r="K11" i="17" s="1"/>
  <c r="N10" i="17" a="1"/>
  <c r="N10" i="17" s="1"/>
  <c r="J10" i="17" a="1"/>
  <c r="J10" i="17" s="1"/>
  <c r="G10" i="17" a="1"/>
  <c r="G10" i="17" s="1"/>
  <c r="E10" i="17" a="1"/>
  <c r="E10" i="17" s="1"/>
  <c r="F10" i="17" a="1"/>
  <c r="F10" i="17" s="1"/>
  <c r="M10" i="17" a="1"/>
  <c r="M10" i="17" s="1"/>
  <c r="P10" i="17" a="1"/>
  <c r="P10" i="17" s="1"/>
  <c r="O10" i="17" a="1"/>
  <c r="O10" i="17" s="1"/>
  <c r="T10" i="17" a="1"/>
  <c r="T10" i="17" s="1"/>
  <c r="L10" i="17" a="1"/>
  <c r="L10" i="17" s="1"/>
  <c r="S10" i="17" a="1"/>
  <c r="S10" i="17" s="1"/>
  <c r="K10" i="17" a="1"/>
  <c r="K10" i="17" s="1"/>
  <c r="R10" i="17" a="1"/>
  <c r="R10" i="17" s="1"/>
  <c r="I10" i="17" a="1"/>
  <c r="I10" i="17" s="1"/>
  <c r="Q10" i="17" a="1"/>
  <c r="Q10" i="17" s="1"/>
  <c r="G13" i="19"/>
  <c r="F13" i="19"/>
  <c r="E13" i="19"/>
  <c r="D13" i="19"/>
  <c r="C13" i="19"/>
  <c r="D7" i="17"/>
  <c r="D10" i="17" l="1"/>
  <c r="G11" i="17" a="1"/>
  <c r="G11" i="17" s="1"/>
  <c r="O11" i="17" a="1"/>
  <c r="O11" i="17" s="1"/>
  <c r="B12" i="17"/>
  <c r="R12" i="17" s="1" a="1"/>
  <c r="R12" i="17" s="1"/>
  <c r="S11" i="17" a="1"/>
  <c r="S11" i="17" s="1"/>
  <c r="M11" i="17" a="1"/>
  <c r="M11" i="17" s="1"/>
  <c r="N11" i="17" a="1"/>
  <c r="N11" i="17" s="1"/>
  <c r="L11" i="17" a="1"/>
  <c r="L11" i="17" s="1"/>
  <c r="T11" i="17" a="1"/>
  <c r="T11" i="17" s="1"/>
  <c r="I11" i="17" a="1"/>
  <c r="I11" i="17" s="1"/>
  <c r="J11" i="17" a="1"/>
  <c r="J11" i="17" s="1"/>
  <c r="F11" i="17" a="1"/>
  <c r="F11" i="17" s="1"/>
  <c r="R11" i="17" a="1"/>
  <c r="R11" i="17" s="1"/>
  <c r="Q11" i="17" a="1"/>
  <c r="Q11" i="17" s="1"/>
  <c r="H11" i="17" a="1"/>
  <c r="H11" i="17" s="1"/>
  <c r="E11" i="17" a="1"/>
  <c r="E11" i="17" s="1"/>
  <c r="P11" i="17" a="1"/>
  <c r="P11" i="17" s="1"/>
  <c r="C11" i="17"/>
  <c r="G14" i="19"/>
  <c r="E14" i="19"/>
  <c r="F14" i="19"/>
  <c r="C14" i="19"/>
  <c r="D14" i="19"/>
  <c r="E12" i="17" l="1" a="1"/>
  <c r="E12" i="17" s="1"/>
  <c r="P12" i="17" a="1"/>
  <c r="P12" i="17" s="1"/>
  <c r="B13" i="17"/>
  <c r="J13" i="17" s="1" a="1"/>
  <c r="J13" i="17" s="1"/>
  <c r="F12" i="17" a="1"/>
  <c r="F12" i="17" s="1"/>
  <c r="Q12" i="17" a="1"/>
  <c r="Q12" i="17" s="1"/>
  <c r="C12" i="17"/>
  <c r="O12" i="17" a="1"/>
  <c r="O12" i="17" s="1"/>
  <c r="T12" i="17" a="1"/>
  <c r="T12" i="17" s="1"/>
  <c r="N12" i="17" a="1"/>
  <c r="N12" i="17" s="1"/>
  <c r="M12" i="17" a="1"/>
  <c r="M12" i="17" s="1"/>
  <c r="G12" i="17" a="1"/>
  <c r="G12" i="17" s="1"/>
  <c r="H12" i="17" a="1"/>
  <c r="H12" i="17" s="1"/>
  <c r="L12" i="17" a="1"/>
  <c r="L12" i="17" s="1"/>
  <c r="K12" i="17" a="1"/>
  <c r="K12" i="17" s="1"/>
  <c r="J12" i="17" a="1"/>
  <c r="J12" i="17" s="1"/>
  <c r="I12" i="17" a="1"/>
  <c r="I12" i="17" s="1"/>
  <c r="S12" i="17" a="1"/>
  <c r="S12" i="17" s="1"/>
  <c r="D11" i="17"/>
  <c r="G15" i="19"/>
  <c r="E15" i="19"/>
  <c r="F15" i="19"/>
  <c r="C15" i="19"/>
  <c r="D15" i="19"/>
  <c r="D12" i="17" l="1"/>
  <c r="I13" i="17" a="1"/>
  <c r="I13" i="17" s="1"/>
  <c r="P13" i="17" a="1"/>
  <c r="P13" i="17" s="1"/>
  <c r="O13" i="17" a="1"/>
  <c r="O13" i="17" s="1"/>
  <c r="M13" i="17" a="1"/>
  <c r="M13" i="17" s="1"/>
  <c r="E13" i="17" a="1"/>
  <c r="E13" i="17" s="1"/>
  <c r="T13" i="17" a="1"/>
  <c r="T13" i="17" s="1"/>
  <c r="B14" i="17"/>
  <c r="P14" i="17" s="1" a="1"/>
  <c r="P14" i="17" s="1"/>
  <c r="L13" i="17" a="1"/>
  <c r="L13" i="17" s="1"/>
  <c r="N13" i="17" a="1"/>
  <c r="N13" i="17" s="1"/>
  <c r="S13" i="17" a="1"/>
  <c r="S13" i="17" s="1"/>
  <c r="H13" i="17" a="1"/>
  <c r="H13" i="17" s="1"/>
  <c r="Q13" i="17" a="1"/>
  <c r="Q13" i="17" s="1"/>
  <c r="G13" i="17" a="1"/>
  <c r="G13" i="17" s="1"/>
  <c r="R13" i="17" a="1"/>
  <c r="R13" i="17" s="1"/>
  <c r="C13" i="17"/>
  <c r="K13" i="17" a="1"/>
  <c r="K13" i="17" s="1"/>
  <c r="F13" i="17" a="1"/>
  <c r="F13" i="17" s="1"/>
  <c r="G16" i="19"/>
  <c r="D16" i="19"/>
  <c r="E16" i="19"/>
  <c r="F16" i="19"/>
  <c r="C16" i="19"/>
  <c r="S14" i="17" l="1" a="1"/>
  <c r="S14" i="17" s="1"/>
  <c r="I14" i="17" a="1"/>
  <c r="I14" i="17" s="1"/>
  <c r="G14" i="17" a="1"/>
  <c r="G14" i="17" s="1"/>
  <c r="K14" i="17" a="1"/>
  <c r="K14" i="17" s="1"/>
  <c r="O14" i="17" a="1"/>
  <c r="O14" i="17" s="1"/>
  <c r="F14" i="17" a="1"/>
  <c r="F14" i="17" s="1"/>
  <c r="T14" i="17" a="1"/>
  <c r="T14" i="17" s="1"/>
  <c r="M14" i="17" a="1"/>
  <c r="M14" i="17" s="1"/>
  <c r="E14" i="17" a="1"/>
  <c r="E14" i="17" s="1"/>
  <c r="B15" i="17"/>
  <c r="L15" i="17" s="1" a="1"/>
  <c r="L15" i="17" s="1"/>
  <c r="L14" i="17" a="1"/>
  <c r="L14" i="17" s="1"/>
  <c r="J14" i="17" a="1"/>
  <c r="J14" i="17" s="1"/>
  <c r="R14" i="17" a="1"/>
  <c r="R14" i="17" s="1"/>
  <c r="N14" i="17" a="1"/>
  <c r="N14" i="17" s="1"/>
  <c r="Q14" i="17" a="1"/>
  <c r="Q14" i="17" s="1"/>
  <c r="H14" i="17" a="1"/>
  <c r="H14" i="17" s="1"/>
  <c r="C14" i="17"/>
  <c r="D13" i="17"/>
  <c r="G17" i="19"/>
  <c r="D17" i="19"/>
  <c r="E17" i="19"/>
  <c r="C17" i="19"/>
  <c r="F17" i="19"/>
  <c r="D14" i="17" l="1"/>
  <c r="B16" i="17"/>
  <c r="O16" i="17" s="1" a="1"/>
  <c r="O16" i="17" s="1"/>
  <c r="Q15" i="17" a="1"/>
  <c r="Q15" i="17" s="1"/>
  <c r="G15" i="17" a="1"/>
  <c r="G15" i="17" s="1"/>
  <c r="T15" i="17" a="1"/>
  <c r="T15" i="17" s="1"/>
  <c r="H15" i="17" a="1"/>
  <c r="H15" i="17" s="1"/>
  <c r="O15" i="17" a="1"/>
  <c r="O15" i="17" s="1"/>
  <c r="P15" i="17" a="1"/>
  <c r="P15" i="17" s="1"/>
  <c r="C15" i="17"/>
  <c r="R15" i="17" a="1"/>
  <c r="R15" i="17" s="1"/>
  <c r="F15" i="17" a="1"/>
  <c r="F15" i="17" s="1"/>
  <c r="N15" i="17" a="1"/>
  <c r="N15" i="17" s="1"/>
  <c r="M15" i="17" a="1"/>
  <c r="M15" i="17" s="1"/>
  <c r="E15" i="17" a="1"/>
  <c r="E15" i="17" s="1"/>
  <c r="K15" i="17" a="1"/>
  <c r="K15" i="17" s="1"/>
  <c r="J15" i="17" a="1"/>
  <c r="J15" i="17" s="1"/>
  <c r="S15" i="17" a="1"/>
  <c r="S15" i="17" s="1"/>
  <c r="I15" i="17" a="1"/>
  <c r="I15" i="17" s="1"/>
  <c r="C18" i="19"/>
  <c r="G18" i="19"/>
  <c r="D18" i="19"/>
  <c r="E18" i="19"/>
  <c r="F18" i="19"/>
  <c r="K16" i="17" l="1" a="1"/>
  <c r="K16" i="17" s="1"/>
  <c r="D15" i="17"/>
  <c r="M16" i="17" a="1"/>
  <c r="M16" i="17" s="1"/>
  <c r="N16" i="17" a="1"/>
  <c r="N16" i="17" s="1"/>
  <c r="J16" i="17" a="1"/>
  <c r="J16" i="17" s="1"/>
  <c r="F16" i="17" a="1"/>
  <c r="F16" i="17" s="1"/>
  <c r="T16" i="17" a="1"/>
  <c r="T16" i="17" s="1"/>
  <c r="Q16" i="17" a="1"/>
  <c r="Q16" i="17" s="1"/>
  <c r="I16" i="17" a="1"/>
  <c r="I16" i="17" s="1"/>
  <c r="G16" i="17" a="1"/>
  <c r="G16" i="17" s="1"/>
  <c r="L16" i="17" a="1"/>
  <c r="L16" i="17" s="1"/>
  <c r="C16" i="17"/>
  <c r="H16" i="17" a="1"/>
  <c r="H16" i="17" s="1"/>
  <c r="P16" i="17" a="1"/>
  <c r="P16" i="17" s="1"/>
  <c r="S16" i="17" a="1"/>
  <c r="S16" i="17" s="1"/>
  <c r="E16" i="17" a="1"/>
  <c r="E16" i="17" s="1"/>
  <c r="R16" i="17" a="1"/>
  <c r="R16" i="17" s="1"/>
  <c r="B17" i="17"/>
  <c r="C17" i="17" s="1"/>
  <c r="G19" i="19"/>
  <c r="F19" i="19"/>
  <c r="E19" i="19"/>
  <c r="C19" i="19"/>
  <c r="D19" i="19"/>
  <c r="S17" i="17" l="1" a="1"/>
  <c r="S17" i="17" s="1"/>
  <c r="D16" i="17"/>
  <c r="I17" i="17" a="1"/>
  <c r="I17" i="17" s="1"/>
  <c r="J17" i="17" a="1"/>
  <c r="J17" i="17" s="1"/>
  <c r="P17" i="17" a="1"/>
  <c r="P17" i="17" s="1"/>
  <c r="R17" i="17" a="1"/>
  <c r="R17" i="17" s="1"/>
  <c r="F17" i="17" a="1"/>
  <c r="F17" i="17" s="1"/>
  <c r="E17" i="17" a="1"/>
  <c r="E17" i="17" s="1"/>
  <c r="N17" i="17" a="1"/>
  <c r="N17" i="17" s="1"/>
  <c r="Q17" i="17" a="1"/>
  <c r="Q17" i="17" s="1"/>
  <c r="O17" i="17" a="1"/>
  <c r="O17" i="17" s="1"/>
  <c r="G17" i="17" a="1"/>
  <c r="G17" i="17" s="1"/>
  <c r="M17" i="17" a="1"/>
  <c r="M17" i="17" s="1"/>
  <c r="L17" i="17" a="1"/>
  <c r="L17" i="17" s="1"/>
  <c r="H17" i="17" a="1"/>
  <c r="H17" i="17" s="1"/>
  <c r="B18" i="17"/>
  <c r="G18" i="17" s="1" a="1"/>
  <c r="G18" i="17" s="1"/>
  <c r="K17" i="17" a="1"/>
  <c r="K17" i="17" s="1"/>
  <c r="T17" i="17" a="1"/>
  <c r="T17" i="17" s="1"/>
  <c r="F20" i="19"/>
  <c r="G20" i="19"/>
  <c r="C20" i="19"/>
  <c r="D20" i="19"/>
  <c r="E20" i="19"/>
  <c r="T18" i="17" l="1" a="1"/>
  <c r="T18" i="17" s="1"/>
  <c r="F18" i="17" a="1"/>
  <c r="F18" i="17" s="1"/>
  <c r="C18" i="17"/>
  <c r="I18" i="17" a="1"/>
  <c r="I18" i="17" s="1"/>
  <c r="H18" i="17" a="1"/>
  <c r="H18" i="17" s="1"/>
  <c r="Q18" i="17" a="1"/>
  <c r="Q18" i="17" s="1"/>
  <c r="D17" i="17"/>
  <c r="P18" i="17" a="1"/>
  <c r="P18" i="17" s="1"/>
  <c r="B19" i="17"/>
  <c r="E19" i="17" s="1" a="1"/>
  <c r="E19" i="17" s="1"/>
  <c r="O18" i="17" a="1"/>
  <c r="O18" i="17" s="1"/>
  <c r="S18" i="17" a="1"/>
  <c r="S18" i="17" s="1"/>
  <c r="R18" i="17" a="1"/>
  <c r="R18" i="17" s="1"/>
  <c r="N18" i="17" a="1"/>
  <c r="N18" i="17" s="1"/>
  <c r="M18" i="17" a="1"/>
  <c r="M18" i="17" s="1"/>
  <c r="L18" i="17" a="1"/>
  <c r="L18" i="17" s="1"/>
  <c r="K18" i="17" a="1"/>
  <c r="K18" i="17" s="1"/>
  <c r="J18" i="17" a="1"/>
  <c r="J18" i="17" s="1"/>
  <c r="E18" i="17" a="1"/>
  <c r="E18" i="17" s="1"/>
  <c r="G21" i="19"/>
  <c r="F21" i="19"/>
  <c r="E21" i="19"/>
  <c r="D21" i="19"/>
  <c r="C21" i="19"/>
  <c r="B20" i="17" l="1"/>
  <c r="N19" i="17" a="1"/>
  <c r="N19" i="17" s="1"/>
  <c r="C19" i="17"/>
  <c r="K19" i="17" a="1"/>
  <c r="K19" i="17" s="1"/>
  <c r="S19" i="17" a="1"/>
  <c r="S19" i="17" s="1"/>
  <c r="G19" i="17" a="1"/>
  <c r="G19" i="17" s="1"/>
  <c r="T19" i="17" a="1"/>
  <c r="T19" i="17" s="1"/>
  <c r="R19" i="17" a="1"/>
  <c r="R19" i="17" s="1"/>
  <c r="L19" i="17" a="1"/>
  <c r="L19" i="17" s="1"/>
  <c r="Q19" i="17" a="1"/>
  <c r="Q19" i="17" s="1"/>
  <c r="H19" i="17" a="1"/>
  <c r="H19" i="17" s="1"/>
  <c r="F19" i="17" a="1"/>
  <c r="F19" i="17" s="1"/>
  <c r="P19" i="17" a="1"/>
  <c r="P19" i="17" s="1"/>
  <c r="O19" i="17" a="1"/>
  <c r="O19" i="17" s="1"/>
  <c r="I19" i="17" a="1"/>
  <c r="I19" i="17" s="1"/>
  <c r="J19" i="17" a="1"/>
  <c r="J19" i="17" s="1"/>
  <c r="D18" i="17"/>
  <c r="M19" i="17" a="1"/>
  <c r="M19" i="17" s="1"/>
  <c r="G22" i="19"/>
  <c r="F22" i="19"/>
  <c r="E22" i="19"/>
  <c r="D22" i="19"/>
  <c r="C22" i="19"/>
  <c r="C20" i="17"/>
  <c r="F20" i="17" a="1"/>
  <c r="F20" i="17" s="1"/>
  <c r="M20" i="17" a="1"/>
  <c r="M20" i="17" s="1"/>
  <c r="S20" i="17" a="1"/>
  <c r="S20" i="17" s="1"/>
  <c r="G20" i="17" a="1"/>
  <c r="G20" i="17" s="1"/>
  <c r="N20" i="17" a="1"/>
  <c r="N20" i="17" s="1"/>
  <c r="T20" i="17" a="1"/>
  <c r="T20" i="17" s="1"/>
  <c r="J20" i="17" a="1"/>
  <c r="J20" i="17" s="1"/>
  <c r="R20" i="17" a="1"/>
  <c r="R20" i="17" s="1"/>
  <c r="K20" i="17" a="1"/>
  <c r="K20" i="17" s="1"/>
  <c r="L20" i="17" a="1"/>
  <c r="L20" i="17" s="1"/>
  <c r="I20" i="17" a="1"/>
  <c r="I20" i="17" s="1"/>
  <c r="Q20" i="17" a="1"/>
  <c r="Q20" i="17" s="1"/>
  <c r="E20" i="17" a="1"/>
  <c r="E20" i="17" s="1"/>
  <c r="H20" i="17" a="1"/>
  <c r="H20" i="17" s="1"/>
  <c r="O20" i="17" a="1"/>
  <c r="O20" i="17" s="1"/>
  <c r="P20" i="17" a="1"/>
  <c r="P20" i="17" s="1"/>
  <c r="B21" i="17"/>
  <c r="D19" i="17" l="1"/>
  <c r="G23" i="19"/>
  <c r="F23" i="19"/>
  <c r="E23" i="19"/>
  <c r="D23" i="19"/>
  <c r="C23" i="19"/>
  <c r="K21" i="17" a="1"/>
  <c r="K21" i="17" s="1"/>
  <c r="Q21" i="17" a="1"/>
  <c r="Q21" i="17" s="1"/>
  <c r="C21" i="17"/>
  <c r="R21" i="17" a="1"/>
  <c r="R21" i="17" s="1"/>
  <c r="J21" i="17" a="1"/>
  <c r="J21" i="17" s="1"/>
  <c r="S21" i="17" a="1"/>
  <c r="S21" i="17" s="1"/>
  <c r="L21" i="17" a="1"/>
  <c r="L21" i="17" s="1"/>
  <c r="T21" i="17" a="1"/>
  <c r="T21" i="17" s="1"/>
  <c r="H21" i="17" a="1"/>
  <c r="H21" i="17" s="1"/>
  <c r="I21" i="17" a="1"/>
  <c r="I21" i="17" s="1"/>
  <c r="G21" i="17" a="1"/>
  <c r="G21" i="17" s="1"/>
  <c r="E21" i="17" a="1"/>
  <c r="E21" i="17" s="1"/>
  <c r="F21" i="17" a="1"/>
  <c r="F21" i="17" s="1"/>
  <c r="M21" i="17" a="1"/>
  <c r="M21" i="17" s="1"/>
  <c r="N21" i="17" a="1"/>
  <c r="N21" i="17" s="1"/>
  <c r="O21" i="17" a="1"/>
  <c r="O21" i="17" s="1"/>
  <c r="P21" i="17" a="1"/>
  <c r="P21" i="17" s="1"/>
  <c r="D20" i="17"/>
  <c r="B22" i="17"/>
  <c r="I22" i="17" s="1" a="1"/>
  <c r="I22" i="17" s="1"/>
  <c r="G24" i="19" l="1"/>
  <c r="F24" i="19"/>
  <c r="D24" i="19"/>
  <c r="E24" i="19"/>
  <c r="C24" i="19"/>
  <c r="H22" i="17" a="1"/>
  <c r="H22" i="17" s="1"/>
  <c r="N22" i="17" a="1"/>
  <c r="N22" i="17" s="1"/>
  <c r="O22" i="17" a="1"/>
  <c r="O22" i="17" s="1"/>
  <c r="C22" i="17"/>
  <c r="K22" i="17" a="1"/>
  <c r="K22" i="17" s="1"/>
  <c r="S22" i="17" a="1"/>
  <c r="S22" i="17" s="1"/>
  <c r="T22" i="17" a="1"/>
  <c r="T22" i="17" s="1"/>
  <c r="E22" i="17" a="1"/>
  <c r="E22" i="17" s="1"/>
  <c r="L22" i="17" a="1"/>
  <c r="L22" i="17" s="1"/>
  <c r="P22" i="17" a="1"/>
  <c r="P22" i="17" s="1"/>
  <c r="F22" i="17" a="1"/>
  <c r="F22" i="17" s="1"/>
  <c r="Q22" i="17" a="1"/>
  <c r="Q22" i="17" s="1"/>
  <c r="J22" i="17" a="1"/>
  <c r="J22" i="17" s="1"/>
  <c r="M22" i="17" a="1"/>
  <c r="M22" i="17" s="1"/>
  <c r="R22" i="17" a="1"/>
  <c r="R22" i="17" s="1"/>
  <c r="G22" i="17" a="1"/>
  <c r="G22" i="17" s="1"/>
  <c r="D21" i="17"/>
  <c r="B23" i="17"/>
  <c r="G25" i="19" l="1"/>
  <c r="F25" i="19"/>
  <c r="D25" i="19"/>
  <c r="E25" i="19"/>
  <c r="C25" i="19"/>
  <c r="S23" i="17" a="1"/>
  <c r="S23" i="17" s="1"/>
  <c r="F23" i="17" a="1"/>
  <c r="F23" i="17" s="1"/>
  <c r="M23" i="17" a="1"/>
  <c r="M23" i="17" s="1"/>
  <c r="C23" i="17"/>
  <c r="L23" i="17" a="1"/>
  <c r="L23" i="17" s="1"/>
  <c r="N23" i="17" a="1"/>
  <c r="N23" i="17" s="1"/>
  <c r="E23" i="17" a="1"/>
  <c r="E23" i="17" s="1"/>
  <c r="J23" i="17" a="1"/>
  <c r="J23" i="17" s="1"/>
  <c r="K23" i="17" a="1"/>
  <c r="K23" i="17" s="1"/>
  <c r="O23" i="17" a="1"/>
  <c r="O23" i="17" s="1"/>
  <c r="I23" i="17" a="1"/>
  <c r="I23" i="17" s="1"/>
  <c r="P23" i="17" a="1"/>
  <c r="P23" i="17" s="1"/>
  <c r="Q23" i="17" a="1"/>
  <c r="Q23" i="17" s="1"/>
  <c r="R23" i="17" a="1"/>
  <c r="R23" i="17" s="1"/>
  <c r="T23" i="17" a="1"/>
  <c r="T23" i="17" s="1"/>
  <c r="G23" i="17" a="1"/>
  <c r="G23" i="17" s="1"/>
  <c r="H23" i="17" a="1"/>
  <c r="H23" i="17" s="1"/>
  <c r="D22" i="17"/>
  <c r="B24" i="17"/>
  <c r="G26" i="19" l="1"/>
  <c r="F26" i="19"/>
  <c r="D26" i="19"/>
  <c r="E26" i="19"/>
  <c r="C26" i="19"/>
  <c r="J24" i="17" a="1"/>
  <c r="J24" i="17" s="1"/>
  <c r="P24" i="17" a="1"/>
  <c r="P24" i="17" s="1"/>
  <c r="K24" i="17" a="1"/>
  <c r="K24" i="17" s="1"/>
  <c r="Q24" i="17" a="1"/>
  <c r="Q24" i="17" s="1"/>
  <c r="E24" i="17" a="1"/>
  <c r="E24" i="17" s="1"/>
  <c r="N24" i="17" a="1"/>
  <c r="N24" i="17" s="1"/>
  <c r="F24" i="17" a="1"/>
  <c r="F24" i="17" s="1"/>
  <c r="C24" i="17"/>
  <c r="H24" i="17" a="1"/>
  <c r="H24" i="17" s="1"/>
  <c r="S24" i="17" a="1"/>
  <c r="S24" i="17" s="1"/>
  <c r="I24" i="17" a="1"/>
  <c r="I24" i="17" s="1"/>
  <c r="T24" i="17" a="1"/>
  <c r="T24" i="17" s="1"/>
  <c r="G24" i="17" a="1"/>
  <c r="G24" i="17" s="1"/>
  <c r="O24" i="17" a="1"/>
  <c r="O24" i="17" s="1"/>
  <c r="R24" i="17" a="1"/>
  <c r="R24" i="17" s="1"/>
  <c r="L24" i="17" a="1"/>
  <c r="L24" i="17" s="1"/>
  <c r="M24" i="17" a="1"/>
  <c r="M24" i="17" s="1"/>
  <c r="D23" i="17"/>
  <c r="B25" i="17"/>
  <c r="D24" i="17" l="1"/>
  <c r="G27" i="19"/>
  <c r="F27" i="19"/>
  <c r="C27" i="19"/>
  <c r="E27" i="19"/>
  <c r="D27" i="19"/>
  <c r="H25" i="17" a="1"/>
  <c r="H25" i="17" s="1"/>
  <c r="E25" i="17" a="1"/>
  <c r="E25" i="17" s="1"/>
  <c r="T25" i="17" a="1"/>
  <c r="T25" i="17" s="1"/>
  <c r="F25" i="17" a="1"/>
  <c r="F25" i="17" s="1"/>
  <c r="M25" i="17" a="1"/>
  <c r="M25" i="17" s="1"/>
  <c r="G25" i="17" a="1"/>
  <c r="G25" i="17" s="1"/>
  <c r="N25" i="17" a="1"/>
  <c r="N25" i="17" s="1"/>
  <c r="O25" i="17" a="1"/>
  <c r="O25" i="17" s="1"/>
  <c r="C25" i="17"/>
  <c r="P25" i="17" a="1"/>
  <c r="P25" i="17" s="1"/>
  <c r="L25" i="17" a="1"/>
  <c r="L25" i="17" s="1"/>
  <c r="R25" i="17" a="1"/>
  <c r="R25" i="17" s="1"/>
  <c r="S25" i="17" a="1"/>
  <c r="S25" i="17" s="1"/>
  <c r="I25" i="17" a="1"/>
  <c r="I25" i="17" s="1"/>
  <c r="J25" i="17" a="1"/>
  <c r="J25" i="17" s="1"/>
  <c r="K25" i="17" a="1"/>
  <c r="K25" i="17" s="1"/>
  <c r="Q25" i="17" a="1"/>
  <c r="Q25" i="17" s="1"/>
  <c r="B26" i="17"/>
  <c r="E28" i="19" l="1"/>
  <c r="C28" i="19"/>
  <c r="G28" i="19"/>
  <c r="F28" i="19"/>
  <c r="D28" i="19"/>
  <c r="L26" i="17" a="1"/>
  <c r="L26" i="17" s="1"/>
  <c r="E26" i="17" a="1"/>
  <c r="E26" i="17" s="1"/>
  <c r="M26" i="17" a="1"/>
  <c r="M26" i="17" s="1"/>
  <c r="T26" i="17" a="1"/>
  <c r="T26" i="17" s="1"/>
  <c r="F26" i="17" a="1"/>
  <c r="F26" i="17" s="1"/>
  <c r="N26" i="17" a="1"/>
  <c r="N26" i="17" s="1"/>
  <c r="S26" i="17" a="1"/>
  <c r="S26" i="17" s="1"/>
  <c r="I26" i="17" a="1"/>
  <c r="I26" i="17" s="1"/>
  <c r="J26" i="17" a="1"/>
  <c r="J26" i="17" s="1"/>
  <c r="C26" i="17"/>
  <c r="H26" i="17" a="1"/>
  <c r="H26" i="17" s="1"/>
  <c r="R26" i="17" a="1"/>
  <c r="R26" i="17" s="1"/>
  <c r="Q26" i="17" a="1"/>
  <c r="Q26" i="17" s="1"/>
  <c r="G26" i="17" a="1"/>
  <c r="G26" i="17" s="1"/>
  <c r="K26" i="17" a="1"/>
  <c r="K26" i="17" s="1"/>
  <c r="O26" i="17" a="1"/>
  <c r="O26" i="17" s="1"/>
  <c r="P26" i="17" a="1"/>
  <c r="P26" i="17" s="1"/>
  <c r="D25" i="17"/>
  <c r="B27" i="17"/>
  <c r="D26" i="17" l="1"/>
  <c r="G29" i="19"/>
  <c r="F29" i="19"/>
  <c r="E29" i="19"/>
  <c r="D29" i="19"/>
  <c r="C29" i="19"/>
  <c r="I27" i="17" a="1"/>
  <c r="I27" i="17" s="1"/>
  <c r="P27" i="17" a="1"/>
  <c r="P27" i="17" s="1"/>
  <c r="R27" i="17" a="1"/>
  <c r="R27" i="17" s="1"/>
  <c r="L27" i="17" a="1"/>
  <c r="L27" i="17" s="1"/>
  <c r="S27" i="17" a="1"/>
  <c r="S27" i="17" s="1"/>
  <c r="E27" i="17" a="1"/>
  <c r="E27" i="17" s="1"/>
  <c r="M27" i="17" a="1"/>
  <c r="M27" i="17" s="1"/>
  <c r="T27" i="17" a="1"/>
  <c r="T27" i="17" s="1"/>
  <c r="C27" i="17"/>
  <c r="O27" i="17" a="1"/>
  <c r="O27" i="17" s="1"/>
  <c r="F27" i="17" a="1"/>
  <c r="F27" i="17" s="1"/>
  <c r="N27" i="17" a="1"/>
  <c r="N27" i="17" s="1"/>
  <c r="G27" i="17" a="1"/>
  <c r="G27" i="17" s="1"/>
  <c r="H27" i="17" a="1"/>
  <c r="H27" i="17" s="1"/>
  <c r="J27" i="17" a="1"/>
  <c r="J27" i="17" s="1"/>
  <c r="K27" i="17" a="1"/>
  <c r="K27" i="17" s="1"/>
  <c r="Q27" i="17" a="1"/>
  <c r="Q27" i="17" s="1"/>
  <c r="B28" i="17"/>
  <c r="D27" i="17" l="1"/>
  <c r="E30" i="19"/>
  <c r="D30" i="19"/>
  <c r="C30" i="19"/>
  <c r="G30" i="19"/>
  <c r="F30" i="19"/>
  <c r="M28" i="17" a="1"/>
  <c r="M28" i="17" s="1"/>
  <c r="C28" i="17"/>
  <c r="Q28" i="17" a="1"/>
  <c r="Q28" i="17" s="1"/>
  <c r="K28" i="17" a="1"/>
  <c r="K28" i="17" s="1"/>
  <c r="R28" i="17" a="1"/>
  <c r="R28" i="17" s="1"/>
  <c r="I28" i="17" a="1"/>
  <c r="I28" i="17" s="1"/>
  <c r="T28" i="17" a="1"/>
  <c r="T28" i="17" s="1"/>
  <c r="J28" i="17" a="1"/>
  <c r="J28" i="17" s="1"/>
  <c r="L28" i="17" a="1"/>
  <c r="L28" i="17" s="1"/>
  <c r="H28" i="17" a="1"/>
  <c r="H28" i="17" s="1"/>
  <c r="S28" i="17" a="1"/>
  <c r="S28" i="17" s="1"/>
  <c r="E28" i="17" a="1"/>
  <c r="E28" i="17" s="1"/>
  <c r="F28" i="17" a="1"/>
  <c r="F28" i="17" s="1"/>
  <c r="G28" i="17" a="1"/>
  <c r="G28" i="17" s="1"/>
  <c r="N28" i="17" a="1"/>
  <c r="N28" i="17" s="1"/>
  <c r="O28" i="17" a="1"/>
  <c r="O28" i="17" s="1"/>
  <c r="P28" i="17" a="1"/>
  <c r="P28" i="17" s="1"/>
  <c r="B29" i="17"/>
  <c r="G31" i="19" l="1"/>
  <c r="F31" i="19"/>
  <c r="E31" i="19"/>
  <c r="D31" i="19"/>
  <c r="C31" i="19"/>
  <c r="H29" i="17" a="1"/>
  <c r="H29" i="17" s="1"/>
  <c r="C29" i="17"/>
  <c r="O29" i="17" a="1"/>
  <c r="O29" i="17" s="1"/>
  <c r="I29" i="17" a="1"/>
  <c r="I29" i="17" s="1"/>
  <c r="P29" i="17" a="1"/>
  <c r="P29" i="17" s="1"/>
  <c r="M29" i="17" a="1"/>
  <c r="M29" i="17" s="1"/>
  <c r="E29" i="17" a="1"/>
  <c r="E29" i="17" s="1"/>
  <c r="N29" i="17" a="1"/>
  <c r="N29" i="17" s="1"/>
  <c r="L29" i="17" a="1"/>
  <c r="L29" i="17" s="1"/>
  <c r="G29" i="17" a="1"/>
  <c r="G29" i="17" s="1"/>
  <c r="J29" i="17" a="1"/>
  <c r="J29" i="17" s="1"/>
  <c r="K29" i="17" a="1"/>
  <c r="K29" i="17" s="1"/>
  <c r="Q29" i="17" a="1"/>
  <c r="Q29" i="17" s="1"/>
  <c r="R29" i="17" a="1"/>
  <c r="R29" i="17" s="1"/>
  <c r="F29" i="17" a="1"/>
  <c r="F29" i="17" s="1"/>
  <c r="S29" i="17" a="1"/>
  <c r="S29" i="17" s="1"/>
  <c r="T29" i="17" a="1"/>
  <c r="T29" i="17" s="1"/>
  <c r="D28" i="17"/>
  <c r="B30" i="17"/>
  <c r="G32" i="19" l="1"/>
  <c r="F32" i="19"/>
  <c r="E32" i="19"/>
  <c r="D32" i="19"/>
  <c r="C32" i="19"/>
  <c r="C30" i="17"/>
  <c r="L30" i="17" a="1"/>
  <c r="L30" i="17" s="1"/>
  <c r="F30" i="17" a="1"/>
  <c r="F30" i="17" s="1"/>
  <c r="M30" i="17" a="1"/>
  <c r="M30" i="17" s="1"/>
  <c r="T30" i="17" a="1"/>
  <c r="T30" i="17" s="1"/>
  <c r="G30" i="17" a="1"/>
  <c r="G30" i="17" s="1"/>
  <c r="Q30" i="17" a="1"/>
  <c r="Q30" i="17" s="1"/>
  <c r="H30" i="17" a="1"/>
  <c r="H30" i="17" s="1"/>
  <c r="R30" i="17" a="1"/>
  <c r="R30" i="17" s="1"/>
  <c r="E30" i="17" a="1"/>
  <c r="E30" i="17" s="1"/>
  <c r="P30" i="17" a="1"/>
  <c r="P30" i="17" s="1"/>
  <c r="I30" i="17" a="1"/>
  <c r="I30" i="17" s="1"/>
  <c r="J30" i="17" a="1"/>
  <c r="J30" i="17" s="1"/>
  <c r="K30" i="17" a="1"/>
  <c r="K30" i="17" s="1"/>
  <c r="N30" i="17" a="1"/>
  <c r="N30" i="17" s="1"/>
  <c r="O30" i="17" a="1"/>
  <c r="O30" i="17" s="1"/>
  <c r="S30" i="17" a="1"/>
  <c r="S30" i="17" s="1"/>
  <c r="D29" i="17"/>
  <c r="B31" i="17"/>
  <c r="G33" i="19" l="1"/>
  <c r="F33" i="19"/>
  <c r="E33" i="19"/>
  <c r="D33" i="19"/>
  <c r="C33" i="19"/>
  <c r="C31" i="17"/>
  <c r="P31" i="17" a="1"/>
  <c r="P31" i="17" s="1"/>
  <c r="J31" i="17" a="1"/>
  <c r="J31" i="17" s="1"/>
  <c r="Q31" i="17" a="1"/>
  <c r="Q31" i="17" s="1"/>
  <c r="K31" i="17" a="1"/>
  <c r="K31" i="17" s="1"/>
  <c r="I31" i="17" a="1"/>
  <c r="I31" i="17" s="1"/>
  <c r="L31" i="17" a="1"/>
  <c r="L31" i="17" s="1"/>
  <c r="T31" i="17" a="1"/>
  <c r="T31" i="17" s="1"/>
  <c r="S31" i="17" a="1"/>
  <c r="S31" i="17" s="1"/>
  <c r="G31" i="17" a="1"/>
  <c r="G31" i="17" s="1"/>
  <c r="H31" i="17" a="1"/>
  <c r="H31" i="17" s="1"/>
  <c r="M31" i="17" a="1"/>
  <c r="M31" i="17" s="1"/>
  <c r="N31" i="17" a="1"/>
  <c r="N31" i="17" s="1"/>
  <c r="O31" i="17" a="1"/>
  <c r="O31" i="17" s="1"/>
  <c r="E31" i="17" a="1"/>
  <c r="E31" i="17" s="1"/>
  <c r="F31" i="17" a="1"/>
  <c r="F31" i="17" s="1"/>
  <c r="R31" i="17" a="1"/>
  <c r="R31" i="17" s="1"/>
  <c r="D30" i="17"/>
  <c r="B32" i="17"/>
  <c r="G34" i="19" l="1"/>
  <c r="E34" i="19"/>
  <c r="D34" i="19"/>
  <c r="C34" i="19"/>
  <c r="F34" i="19"/>
  <c r="C32" i="17"/>
  <c r="G32" i="17" a="1"/>
  <c r="G32" i="17" s="1"/>
  <c r="S32" i="17" a="1"/>
  <c r="S32" i="17" s="1"/>
  <c r="M32" i="17" a="1"/>
  <c r="M32" i="17" s="1"/>
  <c r="T32" i="17" a="1"/>
  <c r="T32" i="17" s="1"/>
  <c r="H32" i="17" a="1"/>
  <c r="H32" i="17" s="1"/>
  <c r="N32" i="17" a="1"/>
  <c r="N32" i="17" s="1"/>
  <c r="L32" i="17" a="1"/>
  <c r="L32" i="17" s="1"/>
  <c r="E32" i="17" a="1"/>
  <c r="E32" i="17" s="1"/>
  <c r="O32" i="17" a="1"/>
  <c r="O32" i="17" s="1"/>
  <c r="K32" i="17" a="1"/>
  <c r="K32" i="17" s="1"/>
  <c r="F32" i="17" a="1"/>
  <c r="F32" i="17" s="1"/>
  <c r="I32" i="17" a="1"/>
  <c r="I32" i="17" s="1"/>
  <c r="J32" i="17" a="1"/>
  <c r="J32" i="17" s="1"/>
  <c r="P32" i="17" a="1"/>
  <c r="P32" i="17" s="1"/>
  <c r="Q32" i="17" a="1"/>
  <c r="Q32" i="17" s="1"/>
  <c r="R32" i="17" a="1"/>
  <c r="R32" i="17" s="1"/>
  <c r="D31" i="17"/>
  <c r="B33" i="17"/>
  <c r="D32" i="17" l="1"/>
  <c r="G35" i="19"/>
  <c r="E35" i="19"/>
  <c r="D35" i="19"/>
  <c r="C35" i="19"/>
  <c r="F35" i="19"/>
  <c r="C33" i="17"/>
  <c r="I33" i="17" a="1"/>
  <c r="I33" i="17" s="1"/>
  <c r="P33" i="17" a="1"/>
  <c r="P33" i="17" s="1"/>
  <c r="Q33" i="17" a="1"/>
  <c r="Q33" i="17" s="1"/>
  <c r="J33" i="17" a="1"/>
  <c r="J33" i="17" s="1"/>
  <c r="N33" i="17" a="1"/>
  <c r="N33" i="17" s="1"/>
  <c r="F33" i="17" a="1"/>
  <c r="F33" i="17" s="1"/>
  <c r="O33" i="17" a="1"/>
  <c r="O33" i="17" s="1"/>
  <c r="E33" i="17" a="1"/>
  <c r="E33" i="17" s="1"/>
  <c r="M33" i="17" a="1"/>
  <c r="M33" i="17" s="1"/>
  <c r="G33" i="17" a="1"/>
  <c r="G33" i="17" s="1"/>
  <c r="H33" i="17" a="1"/>
  <c r="H33" i="17" s="1"/>
  <c r="K33" i="17" a="1"/>
  <c r="K33" i="17" s="1"/>
  <c r="L33" i="17" a="1"/>
  <c r="L33" i="17" s="1"/>
  <c r="R33" i="17" a="1"/>
  <c r="R33" i="17" s="1"/>
  <c r="S33" i="17" a="1"/>
  <c r="S33" i="17" s="1"/>
  <c r="T33" i="17" a="1"/>
  <c r="T33" i="17" s="1"/>
  <c r="B34" i="17"/>
  <c r="G36" i="19" l="1"/>
  <c r="E36" i="19"/>
  <c r="D36" i="19"/>
  <c r="F36" i="19"/>
  <c r="C36" i="19"/>
  <c r="M34" i="17" a="1"/>
  <c r="M34" i="17" s="1"/>
  <c r="T34" i="17" a="1"/>
  <c r="T34" i="17" s="1"/>
  <c r="G34" i="17" a="1"/>
  <c r="G34" i="17" s="1"/>
  <c r="N34" i="17" a="1"/>
  <c r="N34" i="17" s="1"/>
  <c r="C34" i="17"/>
  <c r="H34" i="17" a="1"/>
  <c r="H34" i="17" s="1"/>
  <c r="O34" i="17" a="1"/>
  <c r="O34" i="17" s="1"/>
  <c r="Q34" i="17" a="1"/>
  <c r="Q34" i="17" s="1"/>
  <c r="I34" i="17" a="1"/>
  <c r="I34" i="17" s="1"/>
  <c r="R34" i="17" a="1"/>
  <c r="R34" i="17" s="1"/>
  <c r="J34" i="17" a="1"/>
  <c r="J34" i="17" s="1"/>
  <c r="S34" i="17" a="1"/>
  <c r="S34" i="17" s="1"/>
  <c r="F34" i="17" a="1"/>
  <c r="F34" i="17" s="1"/>
  <c r="E34" i="17" a="1"/>
  <c r="E34" i="17" s="1"/>
  <c r="K34" i="17" a="1"/>
  <c r="K34" i="17" s="1"/>
  <c r="L34" i="17" a="1"/>
  <c r="L34" i="17" s="1"/>
  <c r="P34" i="17" a="1"/>
  <c r="P34" i="17" s="1"/>
  <c r="D33" i="17"/>
  <c r="B35" i="17"/>
  <c r="G37" i="19" l="1"/>
  <c r="F37" i="19"/>
  <c r="E37" i="19"/>
  <c r="D37" i="19"/>
  <c r="C37" i="19"/>
  <c r="K35" i="17" a="1"/>
  <c r="K35" i="17" s="1"/>
  <c r="R35" i="17" a="1"/>
  <c r="R35" i="17" s="1"/>
  <c r="E35" i="17" a="1"/>
  <c r="E35" i="17" s="1"/>
  <c r="L35" i="17" a="1"/>
  <c r="L35" i="17" s="1"/>
  <c r="S35" i="17" a="1"/>
  <c r="S35" i="17" s="1"/>
  <c r="C35" i="17"/>
  <c r="M35" i="17" a="1"/>
  <c r="M35" i="17" s="1"/>
  <c r="N35" i="17" a="1"/>
  <c r="N35" i="17" s="1"/>
  <c r="J35" i="17" a="1"/>
  <c r="J35" i="17" s="1"/>
  <c r="F35" i="17" a="1"/>
  <c r="F35" i="17" s="1"/>
  <c r="T35" i="17" a="1"/>
  <c r="T35" i="17" s="1"/>
  <c r="G35" i="17" a="1"/>
  <c r="G35" i="17" s="1"/>
  <c r="H35" i="17" a="1"/>
  <c r="H35" i="17" s="1"/>
  <c r="I35" i="17" a="1"/>
  <c r="I35" i="17" s="1"/>
  <c r="O35" i="17" a="1"/>
  <c r="O35" i="17" s="1"/>
  <c r="P35" i="17" a="1"/>
  <c r="P35" i="17" s="1"/>
  <c r="Q35" i="17" a="1"/>
  <c r="Q35" i="17" s="1"/>
  <c r="D34" i="17"/>
  <c r="B36" i="17"/>
  <c r="C38" i="19" l="1"/>
  <c r="F38" i="19"/>
  <c r="G38" i="19"/>
  <c r="E38" i="19"/>
  <c r="D38" i="19"/>
  <c r="I36" i="17" a="1"/>
  <c r="I36" i="17" s="1"/>
  <c r="O36" i="17" a="1"/>
  <c r="O36" i="17" s="1"/>
  <c r="P36" i="17" a="1"/>
  <c r="P36" i="17" s="1"/>
  <c r="J36" i="17" a="1"/>
  <c r="J36" i="17" s="1"/>
  <c r="Q36" i="17" a="1"/>
  <c r="Q36" i="17" s="1"/>
  <c r="C36" i="17"/>
  <c r="F36" i="17" a="1"/>
  <c r="F36" i="17" s="1"/>
  <c r="N36" i="17" a="1"/>
  <c r="N36" i="17" s="1"/>
  <c r="G36" i="17" a="1"/>
  <c r="G36" i="17" s="1"/>
  <c r="E36" i="17" a="1"/>
  <c r="E36" i="17" s="1"/>
  <c r="M36" i="17" a="1"/>
  <c r="M36" i="17" s="1"/>
  <c r="H36" i="17" a="1"/>
  <c r="H36" i="17" s="1"/>
  <c r="T36" i="17" a="1"/>
  <c r="T36" i="17" s="1"/>
  <c r="K36" i="17" a="1"/>
  <c r="K36" i="17" s="1"/>
  <c r="L36" i="17" a="1"/>
  <c r="L36" i="17" s="1"/>
  <c r="R36" i="17" a="1"/>
  <c r="R36" i="17" s="1"/>
  <c r="S36" i="17" a="1"/>
  <c r="S36" i="17" s="1"/>
  <c r="D35" i="17"/>
  <c r="B37" i="17"/>
  <c r="G39" i="19" l="1"/>
  <c r="F39" i="19"/>
  <c r="E39" i="19"/>
  <c r="C39" i="19"/>
  <c r="D39" i="19"/>
  <c r="L37" i="17" a="1"/>
  <c r="L37" i="17" s="1"/>
  <c r="F37" i="17" a="1"/>
  <c r="F37" i="17" s="1"/>
  <c r="R37" i="17" a="1"/>
  <c r="R37" i="17" s="1"/>
  <c r="G37" i="17" a="1"/>
  <c r="G37" i="17" s="1"/>
  <c r="M37" i="17" a="1"/>
  <c r="M37" i="17" s="1"/>
  <c r="C37" i="17"/>
  <c r="H37" i="17" a="1"/>
  <c r="H37" i="17" s="1"/>
  <c r="P37" i="17" a="1"/>
  <c r="P37" i="17" s="1"/>
  <c r="I37" i="17" a="1"/>
  <c r="I37" i="17" s="1"/>
  <c r="Q37" i="17" a="1"/>
  <c r="Q37" i="17" s="1"/>
  <c r="O37" i="17" a="1"/>
  <c r="O37" i="17" s="1"/>
  <c r="T37" i="17" a="1"/>
  <c r="T37" i="17" s="1"/>
  <c r="E37" i="17" a="1"/>
  <c r="E37" i="17" s="1"/>
  <c r="J37" i="17" a="1"/>
  <c r="J37" i="17" s="1"/>
  <c r="K37" i="17" a="1"/>
  <c r="K37" i="17" s="1"/>
  <c r="N37" i="17" a="1"/>
  <c r="N37" i="17" s="1"/>
  <c r="S37" i="17" a="1"/>
  <c r="S37" i="17" s="1"/>
  <c r="D36" i="17"/>
  <c r="B38" i="17"/>
  <c r="C40" i="19" l="1"/>
  <c r="F40" i="19"/>
  <c r="G40" i="19"/>
  <c r="E40" i="19"/>
  <c r="D40" i="19"/>
  <c r="N38" i="17" a="1"/>
  <c r="N38" i="17" s="1"/>
  <c r="I38" i="17" a="1"/>
  <c r="I38" i="17" s="1"/>
  <c r="O38" i="17" a="1"/>
  <c r="O38" i="17" s="1"/>
  <c r="P38" i="17" a="1"/>
  <c r="P38" i="17" s="1"/>
  <c r="C38" i="17"/>
  <c r="J38" i="17" a="1"/>
  <c r="J38" i="17" s="1"/>
  <c r="S38" i="17" a="1"/>
  <c r="S38" i="17" s="1"/>
  <c r="K38" i="17" a="1"/>
  <c r="K38" i="17" s="1"/>
  <c r="T38" i="17" a="1"/>
  <c r="T38" i="17" s="1"/>
  <c r="H38" i="17" a="1"/>
  <c r="H38" i="17" s="1"/>
  <c r="R38" i="17" a="1"/>
  <c r="R38" i="17" s="1"/>
  <c r="Q38" i="17" a="1"/>
  <c r="Q38" i="17" s="1"/>
  <c r="E38" i="17" a="1"/>
  <c r="E38" i="17" s="1"/>
  <c r="F38" i="17" a="1"/>
  <c r="F38" i="17" s="1"/>
  <c r="G38" i="17" a="1"/>
  <c r="G38" i="17" s="1"/>
  <c r="L38" i="17" a="1"/>
  <c r="L38" i="17" s="1"/>
  <c r="M38" i="17" a="1"/>
  <c r="M38" i="17" s="1"/>
  <c r="D37" i="17"/>
  <c r="B39" i="17"/>
  <c r="G41" i="19" l="1"/>
  <c r="F41" i="19"/>
  <c r="E41" i="19"/>
  <c r="D41" i="19"/>
  <c r="C41" i="19"/>
  <c r="L39" i="17" a="1"/>
  <c r="L39" i="17" s="1"/>
  <c r="S39" i="17" a="1"/>
  <c r="S39" i="17" s="1"/>
  <c r="F39" i="17" a="1"/>
  <c r="F39" i="17" s="1"/>
  <c r="M39" i="17" a="1"/>
  <c r="M39" i="17" s="1"/>
  <c r="K39" i="17" a="1"/>
  <c r="K39" i="17" s="1"/>
  <c r="N39" i="17" a="1"/>
  <c r="N39" i="17" s="1"/>
  <c r="C39" i="17"/>
  <c r="J39" i="17" a="1"/>
  <c r="J39" i="17" s="1"/>
  <c r="R39" i="17" a="1"/>
  <c r="R39" i="17" s="1"/>
  <c r="E39" i="17" a="1"/>
  <c r="E39" i="17" s="1"/>
  <c r="G39" i="17" a="1"/>
  <c r="G39" i="17" s="1"/>
  <c r="T39" i="17" a="1"/>
  <c r="T39" i="17" s="1"/>
  <c r="H39" i="17" a="1"/>
  <c r="H39" i="17" s="1"/>
  <c r="I39" i="17" a="1"/>
  <c r="I39" i="17" s="1"/>
  <c r="O39" i="17" a="1"/>
  <c r="O39" i="17" s="1"/>
  <c r="P39" i="17" a="1"/>
  <c r="P39" i="17" s="1"/>
  <c r="Q39" i="17" a="1"/>
  <c r="Q39" i="17" s="1"/>
  <c r="D38" i="17"/>
  <c r="B40" i="17"/>
  <c r="G42" i="19" l="1"/>
  <c r="F42" i="19"/>
  <c r="E42" i="19"/>
  <c r="D42" i="19"/>
  <c r="C42" i="19"/>
  <c r="C40" i="17"/>
  <c r="K40" i="17" a="1"/>
  <c r="K40" i="17" s="1"/>
  <c r="R40" i="17" a="1"/>
  <c r="R40" i="17" s="1"/>
  <c r="E40" i="17" a="1"/>
  <c r="E40" i="17" s="1"/>
  <c r="L40" i="17" a="1"/>
  <c r="L40" i="17" s="1"/>
  <c r="T40" i="17" a="1"/>
  <c r="T40" i="17" s="1"/>
  <c r="G40" i="17" a="1"/>
  <c r="G40" i="17" s="1"/>
  <c r="P40" i="17" a="1"/>
  <c r="P40" i="17" s="1"/>
  <c r="H40" i="17" a="1"/>
  <c r="H40" i="17" s="1"/>
  <c r="F40" i="17" a="1"/>
  <c r="F40" i="17" s="1"/>
  <c r="O40" i="17" a="1"/>
  <c r="O40" i="17" s="1"/>
  <c r="S40" i="17" a="1"/>
  <c r="S40" i="17" s="1"/>
  <c r="I40" i="17" a="1"/>
  <c r="I40" i="17" s="1"/>
  <c r="J40" i="17" a="1"/>
  <c r="J40" i="17" s="1"/>
  <c r="M40" i="17" a="1"/>
  <c r="M40" i="17" s="1"/>
  <c r="N40" i="17" a="1"/>
  <c r="N40" i="17" s="1"/>
  <c r="Q40" i="17" a="1"/>
  <c r="Q40" i="17" s="1"/>
  <c r="D39" i="17"/>
  <c r="B41" i="17"/>
  <c r="G43" i="19" l="1"/>
  <c r="F43" i="19"/>
  <c r="E43" i="19"/>
  <c r="D43" i="19"/>
  <c r="C43" i="19"/>
  <c r="C41" i="17"/>
  <c r="J41" i="17" a="1"/>
  <c r="J41" i="17" s="1"/>
  <c r="R41" i="17" a="1"/>
  <c r="R41" i="17" s="1"/>
  <c r="H41" i="17" a="1"/>
  <c r="H41" i="17" s="1"/>
  <c r="Q41" i="17" a="1"/>
  <c r="Q41" i="17" s="1"/>
  <c r="I41" i="17" a="1"/>
  <c r="I41" i="17" s="1"/>
  <c r="S41" i="17" a="1"/>
  <c r="S41" i="17" s="1"/>
  <c r="K41" i="17" a="1"/>
  <c r="K41" i="17" s="1"/>
  <c r="T41" i="17" a="1"/>
  <c r="T41" i="17" s="1"/>
  <c r="G41" i="17" a="1"/>
  <c r="G41" i="17" s="1"/>
  <c r="P41" i="17" a="1"/>
  <c r="P41" i="17" s="1"/>
  <c r="O41" i="17" a="1"/>
  <c r="O41" i="17" s="1"/>
  <c r="E41" i="17" a="1"/>
  <c r="E41" i="17" s="1"/>
  <c r="F41" i="17" a="1"/>
  <c r="F41" i="17" s="1"/>
  <c r="L41" i="17" a="1"/>
  <c r="L41" i="17" s="1"/>
  <c r="M41" i="17" a="1"/>
  <c r="M41" i="17" s="1"/>
  <c r="N41" i="17" a="1"/>
  <c r="N41" i="17" s="1"/>
  <c r="D40" i="17"/>
  <c r="B42" i="17"/>
  <c r="G44" i="19" l="1"/>
  <c r="F44" i="19"/>
  <c r="C44" i="19"/>
  <c r="D44" i="19"/>
  <c r="E44" i="19"/>
  <c r="C42" i="17"/>
  <c r="J42" i="17" a="1"/>
  <c r="J42" i="17" s="1"/>
  <c r="R42" i="17" a="1"/>
  <c r="R42" i="17" s="1"/>
  <c r="K42" i="17" a="1"/>
  <c r="K42" i="17" s="1"/>
  <c r="S42" i="17" a="1"/>
  <c r="S42" i="17" s="1"/>
  <c r="L42" i="17" a="1"/>
  <c r="L42" i="17" s="1"/>
  <c r="T42" i="17" a="1"/>
  <c r="T42" i="17" s="1"/>
  <c r="M42" i="17" a="1"/>
  <c r="M42" i="17" s="1"/>
  <c r="I42" i="17" a="1"/>
  <c r="I42" i="17" s="1"/>
  <c r="E42" i="17" a="1"/>
  <c r="E42" i="17" s="1"/>
  <c r="P42" i="17" a="1"/>
  <c r="P42" i="17" s="1"/>
  <c r="Q42" i="17" a="1"/>
  <c r="Q42" i="17" s="1"/>
  <c r="F42" i="17" a="1"/>
  <c r="F42" i="17" s="1"/>
  <c r="G42" i="17" a="1"/>
  <c r="G42" i="17" s="1"/>
  <c r="H42" i="17" a="1"/>
  <c r="H42" i="17" s="1"/>
  <c r="N42" i="17" a="1"/>
  <c r="N42" i="17" s="1"/>
  <c r="O42" i="17" a="1"/>
  <c r="O42" i="17" s="1"/>
  <c r="D41" i="17"/>
  <c r="B43" i="17"/>
  <c r="G45" i="19" l="1"/>
  <c r="D45" i="19"/>
  <c r="F45" i="19"/>
  <c r="C45" i="19"/>
  <c r="E45" i="19"/>
  <c r="C43" i="17"/>
  <c r="J43" i="17" a="1"/>
  <c r="J43" i="17" s="1"/>
  <c r="M43" i="17" a="1"/>
  <c r="M43" i="17" s="1"/>
  <c r="T43" i="17" a="1"/>
  <c r="T43" i="17" s="1"/>
  <c r="N43" i="17" a="1"/>
  <c r="N43" i="17" s="1"/>
  <c r="L43" i="17" a="1"/>
  <c r="L43" i="17" s="1"/>
  <c r="O43" i="17" a="1"/>
  <c r="O43" i="17" s="1"/>
  <c r="P43" i="17" a="1"/>
  <c r="P43" i="17" s="1"/>
  <c r="Q43" i="17" a="1"/>
  <c r="Q43" i="17" s="1"/>
  <c r="E43" i="17" a="1"/>
  <c r="E43" i="17" s="1"/>
  <c r="R43" i="17" a="1"/>
  <c r="R43" i="17" s="1"/>
  <c r="F43" i="17" a="1"/>
  <c r="F43" i="17" s="1"/>
  <c r="S43" i="17" a="1"/>
  <c r="S43" i="17" s="1"/>
  <c r="G43" i="17" a="1"/>
  <c r="G43" i="17" s="1"/>
  <c r="H43" i="17" a="1"/>
  <c r="H43" i="17" s="1"/>
  <c r="I43" i="17" a="1"/>
  <c r="I43" i="17" s="1"/>
  <c r="K43" i="17" a="1"/>
  <c r="K43" i="17" s="1"/>
  <c r="D42" i="17"/>
  <c r="B44" i="17"/>
  <c r="G46" i="19" l="1"/>
  <c r="E46" i="19"/>
  <c r="D46" i="19"/>
  <c r="F46" i="19"/>
  <c r="C46" i="19"/>
  <c r="I44" i="17" a="1"/>
  <c r="I44" i="17" s="1"/>
  <c r="E44" i="17" a="1"/>
  <c r="E44" i="17" s="1"/>
  <c r="N44" i="17" a="1"/>
  <c r="N44" i="17" s="1"/>
  <c r="F44" i="17" a="1"/>
  <c r="F44" i="17" s="1"/>
  <c r="O44" i="17" a="1"/>
  <c r="O44" i="17" s="1"/>
  <c r="C44" i="17"/>
  <c r="L44" i="17" a="1"/>
  <c r="L44" i="17" s="1"/>
  <c r="M44" i="17" a="1"/>
  <c r="M44" i="17" s="1"/>
  <c r="P44" i="17" a="1"/>
  <c r="P44" i="17" s="1"/>
  <c r="Q44" i="17" a="1"/>
  <c r="Q44" i="17" s="1"/>
  <c r="R44" i="17" a="1"/>
  <c r="R44" i="17" s="1"/>
  <c r="G44" i="17" a="1"/>
  <c r="G44" i="17" s="1"/>
  <c r="S44" i="17" a="1"/>
  <c r="S44" i="17" s="1"/>
  <c r="T44" i="17" a="1"/>
  <c r="T44" i="17" s="1"/>
  <c r="H44" i="17" a="1"/>
  <c r="H44" i="17" s="1"/>
  <c r="J44" i="17" a="1"/>
  <c r="J44" i="17" s="1"/>
  <c r="K44" i="17" a="1"/>
  <c r="K44" i="17" s="1"/>
  <c r="D43" i="17"/>
  <c r="B45" i="17"/>
  <c r="D44" i="17" l="1"/>
  <c r="G47" i="19"/>
  <c r="E47" i="19"/>
  <c r="D47" i="19"/>
  <c r="F47" i="19"/>
  <c r="C47" i="19"/>
  <c r="I45" i="17" a="1"/>
  <c r="I45" i="17" s="1"/>
  <c r="C45" i="17"/>
  <c r="F45" i="17" a="1"/>
  <c r="F45" i="17" s="1"/>
  <c r="N45" i="17" a="1"/>
  <c r="N45" i="17" s="1"/>
  <c r="G45" i="17" a="1"/>
  <c r="G45" i="17" s="1"/>
  <c r="O45" i="17" a="1"/>
  <c r="O45" i="17" s="1"/>
  <c r="P45" i="17" a="1"/>
  <c r="P45" i="17" s="1"/>
  <c r="J45" i="17" a="1"/>
  <c r="J45" i="17" s="1"/>
  <c r="T45" i="17" a="1"/>
  <c r="T45" i="17" s="1"/>
  <c r="K45" i="17" a="1"/>
  <c r="K45" i="17" s="1"/>
  <c r="L45" i="17" a="1"/>
  <c r="L45" i="17" s="1"/>
  <c r="M45" i="17" a="1"/>
  <c r="M45" i="17" s="1"/>
  <c r="Q45" i="17" a="1"/>
  <c r="Q45" i="17" s="1"/>
  <c r="E45" i="17" a="1"/>
  <c r="E45" i="17" s="1"/>
  <c r="H45" i="17" a="1"/>
  <c r="H45" i="17" s="1"/>
  <c r="R45" i="17" a="1"/>
  <c r="R45" i="17" s="1"/>
  <c r="S45" i="17" a="1"/>
  <c r="S45" i="17" s="1"/>
  <c r="B46" i="17"/>
  <c r="C48" i="19" l="1"/>
  <c r="E48" i="19"/>
  <c r="D48" i="19"/>
  <c r="G48" i="19"/>
  <c r="F48" i="19"/>
  <c r="D45" i="17"/>
  <c r="C46" i="17"/>
  <c r="G46" i="17" a="1"/>
  <c r="G46" i="17" s="1"/>
  <c r="M46" i="17" a="1"/>
  <c r="M46" i="17" s="1"/>
  <c r="F46" i="17" a="1"/>
  <c r="F46" i="17" s="1"/>
  <c r="N46" i="17" a="1"/>
  <c r="N46" i="17" s="1"/>
  <c r="H46" i="17" a="1"/>
  <c r="H46" i="17" s="1"/>
  <c r="O46" i="17" a="1"/>
  <c r="O46" i="17" s="1"/>
  <c r="P46" i="17" a="1"/>
  <c r="P46" i="17" s="1"/>
  <c r="E46" i="17" a="1"/>
  <c r="E46" i="17" s="1"/>
  <c r="Q46" i="17" a="1"/>
  <c r="Q46" i="17" s="1"/>
  <c r="R46" i="17" a="1"/>
  <c r="R46" i="17" s="1"/>
  <c r="I46" i="17" a="1"/>
  <c r="I46" i="17" s="1"/>
  <c r="S46" i="17" a="1"/>
  <c r="S46" i="17" s="1"/>
  <c r="J46" i="17" a="1"/>
  <c r="J46" i="17" s="1"/>
  <c r="T46" i="17" a="1"/>
  <c r="T46" i="17" s="1"/>
  <c r="K46" i="17" a="1"/>
  <c r="K46" i="17" s="1"/>
  <c r="L46" i="17" a="1"/>
  <c r="L46" i="17" s="1"/>
  <c r="B47" i="17"/>
  <c r="D46" i="17" l="1"/>
  <c r="G49" i="19"/>
  <c r="F49" i="19"/>
  <c r="E49" i="19"/>
  <c r="C49" i="19"/>
  <c r="D49" i="19"/>
  <c r="E47" i="17" a="1"/>
  <c r="E47" i="17" s="1"/>
  <c r="M47" i="17" a="1"/>
  <c r="M47" i="17" s="1"/>
  <c r="S47" i="17" a="1"/>
  <c r="S47" i="17" s="1"/>
  <c r="C47" i="17"/>
  <c r="F47" i="17" a="1"/>
  <c r="F47" i="17" s="1"/>
  <c r="N47" i="17" a="1"/>
  <c r="N47" i="17" s="1"/>
  <c r="G47" i="17" a="1"/>
  <c r="G47" i="17" s="1"/>
  <c r="H47" i="17" a="1"/>
  <c r="H47" i="17" s="1"/>
  <c r="O47" i="17" a="1"/>
  <c r="O47" i="17" s="1"/>
  <c r="K47" i="17" a="1"/>
  <c r="K47" i="17" s="1"/>
  <c r="L47" i="17" a="1"/>
  <c r="L47" i="17" s="1"/>
  <c r="P47" i="17" a="1"/>
  <c r="P47" i="17" s="1"/>
  <c r="Q47" i="17" a="1"/>
  <c r="Q47" i="17" s="1"/>
  <c r="I47" i="17" a="1"/>
  <c r="I47" i="17" s="1"/>
  <c r="J47" i="17" a="1"/>
  <c r="J47" i="17" s="1"/>
  <c r="R47" i="17" a="1"/>
  <c r="R47" i="17" s="1"/>
  <c r="T47" i="17" a="1"/>
  <c r="T47" i="17" s="1"/>
  <c r="B48" i="17"/>
  <c r="C50" i="19" l="1"/>
  <c r="E50" i="19"/>
  <c r="D50" i="19"/>
  <c r="G50" i="19"/>
  <c r="F50" i="19"/>
  <c r="K48" i="17" a="1"/>
  <c r="K48" i="17" s="1"/>
  <c r="C48" i="17"/>
  <c r="E48" i="17" a="1"/>
  <c r="E48" i="17" s="1"/>
  <c r="M48" i="17" a="1"/>
  <c r="M48" i="17" s="1"/>
  <c r="F48" i="17" a="1"/>
  <c r="F48" i="17" s="1"/>
  <c r="T48" i="17" a="1"/>
  <c r="T48" i="17" s="1"/>
  <c r="G48" i="17" a="1"/>
  <c r="G48" i="17" s="1"/>
  <c r="N48" i="17" a="1"/>
  <c r="N48" i="17" s="1"/>
  <c r="P48" i="17" a="1"/>
  <c r="P48" i="17" s="1"/>
  <c r="Q48" i="17" a="1"/>
  <c r="Q48" i="17" s="1"/>
  <c r="H48" i="17" a="1"/>
  <c r="H48" i="17" s="1"/>
  <c r="R48" i="17" a="1"/>
  <c r="R48" i="17" s="1"/>
  <c r="I48" i="17" a="1"/>
  <c r="I48" i="17" s="1"/>
  <c r="J48" i="17" a="1"/>
  <c r="J48" i="17" s="1"/>
  <c r="S48" i="17" a="1"/>
  <c r="S48" i="17" s="1"/>
  <c r="L48" i="17" a="1"/>
  <c r="L48" i="17" s="1"/>
  <c r="O48" i="17" a="1"/>
  <c r="O48" i="17" s="1"/>
  <c r="D47" i="17"/>
  <c r="B49" i="17"/>
  <c r="G51" i="19" l="1"/>
  <c r="F51" i="19"/>
  <c r="E51" i="19"/>
  <c r="D51" i="19"/>
  <c r="C51" i="19"/>
  <c r="G49" i="17" a="1"/>
  <c r="G49" i="17" s="1"/>
  <c r="M49" i="17" a="1"/>
  <c r="M49" i="17" s="1"/>
  <c r="C49" i="17"/>
  <c r="Q49" i="17" a="1"/>
  <c r="Q49" i="17" s="1"/>
  <c r="K49" i="17" a="1"/>
  <c r="K49" i="17" s="1"/>
  <c r="E49" i="17" a="1"/>
  <c r="E49" i="17" s="1"/>
  <c r="R49" i="17" a="1"/>
  <c r="R49" i="17" s="1"/>
  <c r="I49" i="17" a="1"/>
  <c r="I49" i="17" s="1"/>
  <c r="T49" i="17" a="1"/>
  <c r="T49" i="17" s="1"/>
  <c r="J49" i="17" a="1"/>
  <c r="J49" i="17" s="1"/>
  <c r="L49" i="17" a="1"/>
  <c r="L49" i="17" s="1"/>
  <c r="N49" i="17" a="1"/>
  <c r="N49" i="17" s="1"/>
  <c r="F49" i="17" a="1"/>
  <c r="F49" i="17" s="1"/>
  <c r="O49" i="17" a="1"/>
  <c r="O49" i="17" s="1"/>
  <c r="P49" i="17" a="1"/>
  <c r="P49" i="17" s="1"/>
  <c r="S49" i="17" a="1"/>
  <c r="S49" i="17" s="1"/>
  <c r="H49" i="17" a="1"/>
  <c r="H49" i="17" s="1"/>
  <c r="D48" i="17"/>
  <c r="B50" i="17"/>
  <c r="G52" i="19" l="1"/>
  <c r="F52" i="19"/>
  <c r="E52" i="19"/>
  <c r="D52" i="19"/>
  <c r="C52" i="19"/>
  <c r="C50" i="17"/>
  <c r="Q50" i="17" a="1"/>
  <c r="Q50" i="17" s="1"/>
  <c r="I50" i="17" a="1"/>
  <c r="I50" i="17" s="1"/>
  <c r="J50" i="17" a="1"/>
  <c r="J50" i="17" s="1"/>
  <c r="K50" i="17" a="1"/>
  <c r="K50" i="17" s="1"/>
  <c r="R50" i="17" a="1"/>
  <c r="R50" i="17" s="1"/>
  <c r="O50" i="17" a="1"/>
  <c r="O50" i="17" s="1"/>
  <c r="E50" i="17" a="1"/>
  <c r="E50" i="17" s="1"/>
  <c r="P50" i="17" a="1"/>
  <c r="P50" i="17" s="1"/>
  <c r="F50" i="17" a="1"/>
  <c r="F50" i="17" s="1"/>
  <c r="S50" i="17" a="1"/>
  <c r="S50" i="17" s="1"/>
  <c r="G50" i="17" a="1"/>
  <c r="G50" i="17" s="1"/>
  <c r="H50" i="17" a="1"/>
  <c r="H50" i="17" s="1"/>
  <c r="T50" i="17" a="1"/>
  <c r="T50" i="17" s="1"/>
  <c r="L50" i="17" a="1"/>
  <c r="L50" i="17" s="1"/>
  <c r="M50" i="17" a="1"/>
  <c r="M50" i="17" s="1"/>
  <c r="N50" i="17" a="1"/>
  <c r="N50" i="17" s="1"/>
  <c r="D49" i="17"/>
  <c r="B51" i="17"/>
  <c r="G53" i="19" l="1"/>
  <c r="F53" i="19"/>
  <c r="E53" i="19"/>
  <c r="C53" i="19"/>
  <c r="D53" i="19"/>
  <c r="C51" i="17"/>
  <c r="H51" i="17" a="1"/>
  <c r="H51" i="17" s="1"/>
  <c r="I51" i="17" a="1"/>
  <c r="I51" i="17" s="1"/>
  <c r="P51" i="17" a="1"/>
  <c r="P51" i="17" s="1"/>
  <c r="J51" i="17" a="1"/>
  <c r="J51" i="17" s="1"/>
  <c r="K51" i="17" a="1"/>
  <c r="K51" i="17" s="1"/>
  <c r="T51" i="17" a="1"/>
  <c r="T51" i="17" s="1"/>
  <c r="L51" i="17" a="1"/>
  <c r="L51" i="17" s="1"/>
  <c r="M51" i="17" a="1"/>
  <c r="M51" i="17" s="1"/>
  <c r="N51" i="17" a="1"/>
  <c r="N51" i="17" s="1"/>
  <c r="E51" i="17" a="1"/>
  <c r="E51" i="17" s="1"/>
  <c r="O51" i="17" a="1"/>
  <c r="O51" i="17" s="1"/>
  <c r="Q51" i="17" a="1"/>
  <c r="Q51" i="17" s="1"/>
  <c r="F51" i="17" a="1"/>
  <c r="F51" i="17" s="1"/>
  <c r="G51" i="17" a="1"/>
  <c r="G51" i="17" s="1"/>
  <c r="R51" i="17" a="1"/>
  <c r="R51" i="17" s="1"/>
  <c r="S51" i="17" a="1"/>
  <c r="S51" i="17" s="1"/>
  <c r="D50" i="17"/>
  <c r="B52" i="17"/>
  <c r="G54" i="19" l="1"/>
  <c r="E54" i="19"/>
  <c r="C54" i="19"/>
  <c r="D54" i="19"/>
  <c r="F54" i="19"/>
  <c r="C52" i="17"/>
  <c r="E52" i="17" a="1"/>
  <c r="E52" i="17" s="1"/>
  <c r="L52" i="17" a="1"/>
  <c r="L52" i="17" s="1"/>
  <c r="S52" i="17" a="1"/>
  <c r="S52" i="17" s="1"/>
  <c r="N52" i="17" a="1"/>
  <c r="N52" i="17" s="1"/>
  <c r="H52" i="17" a="1"/>
  <c r="H52" i="17" s="1"/>
  <c r="O52" i="17" a="1"/>
  <c r="O52" i="17" s="1"/>
  <c r="I52" i="17" a="1"/>
  <c r="I52" i="17" s="1"/>
  <c r="P52" i="17" a="1"/>
  <c r="P52" i="17" s="1"/>
  <c r="F52" i="17" a="1"/>
  <c r="F52" i="17" s="1"/>
  <c r="Q52" i="17" a="1"/>
  <c r="Q52" i="17" s="1"/>
  <c r="G52" i="17" a="1"/>
  <c r="G52" i="17" s="1"/>
  <c r="R52" i="17" a="1"/>
  <c r="R52" i="17" s="1"/>
  <c r="J52" i="17" a="1"/>
  <c r="J52" i="17" s="1"/>
  <c r="T52" i="17" a="1"/>
  <c r="T52" i="17" s="1"/>
  <c r="K52" i="17" a="1"/>
  <c r="K52" i="17" s="1"/>
  <c r="M52" i="17" a="1"/>
  <c r="M52" i="17" s="1"/>
  <c r="D51" i="17"/>
  <c r="B53" i="17"/>
  <c r="G55" i="19" l="1"/>
  <c r="F55" i="19"/>
  <c r="E55" i="19"/>
  <c r="C55" i="19"/>
  <c r="D55" i="19"/>
  <c r="C53" i="17"/>
  <c r="I53" i="17" a="1"/>
  <c r="I53" i="17" s="1"/>
  <c r="F53" i="17" a="1"/>
  <c r="F53" i="17" s="1"/>
  <c r="N53" i="17" a="1"/>
  <c r="N53" i="17" s="1"/>
  <c r="G53" i="17" a="1"/>
  <c r="G53" i="17" s="1"/>
  <c r="O53" i="17" a="1"/>
  <c r="O53" i="17" s="1"/>
  <c r="J53" i="17" a="1"/>
  <c r="J53" i="17" s="1"/>
  <c r="S53" i="17" a="1"/>
  <c r="S53" i="17" s="1"/>
  <c r="K53" i="17" a="1"/>
  <c r="K53" i="17" s="1"/>
  <c r="T53" i="17" a="1"/>
  <c r="T53" i="17" s="1"/>
  <c r="L53" i="17" a="1"/>
  <c r="L53" i="17" s="1"/>
  <c r="M53" i="17" a="1"/>
  <c r="M53" i="17" s="1"/>
  <c r="P53" i="17" a="1"/>
  <c r="P53" i="17" s="1"/>
  <c r="Q53" i="17" a="1"/>
  <c r="Q53" i="17" s="1"/>
  <c r="E53" i="17" a="1"/>
  <c r="E53" i="17" s="1"/>
  <c r="H53" i="17" a="1"/>
  <c r="H53" i="17" s="1"/>
  <c r="R53" i="17" a="1"/>
  <c r="R53" i="17" s="1"/>
  <c r="D52" i="17"/>
  <c r="B54" i="17"/>
  <c r="G56" i="19" l="1"/>
  <c r="F56" i="19"/>
  <c r="E56" i="19"/>
  <c r="C56" i="19"/>
  <c r="D56" i="19"/>
  <c r="G54" i="17" a="1"/>
  <c r="G54" i="17" s="1"/>
  <c r="M54" i="17" a="1"/>
  <c r="M54" i="17" s="1"/>
  <c r="T54" i="17" a="1"/>
  <c r="T54" i="17" s="1"/>
  <c r="C54" i="17"/>
  <c r="E54" i="17" a="1"/>
  <c r="E54" i="17" s="1"/>
  <c r="L54" i="17" a="1"/>
  <c r="L54" i="17" s="1"/>
  <c r="S54" i="17" a="1"/>
  <c r="S54" i="17" s="1"/>
  <c r="F54" i="17" a="1"/>
  <c r="F54" i="17" s="1"/>
  <c r="O54" i="17" a="1"/>
  <c r="O54" i="17" s="1"/>
  <c r="P54" i="17" a="1"/>
  <c r="P54" i="17" s="1"/>
  <c r="H54" i="17" a="1"/>
  <c r="H54" i="17" s="1"/>
  <c r="Q54" i="17" a="1"/>
  <c r="Q54" i="17" s="1"/>
  <c r="I54" i="17" a="1"/>
  <c r="I54" i="17" s="1"/>
  <c r="R54" i="17" a="1"/>
  <c r="R54" i="17" s="1"/>
  <c r="J54" i="17" a="1"/>
  <c r="J54" i="17" s="1"/>
  <c r="K54" i="17" a="1"/>
  <c r="K54" i="17" s="1"/>
  <c r="N54" i="17" a="1"/>
  <c r="N54" i="17" s="1"/>
  <c r="D53" i="17"/>
  <c r="B55" i="17"/>
  <c r="G57" i="19" l="1"/>
  <c r="D57" i="19"/>
  <c r="F57" i="19"/>
  <c r="E57" i="19"/>
  <c r="C57" i="19"/>
  <c r="C55" i="17"/>
  <c r="J55" i="17" a="1"/>
  <c r="J55" i="17" s="1"/>
  <c r="R55" i="17" a="1"/>
  <c r="R55" i="17" s="1"/>
  <c r="E55" i="17" a="1"/>
  <c r="E55" i="17" s="1"/>
  <c r="K55" i="17" a="1"/>
  <c r="K55" i="17" s="1"/>
  <c r="S55" i="17" a="1"/>
  <c r="S55" i="17" s="1"/>
  <c r="H55" i="17" a="1"/>
  <c r="H55" i="17" s="1"/>
  <c r="T55" i="17" a="1"/>
  <c r="T55" i="17" s="1"/>
  <c r="I55" i="17" a="1"/>
  <c r="I55" i="17" s="1"/>
  <c r="L55" i="17" a="1"/>
  <c r="L55" i="17" s="1"/>
  <c r="M55" i="17" a="1"/>
  <c r="M55" i="17" s="1"/>
  <c r="N55" i="17" a="1"/>
  <c r="N55" i="17" s="1"/>
  <c r="F55" i="17" a="1"/>
  <c r="F55" i="17" s="1"/>
  <c r="O55" i="17" a="1"/>
  <c r="O55" i="17" s="1"/>
  <c r="G55" i="17" a="1"/>
  <c r="G55" i="17" s="1"/>
  <c r="P55" i="17" a="1"/>
  <c r="P55" i="17" s="1"/>
  <c r="Q55" i="17" a="1"/>
  <c r="Q55" i="17" s="1"/>
  <c r="D54" i="17"/>
  <c r="B56" i="17"/>
  <c r="C58" i="19" l="1"/>
  <c r="D58" i="19"/>
  <c r="F58" i="19"/>
  <c r="G58" i="19"/>
  <c r="E58" i="19"/>
  <c r="G56" i="17" a="1"/>
  <c r="G56" i="17" s="1"/>
  <c r="N56" i="17" a="1"/>
  <c r="N56" i="17" s="1"/>
  <c r="T56" i="17" a="1"/>
  <c r="T56" i="17" s="1"/>
  <c r="C56" i="17"/>
  <c r="I56" i="17" a="1"/>
  <c r="I56" i="17" s="1"/>
  <c r="J56" i="17" a="1"/>
  <c r="J56" i="17" s="1"/>
  <c r="Q56" i="17" a="1"/>
  <c r="Q56" i="17" s="1"/>
  <c r="K56" i="17" a="1"/>
  <c r="K56" i="17" s="1"/>
  <c r="R56" i="17" a="1"/>
  <c r="R56" i="17" s="1"/>
  <c r="E56" i="17" a="1"/>
  <c r="E56" i="17" s="1"/>
  <c r="O56" i="17" a="1"/>
  <c r="O56" i="17" s="1"/>
  <c r="P56" i="17" a="1"/>
  <c r="P56" i="17" s="1"/>
  <c r="F56" i="17" a="1"/>
  <c r="F56" i="17" s="1"/>
  <c r="H56" i="17" a="1"/>
  <c r="H56" i="17" s="1"/>
  <c r="S56" i="17" a="1"/>
  <c r="S56" i="17" s="1"/>
  <c r="L56" i="17" a="1"/>
  <c r="L56" i="17" s="1"/>
  <c r="M56" i="17" a="1"/>
  <c r="M56" i="17" s="1"/>
  <c r="D55" i="17"/>
  <c r="B57" i="17"/>
  <c r="G59" i="19" l="1"/>
  <c r="F59" i="19"/>
  <c r="E59" i="19"/>
  <c r="C59" i="19"/>
  <c r="D59" i="19"/>
  <c r="L57" i="17" a="1"/>
  <c r="L57" i="17" s="1"/>
  <c r="R57" i="17" a="1"/>
  <c r="R57" i="17" s="1"/>
  <c r="H57" i="17" a="1"/>
  <c r="H57" i="17" s="1"/>
  <c r="O57" i="17" a="1"/>
  <c r="O57" i="17" s="1"/>
  <c r="I57" i="17" a="1"/>
  <c r="I57" i="17" s="1"/>
  <c r="P57" i="17" a="1"/>
  <c r="P57" i="17" s="1"/>
  <c r="Q57" i="17" a="1"/>
  <c r="Q57" i="17" s="1"/>
  <c r="C57" i="17"/>
  <c r="T57" i="17" a="1"/>
  <c r="T57" i="17" s="1"/>
  <c r="J57" i="17" a="1"/>
  <c r="J57" i="17" s="1"/>
  <c r="K57" i="17" a="1"/>
  <c r="K57" i="17" s="1"/>
  <c r="M57" i="17" a="1"/>
  <c r="M57" i="17" s="1"/>
  <c r="N57" i="17" a="1"/>
  <c r="N57" i="17" s="1"/>
  <c r="E57" i="17" a="1"/>
  <c r="E57" i="17" s="1"/>
  <c r="F57" i="17" a="1"/>
  <c r="F57" i="17" s="1"/>
  <c r="G57" i="17" a="1"/>
  <c r="G57" i="17" s="1"/>
  <c r="S57" i="17" a="1"/>
  <c r="S57" i="17" s="1"/>
  <c r="D56" i="17"/>
  <c r="B58" i="17"/>
  <c r="D57" i="17" l="1"/>
  <c r="G60" i="19"/>
  <c r="C60" i="19"/>
  <c r="D60" i="19"/>
  <c r="F60" i="19"/>
  <c r="E60" i="19"/>
  <c r="I58" i="17" a="1"/>
  <c r="I58" i="17" s="1"/>
  <c r="Q58" i="17" a="1"/>
  <c r="Q58" i="17" s="1"/>
  <c r="O58" i="17" a="1"/>
  <c r="O58" i="17" s="1"/>
  <c r="R58" i="17" a="1"/>
  <c r="R58" i="17" s="1"/>
  <c r="M58" i="17" a="1"/>
  <c r="M58" i="17" s="1"/>
  <c r="E58" i="17" a="1"/>
  <c r="E58" i="17" s="1"/>
  <c r="N58" i="17" a="1"/>
  <c r="N58" i="17" s="1"/>
  <c r="F58" i="17" a="1"/>
  <c r="F58" i="17" s="1"/>
  <c r="P58" i="17" a="1"/>
  <c r="P58" i="17" s="1"/>
  <c r="C58" i="17"/>
  <c r="G58" i="17" a="1"/>
  <c r="G58" i="17" s="1"/>
  <c r="H58" i="17" a="1"/>
  <c r="H58" i="17" s="1"/>
  <c r="S58" i="17" a="1"/>
  <c r="S58" i="17" s="1"/>
  <c r="J58" i="17" a="1"/>
  <c r="J58" i="17" s="1"/>
  <c r="T58" i="17" a="1"/>
  <c r="T58" i="17" s="1"/>
  <c r="K58" i="17" a="1"/>
  <c r="K58" i="17" s="1"/>
  <c r="L58" i="17" a="1"/>
  <c r="L58" i="17" s="1"/>
  <c r="B59" i="17"/>
  <c r="D58" i="17" l="1"/>
  <c r="G61" i="19"/>
  <c r="F61" i="19"/>
  <c r="E61" i="19"/>
  <c r="D61" i="19"/>
  <c r="C61" i="19"/>
  <c r="O59" i="17" a="1"/>
  <c r="O59" i="17" s="1"/>
  <c r="C59" i="17"/>
  <c r="G59" i="17" a="1"/>
  <c r="G59" i="17" s="1"/>
  <c r="P59" i="17" a="1"/>
  <c r="P59" i="17" s="1"/>
  <c r="I59" i="17" a="1"/>
  <c r="I59" i="17" s="1"/>
  <c r="Q59" i="17" a="1"/>
  <c r="Q59" i="17" s="1"/>
  <c r="F59" i="17" a="1"/>
  <c r="F59" i="17" s="1"/>
  <c r="R59" i="17" a="1"/>
  <c r="R59" i="17" s="1"/>
  <c r="H59" i="17" a="1"/>
  <c r="H59" i="17" s="1"/>
  <c r="J59" i="17" a="1"/>
  <c r="J59" i="17" s="1"/>
  <c r="S59" i="17" a="1"/>
  <c r="S59" i="17" s="1"/>
  <c r="T59" i="17" a="1"/>
  <c r="T59" i="17" s="1"/>
  <c r="K59" i="17" a="1"/>
  <c r="K59" i="17" s="1"/>
  <c r="L59" i="17" a="1"/>
  <c r="L59" i="17" s="1"/>
  <c r="M59" i="17" a="1"/>
  <c r="M59" i="17" s="1"/>
  <c r="N59" i="17" a="1"/>
  <c r="N59" i="17" s="1"/>
  <c r="E59" i="17" a="1"/>
  <c r="E59" i="17" s="1"/>
  <c r="B60" i="17"/>
  <c r="G62" i="19" l="1"/>
  <c r="F62" i="19"/>
  <c r="E62" i="19"/>
  <c r="D62" i="19"/>
  <c r="C62" i="19"/>
  <c r="C60" i="17"/>
  <c r="N60" i="17" a="1"/>
  <c r="N60" i="17" s="1"/>
  <c r="T60" i="17" a="1"/>
  <c r="T60" i="17" s="1"/>
  <c r="G60" i="17" a="1"/>
  <c r="G60" i="17" s="1"/>
  <c r="I60" i="17" a="1"/>
  <c r="I60" i="17" s="1"/>
  <c r="L60" i="17" a="1"/>
  <c r="L60" i="17" s="1"/>
  <c r="M60" i="17" a="1"/>
  <c r="M60" i="17" s="1"/>
  <c r="O60" i="17" a="1"/>
  <c r="O60" i="17" s="1"/>
  <c r="E60" i="17" a="1"/>
  <c r="E60" i="17" s="1"/>
  <c r="P60" i="17" a="1"/>
  <c r="P60" i="17" s="1"/>
  <c r="F60" i="17" a="1"/>
  <c r="F60" i="17" s="1"/>
  <c r="Q60" i="17" a="1"/>
  <c r="Q60" i="17" s="1"/>
  <c r="H60" i="17" a="1"/>
  <c r="H60" i="17" s="1"/>
  <c r="R60" i="17" a="1"/>
  <c r="R60" i="17" s="1"/>
  <c r="J60" i="17" a="1"/>
  <c r="J60" i="17" s="1"/>
  <c r="K60" i="17" a="1"/>
  <c r="K60" i="17" s="1"/>
  <c r="S60" i="17" a="1"/>
  <c r="S60" i="17" s="1"/>
  <c r="D59" i="17"/>
  <c r="B61" i="17"/>
  <c r="G63" i="19" l="1"/>
  <c r="F63" i="19"/>
  <c r="E63" i="19"/>
  <c r="D63" i="19"/>
  <c r="C63" i="19"/>
  <c r="C61" i="17"/>
  <c r="K61" i="17" a="1"/>
  <c r="K61" i="17" s="1"/>
  <c r="S61" i="17" a="1"/>
  <c r="S61" i="17" s="1"/>
  <c r="G61" i="17" a="1"/>
  <c r="G61" i="17" s="1"/>
  <c r="I61" i="17" a="1"/>
  <c r="I61" i="17" s="1"/>
  <c r="P61" i="17" a="1"/>
  <c r="P61" i="17" s="1"/>
  <c r="E61" i="17" a="1"/>
  <c r="E61" i="17" s="1"/>
  <c r="N61" i="17" a="1"/>
  <c r="N61" i="17" s="1"/>
  <c r="F61" i="17" a="1"/>
  <c r="F61" i="17" s="1"/>
  <c r="O61" i="17" a="1"/>
  <c r="O61" i="17" s="1"/>
  <c r="Q61" i="17" a="1"/>
  <c r="Q61" i="17" s="1"/>
  <c r="H61" i="17" a="1"/>
  <c r="H61" i="17" s="1"/>
  <c r="R61" i="17" a="1"/>
  <c r="R61" i="17" s="1"/>
  <c r="T61" i="17" a="1"/>
  <c r="T61" i="17" s="1"/>
  <c r="J61" i="17" a="1"/>
  <c r="J61" i="17" s="1"/>
  <c r="L61" i="17" a="1"/>
  <c r="L61" i="17" s="1"/>
  <c r="M61" i="17" a="1"/>
  <c r="M61" i="17" s="1"/>
  <c r="D60" i="17"/>
  <c r="B62" i="17"/>
  <c r="G64" i="19" l="1"/>
  <c r="E64" i="19"/>
  <c r="F64" i="19"/>
  <c r="D64" i="19"/>
  <c r="C64" i="19"/>
  <c r="C62" i="17"/>
  <c r="Q62" i="17" a="1"/>
  <c r="Q62" i="17" s="1"/>
  <c r="G62" i="17" a="1"/>
  <c r="G62" i="17" s="1"/>
  <c r="O62" i="17" a="1"/>
  <c r="O62" i="17" s="1"/>
  <c r="H62" i="17" a="1"/>
  <c r="H62" i="17" s="1"/>
  <c r="P62" i="17" a="1"/>
  <c r="P62" i="17" s="1"/>
  <c r="I62" i="17" a="1"/>
  <c r="I62" i="17" s="1"/>
  <c r="S62" i="17" a="1"/>
  <c r="S62" i="17" s="1"/>
  <c r="J62" i="17" a="1"/>
  <c r="J62" i="17" s="1"/>
  <c r="T62" i="17" a="1"/>
  <c r="T62" i="17" s="1"/>
  <c r="K62" i="17" a="1"/>
  <c r="K62" i="17" s="1"/>
  <c r="L62" i="17" a="1"/>
  <c r="L62" i="17" s="1"/>
  <c r="M62" i="17" a="1"/>
  <c r="M62" i="17" s="1"/>
  <c r="E62" i="17" a="1"/>
  <c r="E62" i="17" s="1"/>
  <c r="N62" i="17" a="1"/>
  <c r="N62" i="17" s="1"/>
  <c r="R62" i="17" a="1"/>
  <c r="R62" i="17" s="1"/>
  <c r="F62" i="17" a="1"/>
  <c r="F62" i="17" s="1"/>
  <c r="D61" i="17"/>
  <c r="B63" i="17"/>
  <c r="G65" i="19" l="1"/>
  <c r="E65" i="19"/>
  <c r="F65" i="19"/>
  <c r="D65" i="19"/>
  <c r="C65" i="19"/>
  <c r="C63" i="17"/>
  <c r="P63" i="17" a="1"/>
  <c r="P63" i="17" s="1"/>
  <c r="O63" i="17" a="1"/>
  <c r="O63" i="17" s="1"/>
  <c r="H63" i="17" a="1"/>
  <c r="H63" i="17" s="1"/>
  <c r="Q63" i="17" a="1"/>
  <c r="Q63" i="17" s="1"/>
  <c r="M63" i="17" a="1"/>
  <c r="M63" i="17" s="1"/>
  <c r="N63" i="17" a="1"/>
  <c r="N63" i="17" s="1"/>
  <c r="E63" i="17" a="1"/>
  <c r="E63" i="17" s="1"/>
  <c r="F63" i="17" a="1"/>
  <c r="F63" i="17" s="1"/>
  <c r="G63" i="17" a="1"/>
  <c r="G63" i="17" s="1"/>
  <c r="R63" i="17" a="1"/>
  <c r="R63" i="17" s="1"/>
  <c r="I63" i="17" a="1"/>
  <c r="I63" i="17" s="1"/>
  <c r="J63" i="17" a="1"/>
  <c r="J63" i="17" s="1"/>
  <c r="S63" i="17" a="1"/>
  <c r="S63" i="17" s="1"/>
  <c r="K63" i="17" a="1"/>
  <c r="K63" i="17" s="1"/>
  <c r="L63" i="17" a="1"/>
  <c r="L63" i="17" s="1"/>
  <c r="T63" i="17" a="1"/>
  <c r="T63" i="17" s="1"/>
  <c r="D62" i="17"/>
  <c r="B64" i="17"/>
  <c r="G66" i="19" l="1"/>
  <c r="E66" i="19"/>
  <c r="F66" i="19"/>
  <c r="C66" i="19"/>
  <c r="D66" i="19"/>
  <c r="C64" i="17"/>
  <c r="F64" i="17" a="1"/>
  <c r="F64" i="17" s="1"/>
  <c r="T64" i="17" a="1"/>
  <c r="T64" i="17" s="1"/>
  <c r="G64" i="17" a="1"/>
  <c r="G64" i="17" s="1"/>
  <c r="O64" i="17" a="1"/>
  <c r="O64" i="17" s="1"/>
  <c r="H64" i="17" a="1"/>
  <c r="H64" i="17" s="1"/>
  <c r="P64" i="17" a="1"/>
  <c r="P64" i="17" s="1"/>
  <c r="I64" i="17" a="1"/>
  <c r="I64" i="17" s="1"/>
  <c r="J64" i="17" a="1"/>
  <c r="J64" i="17" s="1"/>
  <c r="Q64" i="17" a="1"/>
  <c r="Q64" i="17" s="1"/>
  <c r="R64" i="17" a="1"/>
  <c r="R64" i="17" s="1"/>
  <c r="K64" i="17" a="1"/>
  <c r="K64" i="17" s="1"/>
  <c r="S64" i="17" a="1"/>
  <c r="S64" i="17" s="1"/>
  <c r="L64" i="17" a="1"/>
  <c r="L64" i="17" s="1"/>
  <c r="E64" i="17" a="1"/>
  <c r="E64" i="17" s="1"/>
  <c r="M64" i="17" a="1"/>
  <c r="M64" i="17" s="1"/>
  <c r="N64" i="17" a="1"/>
  <c r="N64" i="17" s="1"/>
  <c r="D63" i="17"/>
  <c r="B65" i="17"/>
  <c r="G67" i="19" l="1"/>
  <c r="E67" i="19"/>
  <c r="C67" i="19"/>
  <c r="F67" i="19"/>
  <c r="D67" i="19"/>
  <c r="K65" i="17" a="1"/>
  <c r="K65" i="17" s="1"/>
  <c r="Q65" i="17" a="1"/>
  <c r="Q65" i="17" s="1"/>
  <c r="C65" i="17"/>
  <c r="F65" i="17" a="1"/>
  <c r="F65" i="17" s="1"/>
  <c r="N65" i="17" a="1"/>
  <c r="N65" i="17" s="1"/>
  <c r="H65" i="17" a="1"/>
  <c r="H65" i="17" s="1"/>
  <c r="P65" i="17" a="1"/>
  <c r="P65" i="17" s="1"/>
  <c r="I65" i="17" a="1"/>
  <c r="I65" i="17" s="1"/>
  <c r="J65" i="17" a="1"/>
  <c r="J65" i="17" s="1"/>
  <c r="R65" i="17" a="1"/>
  <c r="R65" i="17" s="1"/>
  <c r="S65" i="17" a="1"/>
  <c r="S65" i="17" s="1"/>
  <c r="L65" i="17" a="1"/>
  <c r="L65" i="17" s="1"/>
  <c r="T65" i="17" a="1"/>
  <c r="T65" i="17" s="1"/>
  <c r="E65" i="17" a="1"/>
  <c r="E65" i="17" s="1"/>
  <c r="M65" i="17" a="1"/>
  <c r="M65" i="17" s="1"/>
  <c r="O65" i="17" a="1"/>
  <c r="O65" i="17" s="1"/>
  <c r="G65" i="17" a="1"/>
  <c r="G65" i="17" s="1"/>
  <c r="D64" i="17"/>
  <c r="B66" i="17"/>
  <c r="D68" i="19" l="1"/>
  <c r="C68" i="19"/>
  <c r="G68" i="19"/>
  <c r="E68" i="19"/>
  <c r="F68" i="19"/>
  <c r="D65" i="17"/>
  <c r="H66" i="17" a="1"/>
  <c r="H66" i="17" s="1"/>
  <c r="C66" i="17"/>
  <c r="L66" i="17" a="1"/>
  <c r="L66" i="17" s="1"/>
  <c r="M66" i="17" a="1"/>
  <c r="M66" i="17" s="1"/>
  <c r="E66" i="17" a="1"/>
  <c r="E66" i="17" s="1"/>
  <c r="N66" i="17" a="1"/>
  <c r="N66" i="17" s="1"/>
  <c r="F66" i="17" a="1"/>
  <c r="F66" i="17" s="1"/>
  <c r="O66" i="17" a="1"/>
  <c r="O66" i="17" s="1"/>
  <c r="R66" i="17" a="1"/>
  <c r="R66" i="17" s="1"/>
  <c r="S66" i="17" a="1"/>
  <c r="S66" i="17" s="1"/>
  <c r="G66" i="17" a="1"/>
  <c r="G66" i="17" s="1"/>
  <c r="T66" i="17" a="1"/>
  <c r="T66" i="17" s="1"/>
  <c r="I66" i="17" a="1"/>
  <c r="I66" i="17" s="1"/>
  <c r="J66" i="17" a="1"/>
  <c r="J66" i="17" s="1"/>
  <c r="K66" i="17" a="1"/>
  <c r="K66" i="17" s="1"/>
  <c r="P66" i="17" a="1"/>
  <c r="P66" i="17" s="1"/>
  <c r="Q66" i="17" a="1"/>
  <c r="Q66" i="17" s="1"/>
  <c r="B67" i="17"/>
  <c r="G69" i="19" l="1"/>
  <c r="F69" i="19"/>
  <c r="E69" i="19"/>
  <c r="D69" i="19"/>
  <c r="C69" i="19"/>
  <c r="G67" i="17" a="1"/>
  <c r="G67" i="17" s="1"/>
  <c r="N67" i="17" a="1"/>
  <c r="N67" i="17" s="1"/>
  <c r="C67" i="17"/>
  <c r="M67" i="17" a="1"/>
  <c r="M67" i="17" s="1"/>
  <c r="E67" i="17" a="1"/>
  <c r="E67" i="17" s="1"/>
  <c r="O67" i="17" a="1"/>
  <c r="O67" i="17" s="1"/>
  <c r="F67" i="17" a="1"/>
  <c r="F67" i="17" s="1"/>
  <c r="P67" i="17" a="1"/>
  <c r="P67" i="17" s="1"/>
  <c r="H67" i="17" a="1"/>
  <c r="H67" i="17" s="1"/>
  <c r="Q67" i="17" a="1"/>
  <c r="Q67" i="17" s="1"/>
  <c r="R67" i="17" a="1"/>
  <c r="R67" i="17" s="1"/>
  <c r="S67" i="17" a="1"/>
  <c r="S67" i="17" s="1"/>
  <c r="T67" i="17" a="1"/>
  <c r="T67" i="17" s="1"/>
  <c r="I67" i="17" a="1"/>
  <c r="I67" i="17" s="1"/>
  <c r="J67" i="17" a="1"/>
  <c r="J67" i="17" s="1"/>
  <c r="K67" i="17" a="1"/>
  <c r="K67" i="17" s="1"/>
  <c r="L67" i="17" a="1"/>
  <c r="L67" i="17" s="1"/>
  <c r="D66" i="17"/>
  <c r="B68" i="17"/>
  <c r="F70" i="19" l="1"/>
  <c r="G70" i="19"/>
  <c r="D70" i="19"/>
  <c r="C70" i="19"/>
  <c r="E70" i="19"/>
  <c r="G68" i="17" a="1"/>
  <c r="G68" i="17" s="1"/>
  <c r="O68" i="17" a="1"/>
  <c r="O68" i="17" s="1"/>
  <c r="C68" i="17"/>
  <c r="F68" i="17" a="1"/>
  <c r="F68" i="17" s="1"/>
  <c r="P68" i="17" a="1"/>
  <c r="P68" i="17" s="1"/>
  <c r="I68" i="17" a="1"/>
  <c r="I68" i="17" s="1"/>
  <c r="R68" i="17" a="1"/>
  <c r="R68" i="17" s="1"/>
  <c r="J68" i="17" a="1"/>
  <c r="J68" i="17" s="1"/>
  <c r="S68" i="17" a="1"/>
  <c r="S68" i="17" s="1"/>
  <c r="K68" i="17" a="1"/>
  <c r="K68" i="17" s="1"/>
  <c r="T68" i="17" a="1"/>
  <c r="T68" i="17" s="1"/>
  <c r="Q68" i="17" a="1"/>
  <c r="Q68" i="17" s="1"/>
  <c r="E68" i="17" a="1"/>
  <c r="E68" i="17" s="1"/>
  <c r="H68" i="17" a="1"/>
  <c r="H68" i="17" s="1"/>
  <c r="L68" i="17" a="1"/>
  <c r="L68" i="17" s="1"/>
  <c r="M68" i="17" a="1"/>
  <c r="M68" i="17" s="1"/>
  <c r="N68" i="17" a="1"/>
  <c r="N68" i="17" s="1"/>
  <c r="D67" i="17"/>
  <c r="B69" i="17"/>
  <c r="G71" i="19" l="1"/>
  <c r="F71" i="19"/>
  <c r="E71" i="19"/>
  <c r="D71" i="19"/>
  <c r="C71" i="19"/>
  <c r="F69" i="17" a="1"/>
  <c r="F69" i="17" s="1"/>
  <c r="N69" i="17" a="1"/>
  <c r="N69" i="17" s="1"/>
  <c r="C69" i="17"/>
  <c r="G69" i="17" a="1"/>
  <c r="G69" i="17" s="1"/>
  <c r="Q69" i="17" a="1"/>
  <c r="Q69" i="17" s="1"/>
  <c r="L69" i="17" a="1"/>
  <c r="L69" i="17" s="1"/>
  <c r="M69" i="17" a="1"/>
  <c r="M69" i="17" s="1"/>
  <c r="O69" i="17" a="1"/>
  <c r="O69" i="17" s="1"/>
  <c r="R69" i="17" a="1"/>
  <c r="R69" i="17" s="1"/>
  <c r="S69" i="17" a="1"/>
  <c r="S69" i="17" s="1"/>
  <c r="E69" i="17" a="1"/>
  <c r="E69" i="17" s="1"/>
  <c r="T69" i="17" a="1"/>
  <c r="T69" i="17" s="1"/>
  <c r="H69" i="17" a="1"/>
  <c r="H69" i="17" s="1"/>
  <c r="I69" i="17" a="1"/>
  <c r="I69" i="17" s="1"/>
  <c r="J69" i="17" a="1"/>
  <c r="J69" i="17" s="1"/>
  <c r="K69" i="17" a="1"/>
  <c r="K69" i="17" s="1"/>
  <c r="P69" i="17" a="1"/>
  <c r="P69" i="17" s="1"/>
  <c r="D68" i="17"/>
  <c r="B70" i="17"/>
  <c r="G72" i="19" l="1"/>
  <c r="F72" i="19"/>
  <c r="E72" i="19"/>
  <c r="D72" i="19"/>
  <c r="C72" i="19"/>
  <c r="C70" i="17"/>
  <c r="F70" i="17" a="1"/>
  <c r="F70" i="17" s="1"/>
  <c r="T70" i="17" a="1"/>
  <c r="T70" i="17" s="1"/>
  <c r="H70" i="17" a="1"/>
  <c r="H70" i="17" s="1"/>
  <c r="P70" i="17" a="1"/>
  <c r="P70" i="17" s="1"/>
  <c r="E70" i="17" a="1"/>
  <c r="E70" i="17" s="1"/>
  <c r="N70" i="17" a="1"/>
  <c r="N70" i="17" s="1"/>
  <c r="O70" i="17" a="1"/>
  <c r="O70" i="17" s="1"/>
  <c r="G70" i="17" a="1"/>
  <c r="G70" i="17" s="1"/>
  <c r="Q70" i="17" a="1"/>
  <c r="Q70" i="17" s="1"/>
  <c r="R70" i="17" a="1"/>
  <c r="R70" i="17" s="1"/>
  <c r="S70" i="17" a="1"/>
  <c r="S70" i="17" s="1"/>
  <c r="I70" i="17" a="1"/>
  <c r="I70" i="17" s="1"/>
  <c r="J70" i="17" a="1"/>
  <c r="J70" i="17" s="1"/>
  <c r="K70" i="17" a="1"/>
  <c r="K70" i="17" s="1"/>
  <c r="L70" i="17" a="1"/>
  <c r="L70" i="17" s="1"/>
  <c r="M70" i="17" a="1"/>
  <c r="M70" i="17" s="1"/>
  <c r="D69" i="17"/>
  <c r="B71" i="17"/>
  <c r="D70" i="17" l="1"/>
  <c r="G73" i="19"/>
  <c r="F73" i="19"/>
  <c r="E73" i="19"/>
  <c r="D73" i="19"/>
  <c r="C73" i="19"/>
  <c r="C71" i="17"/>
  <c r="L71" i="17" a="1"/>
  <c r="L71" i="17" s="1"/>
  <c r="I71" i="17" a="1"/>
  <c r="I71" i="17" s="1"/>
  <c r="R71" i="17" a="1"/>
  <c r="R71" i="17" s="1"/>
  <c r="H71" i="17" a="1"/>
  <c r="H71" i="17" s="1"/>
  <c r="Q71" i="17" a="1"/>
  <c r="Q71" i="17" s="1"/>
  <c r="J71" i="17" a="1"/>
  <c r="J71" i="17" s="1"/>
  <c r="S71" i="17" a="1"/>
  <c r="S71" i="17" s="1"/>
  <c r="T71" i="17" a="1"/>
  <c r="T71" i="17" s="1"/>
  <c r="O71" i="17" a="1"/>
  <c r="O71" i="17" s="1"/>
  <c r="P71" i="17" a="1"/>
  <c r="P71" i="17" s="1"/>
  <c r="E71" i="17" a="1"/>
  <c r="E71" i="17" s="1"/>
  <c r="F71" i="17" a="1"/>
  <c r="F71" i="17" s="1"/>
  <c r="G71" i="17" a="1"/>
  <c r="G71" i="17" s="1"/>
  <c r="K71" i="17" a="1"/>
  <c r="K71" i="17" s="1"/>
  <c r="M71" i="17" a="1"/>
  <c r="M71" i="17" s="1"/>
  <c r="N71" i="17" a="1"/>
  <c r="N71" i="17" s="1"/>
  <c r="B72" i="17"/>
  <c r="D71" i="17" l="1"/>
  <c r="G74" i="19"/>
  <c r="F74" i="19"/>
  <c r="D74" i="19"/>
  <c r="E74" i="19"/>
  <c r="C74" i="19"/>
  <c r="C72" i="17"/>
  <c r="I72" i="17" a="1"/>
  <c r="I72" i="17" s="1"/>
  <c r="Q72" i="17" a="1"/>
  <c r="Q72" i="17" s="1"/>
  <c r="J72" i="17" a="1"/>
  <c r="J72" i="17" s="1"/>
  <c r="S72" i="17" a="1"/>
  <c r="S72" i="17" s="1"/>
  <c r="K72" i="17" a="1"/>
  <c r="K72" i="17" s="1"/>
  <c r="L72" i="17" a="1"/>
  <c r="L72" i="17" s="1"/>
  <c r="T72" i="17" a="1"/>
  <c r="T72" i="17" s="1"/>
  <c r="M72" i="17" a="1"/>
  <c r="M72" i="17" s="1"/>
  <c r="O72" i="17" a="1"/>
  <c r="O72" i="17" s="1"/>
  <c r="E72" i="17" a="1"/>
  <c r="E72" i="17" s="1"/>
  <c r="P72" i="17" a="1"/>
  <c r="P72" i="17" s="1"/>
  <c r="R72" i="17" a="1"/>
  <c r="R72" i="17" s="1"/>
  <c r="F72" i="17" a="1"/>
  <c r="F72" i="17" s="1"/>
  <c r="G72" i="17" a="1"/>
  <c r="G72" i="17" s="1"/>
  <c r="H72" i="17" a="1"/>
  <c r="H72" i="17" s="1"/>
  <c r="N72" i="17" a="1"/>
  <c r="N72" i="17" s="1"/>
  <c r="B73" i="17"/>
  <c r="D72" i="17" l="1"/>
  <c r="G75" i="19"/>
  <c r="F75" i="19"/>
  <c r="D75" i="19"/>
  <c r="E75" i="19"/>
  <c r="C75" i="19"/>
  <c r="C73" i="17"/>
  <c r="Q73" i="17" a="1"/>
  <c r="Q73" i="17" s="1"/>
  <c r="K73" i="17" a="1"/>
  <c r="K73" i="17" s="1"/>
  <c r="L73" i="17" a="1"/>
  <c r="L73" i="17" s="1"/>
  <c r="T73" i="17" a="1"/>
  <c r="T73" i="17" s="1"/>
  <c r="M73" i="17" a="1"/>
  <c r="M73" i="17" s="1"/>
  <c r="E73" i="17" a="1"/>
  <c r="E73" i="17" s="1"/>
  <c r="N73" i="17" a="1"/>
  <c r="N73" i="17" s="1"/>
  <c r="O73" i="17" a="1"/>
  <c r="O73" i="17" s="1"/>
  <c r="P73" i="17" a="1"/>
  <c r="P73" i="17" s="1"/>
  <c r="F73" i="17" a="1"/>
  <c r="F73" i="17" s="1"/>
  <c r="R73" i="17" a="1"/>
  <c r="R73" i="17" s="1"/>
  <c r="S73" i="17" a="1"/>
  <c r="S73" i="17" s="1"/>
  <c r="G73" i="17" a="1"/>
  <c r="G73" i="17" s="1"/>
  <c r="H73" i="17" a="1"/>
  <c r="H73" i="17" s="1"/>
  <c r="I73" i="17" a="1"/>
  <c r="I73" i="17" s="1"/>
  <c r="J73" i="17" a="1"/>
  <c r="J73" i="17" s="1"/>
  <c r="B74" i="17"/>
  <c r="D73" i="17" l="1"/>
  <c r="G76" i="19"/>
  <c r="F76" i="19"/>
  <c r="D76" i="19"/>
  <c r="E76" i="19"/>
  <c r="C76" i="19"/>
  <c r="C74" i="17"/>
  <c r="I74" i="17" a="1"/>
  <c r="I74" i="17" s="1"/>
  <c r="Q74" i="17" a="1"/>
  <c r="Q74" i="17" s="1"/>
  <c r="M74" i="17" a="1"/>
  <c r="M74" i="17" s="1"/>
  <c r="N74" i="17" a="1"/>
  <c r="N74" i="17" s="1"/>
  <c r="E74" i="17" a="1"/>
  <c r="E74" i="17" s="1"/>
  <c r="O74" i="17" a="1"/>
  <c r="O74" i="17" s="1"/>
  <c r="F74" i="17" a="1"/>
  <c r="F74" i="17" s="1"/>
  <c r="L74" i="17" a="1"/>
  <c r="L74" i="17" s="1"/>
  <c r="P74" i="17" a="1"/>
  <c r="P74" i="17" s="1"/>
  <c r="R74" i="17" a="1"/>
  <c r="R74" i="17" s="1"/>
  <c r="S74" i="17" a="1"/>
  <c r="S74" i="17" s="1"/>
  <c r="T74" i="17" a="1"/>
  <c r="T74" i="17" s="1"/>
  <c r="G74" i="17" a="1"/>
  <c r="G74" i="17" s="1"/>
  <c r="H74" i="17" a="1"/>
  <c r="H74" i="17" s="1"/>
  <c r="J74" i="17" a="1"/>
  <c r="J74" i="17" s="1"/>
  <c r="K74" i="17" a="1"/>
  <c r="K74" i="17" s="1"/>
  <c r="B75" i="17"/>
  <c r="D74" i="17" l="1"/>
  <c r="G77" i="19"/>
  <c r="F77" i="19"/>
  <c r="D77" i="19"/>
  <c r="E77" i="19"/>
  <c r="C77" i="19"/>
  <c r="I75" i="17" a="1"/>
  <c r="I75" i="17" s="1"/>
  <c r="Q75" i="17" a="1"/>
  <c r="Q75" i="17" s="1"/>
  <c r="F75" i="17" a="1"/>
  <c r="F75" i="17" s="1"/>
  <c r="O75" i="17" a="1"/>
  <c r="O75" i="17" s="1"/>
  <c r="C75" i="17"/>
  <c r="G75" i="17" a="1"/>
  <c r="G75" i="17" s="1"/>
  <c r="P75" i="17" a="1"/>
  <c r="P75" i="17" s="1"/>
  <c r="H75" i="17" a="1"/>
  <c r="H75" i="17" s="1"/>
  <c r="R75" i="17" a="1"/>
  <c r="R75" i="17" s="1"/>
  <c r="K75" i="17" a="1"/>
  <c r="K75" i="17" s="1"/>
  <c r="L75" i="17" a="1"/>
  <c r="L75" i="17" s="1"/>
  <c r="M75" i="17" a="1"/>
  <c r="M75" i="17" s="1"/>
  <c r="N75" i="17" a="1"/>
  <c r="N75" i="17" s="1"/>
  <c r="S75" i="17" a="1"/>
  <c r="S75" i="17" s="1"/>
  <c r="T75" i="17" a="1"/>
  <c r="T75" i="17" s="1"/>
  <c r="E75" i="17" a="1"/>
  <c r="E75" i="17" s="1"/>
  <c r="J75" i="17" a="1"/>
  <c r="J75" i="17" s="1"/>
  <c r="B76" i="17"/>
  <c r="D75" i="17" l="1"/>
  <c r="E78" i="19"/>
  <c r="C78" i="19"/>
  <c r="G78" i="19"/>
  <c r="F78" i="19"/>
  <c r="D78" i="19"/>
  <c r="I76" i="17" a="1"/>
  <c r="I76" i="17" s="1"/>
  <c r="Q76" i="17" a="1"/>
  <c r="Q76" i="17" s="1"/>
  <c r="C76" i="17"/>
  <c r="H76" i="17" a="1"/>
  <c r="H76" i="17" s="1"/>
  <c r="R76" i="17" a="1"/>
  <c r="R76" i="17" s="1"/>
  <c r="J76" i="17" a="1"/>
  <c r="J76" i="17" s="1"/>
  <c r="S76" i="17" a="1"/>
  <c r="S76" i="17" s="1"/>
  <c r="K76" i="17" a="1"/>
  <c r="K76" i="17" s="1"/>
  <c r="L76" i="17" a="1"/>
  <c r="L76" i="17" s="1"/>
  <c r="M76" i="17" a="1"/>
  <c r="M76" i="17" s="1"/>
  <c r="N76" i="17" a="1"/>
  <c r="N76" i="17" s="1"/>
  <c r="O76" i="17" a="1"/>
  <c r="O76" i="17" s="1"/>
  <c r="P76" i="17" a="1"/>
  <c r="P76" i="17" s="1"/>
  <c r="E76" i="17" a="1"/>
  <c r="E76" i="17" s="1"/>
  <c r="T76" i="17" a="1"/>
  <c r="T76" i="17" s="1"/>
  <c r="F76" i="17" a="1"/>
  <c r="F76" i="17" s="1"/>
  <c r="G76" i="17" a="1"/>
  <c r="G76" i="17" s="1"/>
  <c r="B77" i="17"/>
  <c r="D76" i="17" l="1"/>
  <c r="G79" i="19"/>
  <c r="F79" i="19"/>
  <c r="E79" i="19"/>
  <c r="D79" i="19"/>
  <c r="C79" i="19"/>
  <c r="C77" i="17"/>
  <c r="I77" i="17" a="1"/>
  <c r="I77" i="17" s="1"/>
  <c r="J77" i="17" a="1"/>
  <c r="J77" i="17" s="1"/>
  <c r="S77" i="17" a="1"/>
  <c r="S77" i="17" s="1"/>
  <c r="K77" i="17" a="1"/>
  <c r="K77" i="17" s="1"/>
  <c r="T77" i="17" a="1"/>
  <c r="T77" i="17" s="1"/>
  <c r="L77" i="17" a="1"/>
  <c r="L77" i="17" s="1"/>
  <c r="M77" i="17" a="1"/>
  <c r="M77" i="17" s="1"/>
  <c r="G77" i="17" a="1"/>
  <c r="G77" i="17" s="1"/>
  <c r="H77" i="17" a="1"/>
  <c r="H77" i="17" s="1"/>
  <c r="N77" i="17" a="1"/>
  <c r="N77" i="17" s="1"/>
  <c r="O77" i="17" a="1"/>
  <c r="O77" i="17" s="1"/>
  <c r="P77" i="17" a="1"/>
  <c r="P77" i="17" s="1"/>
  <c r="Q77" i="17" a="1"/>
  <c r="Q77" i="17" s="1"/>
  <c r="E77" i="17" a="1"/>
  <c r="E77" i="17" s="1"/>
  <c r="R77" i="17" a="1"/>
  <c r="R77" i="17" s="1"/>
  <c r="F77" i="17" a="1"/>
  <c r="F77" i="17" s="1"/>
  <c r="B78" i="17"/>
  <c r="D77" i="17" l="1"/>
  <c r="E80" i="19"/>
  <c r="D80" i="19"/>
  <c r="C80" i="19"/>
  <c r="G80" i="19"/>
  <c r="F80" i="19"/>
  <c r="C78" i="17"/>
  <c r="J78" i="17" a="1"/>
  <c r="J78" i="17" s="1"/>
  <c r="M78" i="17" a="1"/>
  <c r="M78" i="17" s="1"/>
  <c r="E78" i="17" a="1"/>
  <c r="E78" i="17" s="1"/>
  <c r="N78" i="17" a="1"/>
  <c r="N78" i="17" s="1"/>
  <c r="F78" i="17" a="1"/>
  <c r="F78" i="17" s="1"/>
  <c r="O78" i="17" a="1"/>
  <c r="O78" i="17" s="1"/>
  <c r="I78" i="17" a="1"/>
  <c r="I78" i="17" s="1"/>
  <c r="K78" i="17" a="1"/>
  <c r="K78" i="17" s="1"/>
  <c r="L78" i="17" a="1"/>
  <c r="L78" i="17" s="1"/>
  <c r="P78" i="17" a="1"/>
  <c r="P78" i="17" s="1"/>
  <c r="Q78" i="17" a="1"/>
  <c r="Q78" i="17" s="1"/>
  <c r="R78" i="17" a="1"/>
  <c r="R78" i="17" s="1"/>
  <c r="S78" i="17" a="1"/>
  <c r="S78" i="17" s="1"/>
  <c r="G78" i="17" a="1"/>
  <c r="G78" i="17" s="1"/>
  <c r="H78" i="17" a="1"/>
  <c r="H78" i="17" s="1"/>
  <c r="T78" i="17" a="1"/>
  <c r="T78" i="17" s="1"/>
  <c r="B79" i="17"/>
  <c r="D78" i="17" l="1"/>
  <c r="G81" i="19"/>
  <c r="F81" i="19"/>
  <c r="E81" i="19"/>
  <c r="D81" i="19"/>
  <c r="C81" i="19"/>
  <c r="C79" i="17"/>
  <c r="S79" i="17" a="1"/>
  <c r="S79" i="17" s="1"/>
  <c r="F79" i="17" a="1"/>
  <c r="F79" i="17" s="1"/>
  <c r="G79" i="17" a="1"/>
  <c r="G79" i="17" s="1"/>
  <c r="H79" i="17" a="1"/>
  <c r="H79" i="17" s="1"/>
  <c r="I79" i="17" a="1"/>
  <c r="I79" i="17" s="1"/>
  <c r="J79" i="17" a="1"/>
  <c r="J79" i="17" s="1"/>
  <c r="T79" i="17" a="1"/>
  <c r="T79" i="17" s="1"/>
  <c r="K79" i="17" a="1"/>
  <c r="K79" i="17" s="1"/>
  <c r="L79" i="17" a="1"/>
  <c r="L79" i="17" s="1"/>
  <c r="M79" i="17" a="1"/>
  <c r="M79" i="17" s="1"/>
  <c r="N79" i="17" a="1"/>
  <c r="N79" i="17" s="1"/>
  <c r="O79" i="17" a="1"/>
  <c r="O79" i="17" s="1"/>
  <c r="P79" i="17" a="1"/>
  <c r="P79" i="17" s="1"/>
  <c r="E79" i="17" a="1"/>
  <c r="E79" i="17" s="1"/>
  <c r="Q79" i="17" a="1"/>
  <c r="Q79" i="17" s="1"/>
  <c r="R79" i="17" a="1"/>
  <c r="R79" i="17" s="1"/>
  <c r="B80" i="17"/>
  <c r="D79" i="17" l="1"/>
  <c r="G82" i="19"/>
  <c r="F82" i="19"/>
  <c r="E82" i="19"/>
  <c r="D82" i="19"/>
  <c r="C82" i="19"/>
  <c r="C80" i="17"/>
  <c r="L80" i="17" a="1"/>
  <c r="L80" i="17" s="1"/>
  <c r="T80" i="17" a="1"/>
  <c r="T80" i="17" s="1"/>
  <c r="M80" i="17" a="1"/>
  <c r="M80" i="17" s="1"/>
  <c r="N80" i="17" a="1"/>
  <c r="N80" i="17" s="1"/>
  <c r="E80" i="17" a="1"/>
  <c r="E80" i="17" s="1"/>
  <c r="O80" i="17" a="1"/>
  <c r="O80" i="17" s="1"/>
  <c r="P80" i="17" a="1"/>
  <c r="P80" i="17" s="1"/>
  <c r="F80" i="17" a="1"/>
  <c r="F80" i="17" s="1"/>
  <c r="G80" i="17" a="1"/>
  <c r="G80" i="17" s="1"/>
  <c r="Q80" i="17" a="1"/>
  <c r="Q80" i="17" s="1"/>
  <c r="H80" i="17" a="1"/>
  <c r="H80" i="17" s="1"/>
  <c r="R80" i="17" a="1"/>
  <c r="R80" i="17" s="1"/>
  <c r="I80" i="17" a="1"/>
  <c r="I80" i="17" s="1"/>
  <c r="S80" i="17" a="1"/>
  <c r="S80" i="17" s="1"/>
  <c r="J80" i="17" a="1"/>
  <c r="J80" i="17" s="1"/>
  <c r="K80" i="17" a="1"/>
  <c r="K80" i="17" s="1"/>
  <c r="B81" i="17"/>
  <c r="D80" i="17" l="1"/>
  <c r="G83" i="19"/>
  <c r="F83" i="19"/>
  <c r="E83" i="19"/>
  <c r="D83" i="19"/>
  <c r="C83" i="19"/>
  <c r="C81" i="17"/>
  <c r="M81" i="17" a="1"/>
  <c r="M81" i="17" s="1"/>
  <c r="F81" i="17" a="1"/>
  <c r="F81" i="17" s="1"/>
  <c r="O81" i="17" a="1"/>
  <c r="O81" i="17" s="1"/>
  <c r="G81" i="17" a="1"/>
  <c r="G81" i="17" s="1"/>
  <c r="P81" i="17" a="1"/>
  <c r="P81" i="17" s="1"/>
  <c r="H81" i="17" a="1"/>
  <c r="H81" i="17" s="1"/>
  <c r="Q81" i="17" a="1"/>
  <c r="Q81" i="17" s="1"/>
  <c r="I81" i="17" a="1"/>
  <c r="I81" i="17" s="1"/>
  <c r="R81" i="17" a="1"/>
  <c r="R81" i="17" s="1"/>
  <c r="J81" i="17" a="1"/>
  <c r="J81" i="17" s="1"/>
  <c r="S81" i="17" a="1"/>
  <c r="S81" i="17" s="1"/>
  <c r="K81" i="17" a="1"/>
  <c r="K81" i="17" s="1"/>
  <c r="T81" i="17" a="1"/>
  <c r="T81" i="17" s="1"/>
  <c r="L81" i="17" a="1"/>
  <c r="L81" i="17" s="1"/>
  <c r="E81" i="17" a="1"/>
  <c r="E81" i="17" s="1"/>
  <c r="N81" i="17" a="1"/>
  <c r="N81" i="17" s="1"/>
  <c r="B82" i="17"/>
  <c r="D81" i="17" l="1"/>
  <c r="G84" i="19"/>
  <c r="E84" i="19"/>
  <c r="D84" i="19"/>
  <c r="C84" i="19"/>
  <c r="F84" i="19"/>
  <c r="C82" i="17"/>
  <c r="F82" i="17" a="1"/>
  <c r="F82" i="17" s="1"/>
  <c r="N82" i="17" a="1"/>
  <c r="N82" i="17" s="1"/>
  <c r="S82" i="17" a="1"/>
  <c r="S82" i="17" s="1"/>
  <c r="J82" i="17" a="1"/>
  <c r="J82" i="17" s="1"/>
  <c r="T82" i="17" a="1"/>
  <c r="T82" i="17" s="1"/>
  <c r="K82" i="17" a="1"/>
  <c r="K82" i="17" s="1"/>
  <c r="L82" i="17" a="1"/>
  <c r="L82" i="17" s="1"/>
  <c r="M82" i="17" a="1"/>
  <c r="M82" i="17" s="1"/>
  <c r="E82" i="17" a="1"/>
  <c r="E82" i="17" s="1"/>
  <c r="O82" i="17" a="1"/>
  <c r="O82" i="17" s="1"/>
  <c r="G82" i="17" a="1"/>
  <c r="G82" i="17" s="1"/>
  <c r="P82" i="17" a="1"/>
  <c r="P82" i="17" s="1"/>
  <c r="H82" i="17" a="1"/>
  <c r="H82" i="17" s="1"/>
  <c r="I82" i="17" a="1"/>
  <c r="I82" i="17" s="1"/>
  <c r="Q82" i="17" a="1"/>
  <c r="Q82" i="17" s="1"/>
  <c r="R82" i="17" a="1"/>
  <c r="R82" i="17" s="1"/>
  <c r="B83" i="17"/>
  <c r="D82" i="17" l="1"/>
  <c r="G85" i="19"/>
  <c r="E85" i="19"/>
  <c r="D85" i="19"/>
  <c r="C85" i="19"/>
  <c r="F85" i="19"/>
  <c r="C83" i="17"/>
  <c r="G83" i="17" a="1"/>
  <c r="G83" i="17" s="1"/>
  <c r="P83" i="17" a="1"/>
  <c r="P83" i="17" s="1"/>
  <c r="L83" i="17" a="1"/>
  <c r="L83" i="17" s="1"/>
  <c r="M83" i="17" a="1"/>
  <c r="M83" i="17" s="1"/>
  <c r="N83" i="17" a="1"/>
  <c r="N83" i="17" s="1"/>
  <c r="E83" i="17" a="1"/>
  <c r="E83" i="17" s="1"/>
  <c r="O83" i="17" a="1"/>
  <c r="O83" i="17" s="1"/>
  <c r="F83" i="17" a="1"/>
  <c r="F83" i="17" s="1"/>
  <c r="Q83" i="17" a="1"/>
  <c r="Q83" i="17" s="1"/>
  <c r="R83" i="17" a="1"/>
  <c r="R83" i="17" s="1"/>
  <c r="H83" i="17" a="1"/>
  <c r="H83" i="17" s="1"/>
  <c r="I83" i="17" a="1"/>
  <c r="I83" i="17" s="1"/>
  <c r="S83" i="17" a="1"/>
  <c r="S83" i="17" s="1"/>
  <c r="T83" i="17" a="1"/>
  <c r="T83" i="17" s="1"/>
  <c r="J83" i="17" a="1"/>
  <c r="J83" i="17" s="1"/>
  <c r="K83" i="17" a="1"/>
  <c r="K83" i="17" s="1"/>
  <c r="B84" i="17"/>
  <c r="D83" i="17" l="1"/>
  <c r="G86" i="19"/>
  <c r="E86" i="19"/>
  <c r="D86" i="19"/>
  <c r="C86" i="19"/>
  <c r="F86" i="19"/>
  <c r="C84" i="17"/>
  <c r="H84" i="17" a="1"/>
  <c r="H84" i="17" s="1"/>
  <c r="P84" i="17" a="1"/>
  <c r="P84" i="17" s="1"/>
  <c r="N84" i="17" a="1"/>
  <c r="N84" i="17" s="1"/>
  <c r="F84" i="17" a="1"/>
  <c r="F84" i="17" s="1"/>
  <c r="O84" i="17" a="1"/>
  <c r="O84" i="17" s="1"/>
  <c r="G84" i="17" a="1"/>
  <c r="G84" i="17" s="1"/>
  <c r="I84" i="17" a="1"/>
  <c r="I84" i="17" s="1"/>
  <c r="Q84" i="17" a="1"/>
  <c r="Q84" i="17" s="1"/>
  <c r="J84" i="17" a="1"/>
  <c r="J84" i="17" s="1"/>
  <c r="R84" i="17" a="1"/>
  <c r="R84" i="17" s="1"/>
  <c r="K84" i="17" a="1"/>
  <c r="K84" i="17" s="1"/>
  <c r="S84" i="17" a="1"/>
  <c r="S84" i="17" s="1"/>
  <c r="T84" i="17" a="1"/>
  <c r="T84" i="17" s="1"/>
  <c r="L84" i="17" a="1"/>
  <c r="L84" i="17" s="1"/>
  <c r="E84" i="17" a="1"/>
  <c r="E84" i="17" s="1"/>
  <c r="M84" i="17" a="1"/>
  <c r="M84" i="17" s="1"/>
  <c r="B85" i="17"/>
  <c r="D84" i="17" l="1"/>
  <c r="G87" i="19"/>
  <c r="F87" i="19"/>
  <c r="E87" i="19"/>
  <c r="D87" i="19"/>
  <c r="C87" i="19"/>
  <c r="C85" i="17"/>
  <c r="I85" i="17" a="1"/>
  <c r="I85" i="17" s="1"/>
  <c r="Q85" i="17" a="1"/>
  <c r="Q85" i="17" s="1"/>
  <c r="H85" i="17" a="1"/>
  <c r="H85" i="17" s="1"/>
  <c r="R85" i="17" a="1"/>
  <c r="R85" i="17" s="1"/>
  <c r="J85" i="17" a="1"/>
  <c r="J85" i="17" s="1"/>
  <c r="S85" i="17" a="1"/>
  <c r="S85" i="17" s="1"/>
  <c r="K85" i="17" a="1"/>
  <c r="K85" i="17" s="1"/>
  <c r="T85" i="17" a="1"/>
  <c r="T85" i="17" s="1"/>
  <c r="L85" i="17" a="1"/>
  <c r="L85" i="17" s="1"/>
  <c r="M85" i="17" a="1"/>
  <c r="M85" i="17" s="1"/>
  <c r="N85" i="17" a="1"/>
  <c r="N85" i="17" s="1"/>
  <c r="E85" i="17" a="1"/>
  <c r="E85" i="17" s="1"/>
  <c r="F85" i="17" a="1"/>
  <c r="F85" i="17" s="1"/>
  <c r="G85" i="17" a="1"/>
  <c r="G85" i="17" s="1"/>
  <c r="O85" i="17" a="1"/>
  <c r="O85" i="17" s="1"/>
  <c r="P85" i="17" a="1"/>
  <c r="P85" i="17" s="1"/>
  <c r="B86" i="17"/>
  <c r="D85" i="17" l="1"/>
  <c r="C88" i="19"/>
  <c r="F88" i="19"/>
  <c r="G88" i="19"/>
  <c r="E88" i="19"/>
  <c r="D88" i="19"/>
  <c r="C86" i="17"/>
  <c r="S86" i="17" a="1"/>
  <c r="S86" i="17" s="1"/>
  <c r="K86" i="17" a="1"/>
  <c r="K86" i="17" s="1"/>
  <c r="L86" i="17" a="1"/>
  <c r="L86" i="17" s="1"/>
  <c r="M86" i="17" a="1"/>
  <c r="M86" i="17" s="1"/>
  <c r="E86" i="17" a="1"/>
  <c r="E86" i="17" s="1"/>
  <c r="N86" i="17" a="1"/>
  <c r="N86" i="17" s="1"/>
  <c r="F86" i="17" a="1"/>
  <c r="F86" i="17" s="1"/>
  <c r="O86" i="17" a="1"/>
  <c r="O86" i="17" s="1"/>
  <c r="P86" i="17" a="1"/>
  <c r="P86" i="17" s="1"/>
  <c r="G86" i="17" a="1"/>
  <c r="G86" i="17" s="1"/>
  <c r="Q86" i="17" a="1"/>
  <c r="Q86" i="17" s="1"/>
  <c r="H86" i="17" a="1"/>
  <c r="H86" i="17" s="1"/>
  <c r="R86" i="17" a="1"/>
  <c r="R86" i="17" s="1"/>
  <c r="T86" i="17" a="1"/>
  <c r="T86" i="17" s="1"/>
  <c r="I86" i="17" a="1"/>
  <c r="I86" i="17" s="1"/>
  <c r="J86" i="17" a="1"/>
  <c r="J86" i="17" s="1"/>
  <c r="B87" i="17"/>
  <c r="D86" i="17" l="1"/>
  <c r="G89" i="19"/>
  <c r="F89" i="19"/>
  <c r="E89" i="19"/>
  <c r="C89" i="19"/>
  <c r="D89" i="19"/>
  <c r="C87" i="17"/>
  <c r="J87" i="17" a="1"/>
  <c r="J87" i="17" s="1"/>
  <c r="R87" i="17" a="1"/>
  <c r="R87" i="17" s="1"/>
  <c r="N87" i="17" a="1"/>
  <c r="N87" i="17" s="1"/>
  <c r="E87" i="17" a="1"/>
  <c r="E87" i="17" s="1"/>
  <c r="F87" i="17" a="1"/>
  <c r="F87" i="17" s="1"/>
  <c r="O87" i="17" a="1"/>
  <c r="O87" i="17" s="1"/>
  <c r="G87" i="17" a="1"/>
  <c r="G87" i="17" s="1"/>
  <c r="P87" i="17" a="1"/>
  <c r="P87" i="17" s="1"/>
  <c r="H87" i="17" a="1"/>
  <c r="H87" i="17" s="1"/>
  <c r="Q87" i="17" a="1"/>
  <c r="Q87" i="17" s="1"/>
  <c r="I87" i="17" a="1"/>
  <c r="I87" i="17" s="1"/>
  <c r="K87" i="17" a="1"/>
  <c r="K87" i="17" s="1"/>
  <c r="S87" i="17" a="1"/>
  <c r="S87" i="17" s="1"/>
  <c r="L87" i="17" a="1"/>
  <c r="L87" i="17" s="1"/>
  <c r="M87" i="17" a="1"/>
  <c r="M87" i="17" s="1"/>
  <c r="T87" i="17" a="1"/>
  <c r="T87" i="17" s="1"/>
  <c r="B88" i="17"/>
  <c r="D87" i="17" l="1"/>
  <c r="D90" i="19"/>
  <c r="F90" i="19"/>
  <c r="C90" i="19"/>
  <c r="G90" i="19"/>
  <c r="E90" i="19"/>
  <c r="C88" i="17"/>
  <c r="K88" i="17" a="1"/>
  <c r="K88" i="17" s="1"/>
  <c r="S88" i="17" a="1"/>
  <c r="S88" i="17" s="1"/>
  <c r="F88" i="17" a="1"/>
  <c r="F88" i="17" s="1"/>
  <c r="P88" i="17" a="1"/>
  <c r="P88" i="17" s="1"/>
  <c r="G88" i="17" a="1"/>
  <c r="G88" i="17" s="1"/>
  <c r="H88" i="17" a="1"/>
  <c r="H88" i="17" s="1"/>
  <c r="Q88" i="17" a="1"/>
  <c r="Q88" i="17" s="1"/>
  <c r="I88" i="17" a="1"/>
  <c r="I88" i="17" s="1"/>
  <c r="R88" i="17" a="1"/>
  <c r="R88" i="17" s="1"/>
  <c r="J88" i="17" a="1"/>
  <c r="J88" i="17" s="1"/>
  <c r="T88" i="17" a="1"/>
  <c r="T88" i="17" s="1"/>
  <c r="L88" i="17" a="1"/>
  <c r="L88" i="17" s="1"/>
  <c r="M88" i="17" a="1"/>
  <c r="M88" i="17" s="1"/>
  <c r="E88" i="17" a="1"/>
  <c r="E88" i="17" s="1"/>
  <c r="N88" i="17" a="1"/>
  <c r="N88" i="17" s="1"/>
  <c r="O88" i="17" a="1"/>
  <c r="O88" i="17" s="1"/>
  <c r="B89" i="17"/>
  <c r="D88" i="17" l="1"/>
  <c r="G91" i="19"/>
  <c r="F91" i="19"/>
  <c r="E91" i="19"/>
  <c r="D91" i="19"/>
  <c r="C91" i="19"/>
  <c r="C89" i="17"/>
  <c r="K89" i="17" a="1"/>
  <c r="K89" i="17" s="1"/>
  <c r="T89" i="17" a="1"/>
  <c r="T89" i="17" s="1"/>
  <c r="I89" i="17" a="1"/>
  <c r="I89" i="17" s="1"/>
  <c r="R89" i="17" a="1"/>
  <c r="R89" i="17" s="1"/>
  <c r="J89" i="17" a="1"/>
  <c r="J89" i="17" s="1"/>
  <c r="S89" i="17" a="1"/>
  <c r="S89" i="17" s="1"/>
  <c r="L89" i="17" a="1"/>
  <c r="L89" i="17" s="1"/>
  <c r="E89" i="17" a="1"/>
  <c r="E89" i="17" s="1"/>
  <c r="M89" i="17" a="1"/>
  <c r="M89" i="17" s="1"/>
  <c r="F89" i="17" a="1"/>
  <c r="F89" i="17" s="1"/>
  <c r="N89" i="17" a="1"/>
  <c r="N89" i="17" s="1"/>
  <c r="G89" i="17" a="1"/>
  <c r="G89" i="17" s="1"/>
  <c r="O89" i="17" a="1"/>
  <c r="O89" i="17" s="1"/>
  <c r="P89" i="17" a="1"/>
  <c r="P89" i="17" s="1"/>
  <c r="Q89" i="17" a="1"/>
  <c r="Q89" i="17" s="1"/>
  <c r="H89" i="17" a="1"/>
  <c r="H89" i="17" s="1"/>
  <c r="B90" i="17"/>
  <c r="D89" i="17" l="1"/>
  <c r="G92" i="19"/>
  <c r="F92" i="19"/>
  <c r="E92" i="19"/>
  <c r="D92" i="19"/>
  <c r="C92" i="19"/>
  <c r="C90" i="17"/>
  <c r="L90" i="17" a="1"/>
  <c r="L90" i="17" s="1"/>
  <c r="S90" i="17" a="1"/>
  <c r="S90" i="17" s="1"/>
  <c r="K90" i="17" a="1"/>
  <c r="K90" i="17" s="1"/>
  <c r="T90" i="17" a="1"/>
  <c r="T90" i="17" s="1"/>
  <c r="M90" i="17" a="1"/>
  <c r="M90" i="17" s="1"/>
  <c r="E90" i="17" a="1"/>
  <c r="E90" i="17" s="1"/>
  <c r="N90" i="17" a="1"/>
  <c r="N90" i="17" s="1"/>
  <c r="F90" i="17" a="1"/>
  <c r="F90" i="17" s="1"/>
  <c r="O90" i="17" a="1"/>
  <c r="O90" i="17" s="1"/>
  <c r="G90" i="17" a="1"/>
  <c r="G90" i="17" s="1"/>
  <c r="P90" i="17" a="1"/>
  <c r="P90" i="17" s="1"/>
  <c r="H90" i="17" a="1"/>
  <c r="H90" i="17" s="1"/>
  <c r="I90" i="17" a="1"/>
  <c r="I90" i="17" s="1"/>
  <c r="J90" i="17" a="1"/>
  <c r="J90" i="17" s="1"/>
  <c r="Q90" i="17" a="1"/>
  <c r="Q90" i="17" s="1"/>
  <c r="R90" i="17" a="1"/>
  <c r="R90" i="17" s="1"/>
  <c r="B91" i="17"/>
  <c r="D90" i="17" l="1"/>
  <c r="G93" i="19"/>
  <c r="F93" i="19"/>
  <c r="E93" i="19"/>
  <c r="D93" i="19"/>
  <c r="C93" i="19"/>
  <c r="C91" i="17"/>
  <c r="L91" i="17" a="1"/>
  <c r="L91" i="17" s="1"/>
  <c r="T91" i="17" a="1"/>
  <c r="T91" i="17" s="1"/>
  <c r="N91" i="17" a="1"/>
  <c r="N91" i="17" s="1"/>
  <c r="O91" i="17" a="1"/>
  <c r="O91" i="17" s="1"/>
  <c r="E91" i="17" a="1"/>
  <c r="E91" i="17" s="1"/>
  <c r="F91" i="17" a="1"/>
  <c r="F91" i="17" s="1"/>
  <c r="P91" i="17" a="1"/>
  <c r="P91" i="17" s="1"/>
  <c r="G91" i="17" a="1"/>
  <c r="G91" i="17" s="1"/>
  <c r="Q91" i="17" a="1"/>
  <c r="Q91" i="17" s="1"/>
  <c r="H91" i="17" a="1"/>
  <c r="H91" i="17" s="1"/>
  <c r="R91" i="17" a="1"/>
  <c r="R91" i="17" s="1"/>
  <c r="I91" i="17" a="1"/>
  <c r="I91" i="17" s="1"/>
  <c r="K91" i="17" a="1"/>
  <c r="K91" i="17" s="1"/>
  <c r="M91" i="17" a="1"/>
  <c r="M91" i="17" s="1"/>
  <c r="S91" i="17" a="1"/>
  <c r="S91" i="17" s="1"/>
  <c r="J91" i="17" a="1"/>
  <c r="J91" i="17" s="1"/>
  <c r="B92" i="17"/>
  <c r="D91" i="17" l="1"/>
  <c r="G94" i="19"/>
  <c r="F94" i="19"/>
  <c r="D94" i="19"/>
  <c r="C94" i="19"/>
  <c r="E94" i="19"/>
  <c r="C92" i="17"/>
  <c r="M92" i="17" a="1"/>
  <c r="M92" i="17" s="1"/>
  <c r="G92" i="17" a="1"/>
  <c r="G92" i="17" s="1"/>
  <c r="P92" i="17" a="1"/>
  <c r="P92" i="17" s="1"/>
  <c r="H92" i="17" a="1"/>
  <c r="H92" i="17" s="1"/>
  <c r="Q92" i="17" a="1"/>
  <c r="Q92" i="17" s="1"/>
  <c r="I92" i="17" a="1"/>
  <c r="I92" i="17" s="1"/>
  <c r="R92" i="17" a="1"/>
  <c r="R92" i="17" s="1"/>
  <c r="J92" i="17" a="1"/>
  <c r="J92" i="17" s="1"/>
  <c r="S92" i="17" a="1"/>
  <c r="S92" i="17" s="1"/>
  <c r="T92" i="17" a="1"/>
  <c r="T92" i="17" s="1"/>
  <c r="K92" i="17" a="1"/>
  <c r="K92" i="17" s="1"/>
  <c r="L92" i="17" a="1"/>
  <c r="L92" i="17" s="1"/>
  <c r="E92" i="17" a="1"/>
  <c r="E92" i="17" s="1"/>
  <c r="F92" i="17" a="1"/>
  <c r="F92" i="17" s="1"/>
  <c r="N92" i="17" a="1"/>
  <c r="N92" i="17" s="1"/>
  <c r="O92" i="17" a="1"/>
  <c r="O92" i="17" s="1"/>
  <c r="B93" i="17"/>
  <c r="D92" i="17" l="1"/>
  <c r="G95" i="19"/>
  <c r="F95" i="19"/>
  <c r="D95" i="19"/>
  <c r="C95" i="19"/>
  <c r="E95" i="19"/>
  <c r="C93" i="17"/>
  <c r="F93" i="17" a="1"/>
  <c r="F93" i="17" s="1"/>
  <c r="M93" i="17" a="1"/>
  <c r="M93" i="17" s="1"/>
  <c r="I93" i="17" a="1"/>
  <c r="I93" i="17" s="1"/>
  <c r="R93" i="17" a="1"/>
  <c r="R93" i="17" s="1"/>
  <c r="J93" i="17" a="1"/>
  <c r="J93" i="17" s="1"/>
  <c r="S93" i="17" a="1"/>
  <c r="S93" i="17" s="1"/>
  <c r="K93" i="17" a="1"/>
  <c r="K93" i="17" s="1"/>
  <c r="T93" i="17" a="1"/>
  <c r="T93" i="17" s="1"/>
  <c r="L93" i="17" a="1"/>
  <c r="L93" i="17" s="1"/>
  <c r="E93" i="17" a="1"/>
  <c r="E93" i="17" s="1"/>
  <c r="N93" i="17" a="1"/>
  <c r="N93" i="17" s="1"/>
  <c r="G93" i="17" a="1"/>
  <c r="G93" i="17" s="1"/>
  <c r="O93" i="17" a="1"/>
  <c r="O93" i="17" s="1"/>
  <c r="P93" i="17" a="1"/>
  <c r="P93" i="17" s="1"/>
  <c r="Q93" i="17" a="1"/>
  <c r="Q93" i="17" s="1"/>
  <c r="H93" i="17" a="1"/>
  <c r="H93" i="17" s="1"/>
  <c r="B94" i="17"/>
  <c r="D93" i="17" l="1"/>
  <c r="G96" i="19"/>
  <c r="E96" i="19"/>
  <c r="F96" i="19"/>
  <c r="D96" i="19"/>
  <c r="C96" i="19"/>
  <c r="E94" i="17" a="1"/>
  <c r="E94" i="17" s="1"/>
  <c r="M94" i="17" a="1"/>
  <c r="M94" i="17" s="1"/>
  <c r="C94" i="17"/>
  <c r="K94" i="17" a="1"/>
  <c r="K94" i="17" s="1"/>
  <c r="T94" i="17" a="1"/>
  <c r="T94" i="17" s="1"/>
  <c r="L94" i="17" a="1"/>
  <c r="L94" i="17" s="1"/>
  <c r="N94" i="17" a="1"/>
  <c r="N94" i="17" s="1"/>
  <c r="F94" i="17" a="1"/>
  <c r="F94" i="17" s="1"/>
  <c r="O94" i="17" a="1"/>
  <c r="O94" i="17" s="1"/>
  <c r="P94" i="17" a="1"/>
  <c r="P94" i="17" s="1"/>
  <c r="G94" i="17" a="1"/>
  <c r="G94" i="17" s="1"/>
  <c r="Q94" i="17" a="1"/>
  <c r="Q94" i="17" s="1"/>
  <c r="H94" i="17" a="1"/>
  <c r="H94" i="17" s="1"/>
  <c r="I94" i="17" a="1"/>
  <c r="I94" i="17" s="1"/>
  <c r="J94" i="17" a="1"/>
  <c r="J94" i="17" s="1"/>
  <c r="R94" i="17" a="1"/>
  <c r="R94" i="17" s="1"/>
  <c r="S94" i="17" a="1"/>
  <c r="S94" i="17" s="1"/>
  <c r="B95" i="17"/>
  <c r="D94" i="17" l="1"/>
  <c r="G97" i="19"/>
  <c r="E97" i="19"/>
  <c r="F97" i="19"/>
  <c r="D97" i="19"/>
  <c r="C97" i="19"/>
  <c r="C95" i="17"/>
  <c r="E95" i="17" a="1"/>
  <c r="E95" i="17" s="1"/>
  <c r="M95" i="17" a="1"/>
  <c r="M95" i="17" s="1"/>
  <c r="N95" i="17" a="1"/>
  <c r="N95" i="17" s="1"/>
  <c r="F95" i="17" a="1"/>
  <c r="F95" i="17" s="1"/>
  <c r="O95" i="17" a="1"/>
  <c r="O95" i="17" s="1"/>
  <c r="G95" i="17" a="1"/>
  <c r="G95" i="17" s="1"/>
  <c r="P95" i="17" a="1"/>
  <c r="P95" i="17" s="1"/>
  <c r="H95" i="17" a="1"/>
  <c r="H95" i="17" s="1"/>
  <c r="Q95" i="17" a="1"/>
  <c r="Q95" i="17" s="1"/>
  <c r="I95" i="17" a="1"/>
  <c r="I95" i="17" s="1"/>
  <c r="R95" i="17" a="1"/>
  <c r="R95" i="17" s="1"/>
  <c r="J95" i="17" a="1"/>
  <c r="J95" i="17" s="1"/>
  <c r="K95" i="17" a="1"/>
  <c r="K95" i="17" s="1"/>
  <c r="L95" i="17" a="1"/>
  <c r="L95" i="17" s="1"/>
  <c r="S95" i="17" a="1"/>
  <c r="S95" i="17" s="1"/>
  <c r="T95" i="17" a="1"/>
  <c r="T95" i="17" s="1"/>
  <c r="B96" i="17"/>
  <c r="D95" i="17" l="1"/>
  <c r="C98" i="19"/>
  <c r="E98" i="19"/>
  <c r="G98" i="19"/>
  <c r="F98" i="19"/>
  <c r="D98" i="19"/>
  <c r="C96" i="17"/>
  <c r="F96" i="17" a="1"/>
  <c r="F96" i="17" s="1"/>
  <c r="G96" i="17" a="1"/>
  <c r="G96" i="17" s="1"/>
  <c r="O96" i="17" a="1"/>
  <c r="O96" i="17" s="1"/>
  <c r="H96" i="17" a="1"/>
  <c r="H96" i="17" s="1"/>
  <c r="P96" i="17" a="1"/>
  <c r="P96" i="17" s="1"/>
  <c r="I96" i="17" a="1"/>
  <c r="I96" i="17" s="1"/>
  <c r="Q96" i="17" a="1"/>
  <c r="Q96" i="17" s="1"/>
  <c r="J96" i="17" a="1"/>
  <c r="J96" i="17" s="1"/>
  <c r="R96" i="17" a="1"/>
  <c r="R96" i="17" s="1"/>
  <c r="S96" i="17" a="1"/>
  <c r="S96" i="17" s="1"/>
  <c r="K96" i="17" a="1"/>
  <c r="K96" i="17" s="1"/>
  <c r="E96" i="17" a="1"/>
  <c r="E96" i="17" s="1"/>
  <c r="L96" i="17" a="1"/>
  <c r="L96" i="17" s="1"/>
  <c r="M96" i="17" a="1"/>
  <c r="M96" i="17" s="1"/>
  <c r="N96" i="17" a="1"/>
  <c r="N96" i="17" s="1"/>
  <c r="T96" i="17" a="1"/>
  <c r="T96" i="17" s="1"/>
  <c r="B97" i="17"/>
  <c r="D96" i="17" l="1"/>
  <c r="G99" i="19"/>
  <c r="F99" i="19"/>
  <c r="E99" i="19"/>
  <c r="C99" i="19"/>
  <c r="D99" i="19"/>
  <c r="C97" i="17"/>
  <c r="T97" i="17" a="1"/>
  <c r="T97" i="17" s="1"/>
  <c r="F97" i="17" a="1"/>
  <c r="F97" i="17" s="1"/>
  <c r="G97" i="17" a="1"/>
  <c r="G97" i="17" s="1"/>
  <c r="P97" i="17" a="1"/>
  <c r="P97" i="17" s="1"/>
  <c r="H97" i="17" a="1"/>
  <c r="H97" i="17" s="1"/>
  <c r="Q97" i="17" a="1"/>
  <c r="Q97" i="17" s="1"/>
  <c r="I97" i="17" a="1"/>
  <c r="I97" i="17" s="1"/>
  <c r="R97" i="17" a="1"/>
  <c r="R97" i="17" s="1"/>
  <c r="J97" i="17" a="1"/>
  <c r="J97" i="17" s="1"/>
  <c r="K97" i="17" a="1"/>
  <c r="K97" i="17" s="1"/>
  <c r="S97" i="17" a="1"/>
  <c r="S97" i="17" s="1"/>
  <c r="L97" i="17" a="1"/>
  <c r="L97" i="17" s="1"/>
  <c r="E97" i="17" a="1"/>
  <c r="E97" i="17" s="1"/>
  <c r="M97" i="17" a="1"/>
  <c r="M97" i="17" s="1"/>
  <c r="N97" i="17" a="1"/>
  <c r="N97" i="17" s="1"/>
  <c r="O97" i="17" a="1"/>
  <c r="O97" i="17" s="1"/>
  <c r="B98" i="17"/>
  <c r="D97" i="17" l="1"/>
  <c r="C100" i="19"/>
  <c r="E100" i="19"/>
  <c r="G100" i="19"/>
  <c r="D100" i="19"/>
  <c r="F100" i="19"/>
  <c r="C98" i="17"/>
  <c r="H98" i="17" a="1"/>
  <c r="H98" i="17" s="1"/>
  <c r="P98" i="17" a="1"/>
  <c r="P98" i="17" s="1"/>
  <c r="Q98" i="17" a="1"/>
  <c r="Q98" i="17" s="1"/>
  <c r="I98" i="17" a="1"/>
  <c r="I98" i="17" s="1"/>
  <c r="R98" i="17" a="1"/>
  <c r="R98" i="17" s="1"/>
  <c r="K98" i="17" a="1"/>
  <c r="K98" i="17" s="1"/>
  <c r="L98" i="17" a="1"/>
  <c r="L98" i="17" s="1"/>
  <c r="E98" i="17" a="1"/>
  <c r="E98" i="17" s="1"/>
  <c r="M98" i="17" a="1"/>
  <c r="M98" i="17" s="1"/>
  <c r="O98" i="17" a="1"/>
  <c r="O98" i="17" s="1"/>
  <c r="S98" i="17" a="1"/>
  <c r="S98" i="17" s="1"/>
  <c r="T98" i="17" a="1"/>
  <c r="T98" i="17" s="1"/>
  <c r="F98" i="17" a="1"/>
  <c r="F98" i="17" s="1"/>
  <c r="G98" i="17" a="1"/>
  <c r="G98" i="17" s="1"/>
  <c r="J98" i="17" a="1"/>
  <c r="J98" i="17" s="1"/>
  <c r="N98" i="17" a="1"/>
  <c r="N98" i="17" s="1"/>
  <c r="B99" i="17"/>
  <c r="D98" i="17" l="1"/>
  <c r="G101" i="19"/>
  <c r="F101" i="19"/>
  <c r="E101" i="19"/>
  <c r="D101" i="19"/>
  <c r="C101" i="19"/>
  <c r="C99" i="17"/>
  <c r="J99" i="17" a="1"/>
  <c r="J99" i="17" s="1"/>
  <c r="R99" i="17" a="1"/>
  <c r="R99" i="17" s="1"/>
  <c r="K99" i="17" a="1"/>
  <c r="K99" i="17" s="1"/>
  <c r="S99" i="17" a="1"/>
  <c r="S99" i="17" s="1"/>
  <c r="T99" i="17" a="1"/>
  <c r="T99" i="17" s="1"/>
  <c r="E99" i="17" a="1"/>
  <c r="E99" i="17" s="1"/>
  <c r="F99" i="17" a="1"/>
  <c r="F99" i="17" s="1"/>
  <c r="O99" i="17" a="1"/>
  <c r="O99" i="17" s="1"/>
  <c r="P99" i="17" a="1"/>
  <c r="P99" i="17" s="1"/>
  <c r="Q99" i="17" a="1"/>
  <c r="Q99" i="17" s="1"/>
  <c r="G99" i="17" a="1"/>
  <c r="G99" i="17" s="1"/>
  <c r="H99" i="17" a="1"/>
  <c r="H99" i="17" s="1"/>
  <c r="I99" i="17" a="1"/>
  <c r="I99" i="17" s="1"/>
  <c r="L99" i="17" a="1"/>
  <c r="L99" i="17" s="1"/>
  <c r="M99" i="17" a="1"/>
  <c r="M99" i="17" s="1"/>
  <c r="N99" i="17" a="1"/>
  <c r="N99" i="17" s="1"/>
  <c r="B100" i="17"/>
  <c r="D99" i="17" l="1"/>
  <c r="G102" i="19"/>
  <c r="F102" i="19"/>
  <c r="E102" i="19"/>
  <c r="D102" i="19"/>
  <c r="C102" i="19"/>
  <c r="C100" i="17"/>
  <c r="K100" i="17" a="1"/>
  <c r="K100" i="17" s="1"/>
  <c r="L100" i="17" a="1"/>
  <c r="L100" i="17" s="1"/>
  <c r="M100" i="17" a="1"/>
  <c r="M100" i="17" s="1"/>
  <c r="J100" i="17" a="1"/>
  <c r="J100" i="17" s="1"/>
  <c r="N100" i="17" a="1"/>
  <c r="N100" i="17" s="1"/>
  <c r="O100" i="17" a="1"/>
  <c r="O100" i="17" s="1"/>
  <c r="P100" i="17" a="1"/>
  <c r="P100" i="17" s="1"/>
  <c r="E100" i="17" a="1"/>
  <c r="E100" i="17" s="1"/>
  <c r="Q100" i="17" a="1"/>
  <c r="Q100" i="17" s="1"/>
  <c r="F100" i="17" a="1"/>
  <c r="F100" i="17" s="1"/>
  <c r="R100" i="17" a="1"/>
  <c r="R100" i="17" s="1"/>
  <c r="G100" i="17" a="1"/>
  <c r="G100" i="17" s="1"/>
  <c r="S100" i="17" a="1"/>
  <c r="S100" i="17" s="1"/>
  <c r="T100" i="17" a="1"/>
  <c r="T100" i="17" s="1"/>
  <c r="H100" i="17" a="1"/>
  <c r="H100" i="17" s="1"/>
  <c r="I100" i="17" a="1"/>
  <c r="I100" i="17" s="1"/>
  <c r="B101" i="17"/>
  <c r="D100" i="17" l="1"/>
  <c r="G103" i="19"/>
  <c r="F103" i="19"/>
  <c r="E103" i="19"/>
  <c r="D103" i="19"/>
  <c r="C103" i="19"/>
  <c r="C101" i="17"/>
  <c r="M101" i="17" a="1"/>
  <c r="M101" i="17" s="1"/>
  <c r="E101" i="17" a="1"/>
  <c r="E101" i="17" s="1"/>
  <c r="N101" i="17" a="1"/>
  <c r="N101" i="17" s="1"/>
  <c r="F101" i="17" a="1"/>
  <c r="F101" i="17" s="1"/>
  <c r="O101" i="17" a="1"/>
  <c r="O101" i="17" s="1"/>
  <c r="I101" i="17" a="1"/>
  <c r="I101" i="17" s="1"/>
  <c r="T101" i="17" a="1"/>
  <c r="T101" i="17" s="1"/>
  <c r="J101" i="17" a="1"/>
  <c r="J101" i="17" s="1"/>
  <c r="K101" i="17" a="1"/>
  <c r="K101" i="17" s="1"/>
  <c r="L101" i="17" a="1"/>
  <c r="L101" i="17" s="1"/>
  <c r="P101" i="17" a="1"/>
  <c r="P101" i="17" s="1"/>
  <c r="Q101" i="17" a="1"/>
  <c r="Q101" i="17" s="1"/>
  <c r="G101" i="17" a="1"/>
  <c r="G101" i="17" s="1"/>
  <c r="R101" i="17" a="1"/>
  <c r="R101" i="17" s="1"/>
  <c r="H101" i="17" a="1"/>
  <c r="H101" i="17" s="1"/>
  <c r="S101" i="17" a="1"/>
  <c r="S101" i="17" s="1"/>
  <c r="B102" i="17"/>
  <c r="D101" i="17" l="1"/>
  <c r="G104" i="19"/>
  <c r="D104" i="19"/>
  <c r="E104" i="19"/>
  <c r="C104" i="19"/>
  <c r="F104" i="19"/>
  <c r="C102" i="17"/>
  <c r="F102" i="17" a="1"/>
  <c r="F102" i="17" s="1"/>
  <c r="P102" i="17" a="1"/>
  <c r="P102" i="17" s="1"/>
  <c r="G102" i="17" a="1"/>
  <c r="G102" i="17" s="1"/>
  <c r="Q102" i="17" a="1"/>
  <c r="Q102" i="17" s="1"/>
  <c r="H102" i="17" a="1"/>
  <c r="H102" i="17" s="1"/>
  <c r="R102" i="17" a="1"/>
  <c r="R102" i="17" s="1"/>
  <c r="E102" i="17" a="1"/>
  <c r="E102" i="17" s="1"/>
  <c r="T102" i="17" a="1"/>
  <c r="T102" i="17" s="1"/>
  <c r="I102" i="17" a="1"/>
  <c r="I102" i="17" s="1"/>
  <c r="J102" i="17" a="1"/>
  <c r="J102" i="17" s="1"/>
  <c r="K102" i="17" a="1"/>
  <c r="K102" i="17" s="1"/>
  <c r="L102" i="17" a="1"/>
  <c r="L102" i="17" s="1"/>
  <c r="M102" i="17" a="1"/>
  <c r="M102" i="17" s="1"/>
  <c r="N102" i="17" a="1"/>
  <c r="N102" i="17" s="1"/>
  <c r="O102" i="17" a="1"/>
  <c r="O102" i="17" s="1"/>
  <c r="S102" i="17" a="1"/>
  <c r="S102" i="17" s="1"/>
  <c r="B103" i="17"/>
  <c r="D102" i="17" l="1"/>
  <c r="G105" i="19"/>
  <c r="F105" i="19"/>
  <c r="D105" i="19"/>
  <c r="E105" i="19"/>
  <c r="C105" i="19"/>
  <c r="C103" i="17"/>
  <c r="I103" i="17" a="1"/>
  <c r="I103" i="17" s="1"/>
  <c r="S103" i="17" a="1"/>
  <c r="S103" i="17" s="1"/>
  <c r="J103" i="17" a="1"/>
  <c r="J103" i="17" s="1"/>
  <c r="T103" i="17" a="1"/>
  <c r="T103" i="17" s="1"/>
  <c r="K103" i="17" a="1"/>
  <c r="K103" i="17" s="1"/>
  <c r="P103" i="17" a="1"/>
  <c r="P103" i="17" s="1"/>
  <c r="Q103" i="17" a="1"/>
  <c r="Q103" i="17" s="1"/>
  <c r="E103" i="17" a="1"/>
  <c r="E103" i="17" s="1"/>
  <c r="R103" i="17" a="1"/>
  <c r="R103" i="17" s="1"/>
  <c r="F103" i="17" a="1"/>
  <c r="F103" i="17" s="1"/>
  <c r="G103" i="17" a="1"/>
  <c r="G103" i="17" s="1"/>
  <c r="H103" i="17" a="1"/>
  <c r="H103" i="17" s="1"/>
  <c r="L103" i="17" a="1"/>
  <c r="L103" i="17" s="1"/>
  <c r="M103" i="17" a="1"/>
  <c r="M103" i="17" s="1"/>
  <c r="N103" i="17" a="1"/>
  <c r="N103" i="17" s="1"/>
  <c r="O103" i="17" a="1"/>
  <c r="O103" i="17" s="1"/>
  <c r="B104" i="17"/>
  <c r="D103" i="17" l="1"/>
  <c r="G106" i="19"/>
  <c r="F106" i="19"/>
  <c r="D106" i="19"/>
  <c r="E106" i="19"/>
  <c r="C106" i="19"/>
  <c r="C104" i="17"/>
  <c r="M104" i="17" a="1"/>
  <c r="M104" i="17" s="1"/>
  <c r="E104" i="17" a="1"/>
  <c r="E104" i="17" s="1"/>
  <c r="N104" i="17" a="1"/>
  <c r="N104" i="17" s="1"/>
  <c r="O104" i="17" a="1"/>
  <c r="O104" i="17" s="1"/>
  <c r="P104" i="17" a="1"/>
  <c r="P104" i="17" s="1"/>
  <c r="Q104" i="17" a="1"/>
  <c r="Q104" i="17" s="1"/>
  <c r="F104" i="17" a="1"/>
  <c r="F104" i="17" s="1"/>
  <c r="R104" i="17" a="1"/>
  <c r="R104" i="17" s="1"/>
  <c r="G104" i="17" a="1"/>
  <c r="G104" i="17" s="1"/>
  <c r="S104" i="17" a="1"/>
  <c r="S104" i="17" s="1"/>
  <c r="H104" i="17" a="1"/>
  <c r="H104" i="17" s="1"/>
  <c r="T104" i="17" a="1"/>
  <c r="T104" i="17" s="1"/>
  <c r="I104" i="17" a="1"/>
  <c r="I104" i="17" s="1"/>
  <c r="J104" i="17" a="1"/>
  <c r="J104" i="17" s="1"/>
  <c r="K104" i="17" a="1"/>
  <c r="K104" i="17" s="1"/>
  <c r="L104" i="17" a="1"/>
  <c r="L104" i="17" s="1"/>
  <c r="B105" i="17"/>
  <c r="D104" i="17" l="1"/>
  <c r="G107" i="19"/>
  <c r="F107" i="19"/>
  <c r="D107" i="19"/>
  <c r="E107" i="19"/>
  <c r="C107" i="19"/>
  <c r="C105" i="17"/>
  <c r="F105" i="17" a="1"/>
  <c r="F105" i="17" s="1"/>
  <c r="P105" i="17" a="1"/>
  <c r="P105" i="17" s="1"/>
  <c r="G105" i="17" a="1"/>
  <c r="G105" i="17" s="1"/>
  <c r="Q105" i="17" a="1"/>
  <c r="Q105" i="17" s="1"/>
  <c r="H105" i="17" a="1"/>
  <c r="H105" i="17" s="1"/>
  <c r="R105" i="17" a="1"/>
  <c r="R105" i="17" s="1"/>
  <c r="L105" i="17" a="1"/>
  <c r="L105" i="17" s="1"/>
  <c r="M105" i="17" a="1"/>
  <c r="M105" i="17" s="1"/>
  <c r="N105" i="17" a="1"/>
  <c r="N105" i="17" s="1"/>
  <c r="O105" i="17" a="1"/>
  <c r="O105" i="17" s="1"/>
  <c r="S105" i="17" a="1"/>
  <c r="S105" i="17" s="1"/>
  <c r="T105" i="17" a="1"/>
  <c r="T105" i="17" s="1"/>
  <c r="E105" i="17" a="1"/>
  <c r="E105" i="17" s="1"/>
  <c r="I105" i="17" a="1"/>
  <c r="I105" i="17" s="1"/>
  <c r="J105" i="17" a="1"/>
  <c r="J105" i="17" s="1"/>
  <c r="K105" i="17" a="1"/>
  <c r="K105" i="17" s="1"/>
  <c r="B106" i="17"/>
  <c r="D105" i="17" l="1"/>
  <c r="C108" i="19"/>
  <c r="F108" i="19"/>
  <c r="D108" i="19"/>
  <c r="G108" i="19"/>
  <c r="E108" i="19"/>
  <c r="C106" i="17"/>
  <c r="I106" i="17" a="1"/>
  <c r="I106" i="17" s="1"/>
  <c r="S106" i="17" a="1"/>
  <c r="S106" i="17" s="1"/>
  <c r="J106" i="17" a="1"/>
  <c r="J106" i="17" s="1"/>
  <c r="T106" i="17" a="1"/>
  <c r="T106" i="17" s="1"/>
  <c r="K106" i="17" a="1"/>
  <c r="K106" i="17" s="1"/>
  <c r="H106" i="17" a="1"/>
  <c r="H106" i="17" s="1"/>
  <c r="L106" i="17" a="1"/>
  <c r="L106" i="17" s="1"/>
  <c r="M106" i="17" a="1"/>
  <c r="M106" i="17" s="1"/>
  <c r="N106" i="17" a="1"/>
  <c r="N106" i="17" s="1"/>
  <c r="O106" i="17" a="1"/>
  <c r="O106" i="17" s="1"/>
  <c r="P106" i="17" a="1"/>
  <c r="P106" i="17" s="1"/>
  <c r="E106" i="17" a="1"/>
  <c r="E106" i="17" s="1"/>
  <c r="Q106" i="17" a="1"/>
  <c r="Q106" i="17" s="1"/>
  <c r="R106" i="17" a="1"/>
  <c r="R106" i="17" s="1"/>
  <c r="F106" i="17" a="1"/>
  <c r="F106" i="17" s="1"/>
  <c r="G106" i="17" a="1"/>
  <c r="G106" i="17" s="1"/>
  <c r="B107" i="17"/>
  <c r="D106" i="17" l="1"/>
  <c r="G109" i="19"/>
  <c r="F109" i="19"/>
  <c r="E109" i="19"/>
  <c r="C109" i="19"/>
  <c r="D109" i="19"/>
  <c r="C107" i="17"/>
  <c r="K107" i="17" a="1"/>
  <c r="K107" i="17" s="1"/>
  <c r="S107" i="17" a="1"/>
  <c r="S107" i="17" s="1"/>
  <c r="L107" i="17" a="1"/>
  <c r="L107" i="17" s="1"/>
  <c r="T107" i="17" a="1"/>
  <c r="T107" i="17" s="1"/>
  <c r="E107" i="17" a="1"/>
  <c r="E107" i="17" s="1"/>
  <c r="M107" i="17" a="1"/>
  <c r="M107" i="17" s="1"/>
  <c r="H107" i="17" a="1"/>
  <c r="H107" i="17" s="1"/>
  <c r="Q107" i="17" a="1"/>
  <c r="Q107" i="17" s="1"/>
  <c r="R107" i="17" a="1"/>
  <c r="R107" i="17" s="1"/>
  <c r="I107" i="17" a="1"/>
  <c r="I107" i="17" s="1"/>
  <c r="J107" i="17" a="1"/>
  <c r="J107" i="17" s="1"/>
  <c r="N107" i="17" a="1"/>
  <c r="N107" i="17" s="1"/>
  <c r="O107" i="17" a="1"/>
  <c r="O107" i="17" s="1"/>
  <c r="F107" i="17" a="1"/>
  <c r="F107" i="17" s="1"/>
  <c r="G107" i="17" a="1"/>
  <c r="G107" i="17" s="1"/>
  <c r="P107" i="17" a="1"/>
  <c r="P107" i="17" s="1"/>
  <c r="B108" i="17"/>
  <c r="D107" i="17" l="1"/>
  <c r="G110" i="19"/>
  <c r="C110" i="19"/>
  <c r="F110" i="19"/>
  <c r="D110" i="19"/>
  <c r="E110" i="19"/>
  <c r="C108" i="17"/>
  <c r="L108" i="17" a="1"/>
  <c r="L108" i="17" s="1"/>
  <c r="T108" i="17" a="1"/>
  <c r="T108" i="17" s="1"/>
  <c r="M108" i="17" a="1"/>
  <c r="M108" i="17" s="1"/>
  <c r="N108" i="17" a="1"/>
  <c r="N108" i="17" s="1"/>
  <c r="O108" i="17" a="1"/>
  <c r="O108" i="17" s="1"/>
  <c r="E108" i="17" a="1"/>
  <c r="E108" i="17" s="1"/>
  <c r="P108" i="17" a="1"/>
  <c r="P108" i="17" s="1"/>
  <c r="F108" i="17" a="1"/>
  <c r="F108" i="17" s="1"/>
  <c r="Q108" i="17" a="1"/>
  <c r="Q108" i="17" s="1"/>
  <c r="G108" i="17" a="1"/>
  <c r="G108" i="17" s="1"/>
  <c r="R108" i="17" a="1"/>
  <c r="R108" i="17" s="1"/>
  <c r="H108" i="17" a="1"/>
  <c r="H108" i="17" s="1"/>
  <c r="S108" i="17" a="1"/>
  <c r="S108" i="17" s="1"/>
  <c r="I108" i="17" a="1"/>
  <c r="I108" i="17" s="1"/>
  <c r="J108" i="17" a="1"/>
  <c r="J108" i="17" s="1"/>
  <c r="K108" i="17" a="1"/>
  <c r="K108" i="17" s="1"/>
  <c r="B109" i="17"/>
  <c r="D108" i="17" l="1"/>
  <c r="G111" i="19"/>
  <c r="F111" i="19"/>
  <c r="E111" i="19"/>
  <c r="D111" i="19"/>
  <c r="C111" i="19"/>
  <c r="C109" i="17"/>
  <c r="M109" i="17" a="1"/>
  <c r="M109" i="17" s="1"/>
  <c r="E109" i="17" a="1"/>
  <c r="E109" i="17" s="1"/>
  <c r="N109" i="17" a="1"/>
  <c r="N109" i="17" s="1"/>
  <c r="F109" i="17" a="1"/>
  <c r="F109" i="17" s="1"/>
  <c r="O109" i="17" a="1"/>
  <c r="O109" i="17" s="1"/>
  <c r="J109" i="17" a="1"/>
  <c r="J109" i="17" s="1"/>
  <c r="K109" i="17" a="1"/>
  <c r="K109" i="17" s="1"/>
  <c r="L109" i="17" a="1"/>
  <c r="L109" i="17" s="1"/>
  <c r="P109" i="17" a="1"/>
  <c r="P109" i="17" s="1"/>
  <c r="Q109" i="17" a="1"/>
  <c r="Q109" i="17" s="1"/>
  <c r="R109" i="17" a="1"/>
  <c r="R109" i="17" s="1"/>
  <c r="G109" i="17" a="1"/>
  <c r="G109" i="17" s="1"/>
  <c r="S109" i="17" a="1"/>
  <c r="S109" i="17" s="1"/>
  <c r="T109" i="17" a="1"/>
  <c r="T109" i="17" s="1"/>
  <c r="H109" i="17" a="1"/>
  <c r="H109" i="17" s="1"/>
  <c r="I109" i="17" a="1"/>
  <c r="I109" i="17" s="1"/>
  <c r="B110" i="17"/>
  <c r="D109" i="17" l="1"/>
  <c r="G112" i="19"/>
  <c r="F112" i="19"/>
  <c r="E112" i="19"/>
  <c r="C112" i="19"/>
  <c r="D112" i="19"/>
  <c r="C110" i="17"/>
  <c r="O110" i="17" a="1"/>
  <c r="O110" i="17" s="1"/>
  <c r="G110" i="17" a="1"/>
  <c r="G110" i="17" s="1"/>
  <c r="P110" i="17" a="1"/>
  <c r="P110" i="17" s="1"/>
  <c r="H110" i="17" a="1"/>
  <c r="H110" i="17" s="1"/>
  <c r="I110" i="17" a="1"/>
  <c r="I110" i="17" s="1"/>
  <c r="S110" i="17" a="1"/>
  <c r="S110" i="17" s="1"/>
  <c r="J110" i="17" a="1"/>
  <c r="J110" i="17" s="1"/>
  <c r="T110" i="17" a="1"/>
  <c r="T110" i="17" s="1"/>
  <c r="K110" i="17" a="1"/>
  <c r="K110" i="17" s="1"/>
  <c r="L110" i="17" a="1"/>
  <c r="L110" i="17" s="1"/>
  <c r="M110" i="17" a="1"/>
  <c r="M110" i="17" s="1"/>
  <c r="N110" i="17" a="1"/>
  <c r="N110" i="17" s="1"/>
  <c r="Q110" i="17" a="1"/>
  <c r="Q110" i="17" s="1"/>
  <c r="E110" i="17" a="1"/>
  <c r="E110" i="17" s="1"/>
  <c r="F110" i="17" a="1"/>
  <c r="F110" i="17" s="1"/>
  <c r="R110" i="17" a="1"/>
  <c r="R110" i="17" s="1"/>
  <c r="B111" i="17"/>
  <c r="D110" i="17" l="1"/>
  <c r="G113" i="19"/>
  <c r="F113" i="19"/>
  <c r="E113" i="19"/>
  <c r="D113" i="19"/>
  <c r="C113" i="19"/>
  <c r="C111" i="17"/>
  <c r="G111" i="17" a="1"/>
  <c r="G111" i="17" s="1"/>
  <c r="H111" i="17" a="1"/>
  <c r="H111" i="17" s="1"/>
  <c r="P111" i="17" a="1"/>
  <c r="P111" i="17" s="1"/>
  <c r="I111" i="17" a="1"/>
  <c r="I111" i="17" s="1"/>
  <c r="Q111" i="17" a="1"/>
  <c r="Q111" i="17" s="1"/>
  <c r="O111" i="17" a="1"/>
  <c r="O111" i="17" s="1"/>
  <c r="R111" i="17" a="1"/>
  <c r="R111" i="17" s="1"/>
  <c r="E111" i="17" a="1"/>
  <c r="E111" i="17" s="1"/>
  <c r="S111" i="17" a="1"/>
  <c r="S111" i="17" s="1"/>
  <c r="F111" i="17" a="1"/>
  <c r="F111" i="17" s="1"/>
  <c r="T111" i="17" a="1"/>
  <c r="T111" i="17" s="1"/>
  <c r="J111" i="17" a="1"/>
  <c r="J111" i="17" s="1"/>
  <c r="K111" i="17" a="1"/>
  <c r="K111" i="17" s="1"/>
  <c r="L111" i="17" a="1"/>
  <c r="L111" i="17" s="1"/>
  <c r="M111" i="17" a="1"/>
  <c r="M111" i="17" s="1"/>
  <c r="N111" i="17" a="1"/>
  <c r="N111" i="17" s="1"/>
  <c r="B112" i="17"/>
  <c r="D111" i="17" l="1"/>
  <c r="G114" i="19"/>
  <c r="E114" i="19"/>
  <c r="D114" i="19"/>
  <c r="F114" i="19"/>
  <c r="C114" i="19"/>
  <c r="C112" i="17"/>
  <c r="I112" i="17" a="1"/>
  <c r="I112" i="17" s="1"/>
  <c r="Q112" i="17" a="1"/>
  <c r="Q112" i="17" s="1"/>
  <c r="J112" i="17" a="1"/>
  <c r="J112" i="17" s="1"/>
  <c r="R112" i="17" a="1"/>
  <c r="R112" i="17" s="1"/>
  <c r="M112" i="17" a="1"/>
  <c r="M112" i="17" s="1"/>
  <c r="N112" i="17" a="1"/>
  <c r="N112" i="17" s="1"/>
  <c r="O112" i="17" a="1"/>
  <c r="O112" i="17" s="1"/>
  <c r="E112" i="17" a="1"/>
  <c r="E112" i="17" s="1"/>
  <c r="P112" i="17" a="1"/>
  <c r="P112" i="17" s="1"/>
  <c r="F112" i="17" a="1"/>
  <c r="F112" i="17" s="1"/>
  <c r="S112" i="17" a="1"/>
  <c r="S112" i="17" s="1"/>
  <c r="G112" i="17" a="1"/>
  <c r="G112" i="17" s="1"/>
  <c r="H112" i="17" a="1"/>
  <c r="H112" i="17" s="1"/>
  <c r="T112" i="17" a="1"/>
  <c r="T112" i="17" s="1"/>
  <c r="K112" i="17" a="1"/>
  <c r="K112" i="17" s="1"/>
  <c r="L112" i="17" a="1"/>
  <c r="L112" i="17" s="1"/>
  <c r="B113" i="17"/>
  <c r="D112" i="17" l="1"/>
  <c r="G115" i="19"/>
  <c r="E115" i="19"/>
  <c r="D115" i="19"/>
  <c r="F115" i="19"/>
  <c r="C115" i="19"/>
  <c r="C113" i="17"/>
  <c r="O113" i="17" a="1"/>
  <c r="O113" i="17" s="1"/>
  <c r="H113" i="17" a="1"/>
  <c r="H113" i="17" s="1"/>
  <c r="P113" i="17" a="1"/>
  <c r="P113" i="17" s="1"/>
  <c r="I113" i="17" a="1"/>
  <c r="I113" i="17" s="1"/>
  <c r="F113" i="17" a="1"/>
  <c r="F113" i="17" s="1"/>
  <c r="G113" i="17" a="1"/>
  <c r="G113" i="17" s="1"/>
  <c r="R113" i="17" a="1"/>
  <c r="R113" i="17" s="1"/>
  <c r="J113" i="17" a="1"/>
  <c r="J113" i="17" s="1"/>
  <c r="S113" i="17" a="1"/>
  <c r="S113" i="17" s="1"/>
  <c r="T113" i="17" a="1"/>
  <c r="T113" i="17" s="1"/>
  <c r="K113" i="17" a="1"/>
  <c r="K113" i="17" s="1"/>
  <c r="L113" i="17" a="1"/>
  <c r="L113" i="17" s="1"/>
  <c r="M113" i="17" a="1"/>
  <c r="M113" i="17" s="1"/>
  <c r="E113" i="17" a="1"/>
  <c r="E113" i="17" s="1"/>
  <c r="N113" i="17" a="1"/>
  <c r="N113" i="17" s="1"/>
  <c r="Q113" i="17" a="1"/>
  <c r="Q113" i="17" s="1"/>
  <c r="B114" i="17"/>
  <c r="D113" i="17" l="1"/>
  <c r="G116" i="19"/>
  <c r="E116" i="19"/>
  <c r="D116" i="19"/>
  <c r="F116" i="19"/>
  <c r="C116" i="19"/>
  <c r="C114" i="17"/>
  <c r="F114" i="17" a="1"/>
  <c r="F114" i="17" s="1"/>
  <c r="N114" i="17" a="1"/>
  <c r="N114" i="17" s="1"/>
  <c r="G114" i="17" a="1"/>
  <c r="G114" i="17" s="1"/>
  <c r="O114" i="17" a="1"/>
  <c r="O114" i="17" s="1"/>
  <c r="K114" i="17" a="1"/>
  <c r="K114" i="17" s="1"/>
  <c r="L114" i="17" a="1"/>
  <c r="L114" i="17" s="1"/>
  <c r="M114" i="17" a="1"/>
  <c r="M114" i="17" s="1"/>
  <c r="P114" i="17" a="1"/>
  <c r="P114" i="17" s="1"/>
  <c r="E114" i="17" a="1"/>
  <c r="E114" i="17" s="1"/>
  <c r="Q114" i="17" a="1"/>
  <c r="Q114" i="17" s="1"/>
  <c r="H114" i="17" a="1"/>
  <c r="H114" i="17" s="1"/>
  <c r="R114" i="17" a="1"/>
  <c r="R114" i="17" s="1"/>
  <c r="I114" i="17" a="1"/>
  <c r="I114" i="17" s="1"/>
  <c r="S114" i="17" a="1"/>
  <c r="S114" i="17" s="1"/>
  <c r="J114" i="17" a="1"/>
  <c r="J114" i="17" s="1"/>
  <c r="T114" i="17" a="1"/>
  <c r="T114" i="17" s="1"/>
  <c r="B115" i="17"/>
  <c r="D114" i="17" l="1"/>
  <c r="G117" i="19"/>
  <c r="E117" i="19"/>
  <c r="D117" i="19"/>
  <c r="C117" i="19"/>
  <c r="F117" i="19"/>
  <c r="C115" i="17"/>
  <c r="L115" i="17" a="1"/>
  <c r="L115" i="17" s="1"/>
  <c r="E115" i="17" a="1"/>
  <c r="E115" i="17" s="1"/>
  <c r="M115" i="17" a="1"/>
  <c r="M115" i="17" s="1"/>
  <c r="T115" i="17" a="1"/>
  <c r="T115" i="17" s="1"/>
  <c r="F115" i="17" a="1"/>
  <c r="F115" i="17" s="1"/>
  <c r="G115" i="17" a="1"/>
  <c r="G115" i="17" s="1"/>
  <c r="P115" i="17" a="1"/>
  <c r="P115" i="17" s="1"/>
  <c r="H115" i="17" a="1"/>
  <c r="H115" i="17" s="1"/>
  <c r="Q115" i="17" a="1"/>
  <c r="Q115" i="17" s="1"/>
  <c r="I115" i="17" a="1"/>
  <c r="I115" i="17" s="1"/>
  <c r="R115" i="17" a="1"/>
  <c r="R115" i="17" s="1"/>
  <c r="S115" i="17" a="1"/>
  <c r="S115" i="17" s="1"/>
  <c r="J115" i="17" a="1"/>
  <c r="J115" i="17" s="1"/>
  <c r="K115" i="17" a="1"/>
  <c r="K115" i="17" s="1"/>
  <c r="N115" i="17" a="1"/>
  <c r="N115" i="17" s="1"/>
  <c r="O115" i="17" a="1"/>
  <c r="O115" i="17" s="1"/>
  <c r="B116" i="17"/>
  <c r="D115" i="17" l="1"/>
  <c r="C118" i="19"/>
  <c r="G118" i="19"/>
  <c r="E118" i="19"/>
  <c r="D118" i="19"/>
  <c r="F118" i="19"/>
  <c r="C116" i="17"/>
  <c r="K116" i="17" a="1"/>
  <c r="K116" i="17" s="1"/>
  <c r="T116" i="17" a="1"/>
  <c r="T116" i="17" s="1"/>
  <c r="L116" i="17" a="1"/>
  <c r="L116" i="17" s="1"/>
  <c r="E116" i="17" a="1"/>
  <c r="E116" i="17" s="1"/>
  <c r="J116" i="17" a="1"/>
  <c r="J116" i="17" s="1"/>
  <c r="M116" i="17" a="1"/>
  <c r="M116" i="17" s="1"/>
  <c r="N116" i="17" a="1"/>
  <c r="N116" i="17" s="1"/>
  <c r="O116" i="17" a="1"/>
  <c r="O116" i="17" s="1"/>
  <c r="F116" i="17" a="1"/>
  <c r="F116" i="17" s="1"/>
  <c r="P116" i="17" a="1"/>
  <c r="P116" i="17" s="1"/>
  <c r="G116" i="17" a="1"/>
  <c r="G116" i="17" s="1"/>
  <c r="Q116" i="17" a="1"/>
  <c r="Q116" i="17" s="1"/>
  <c r="R116" i="17" a="1"/>
  <c r="R116" i="17" s="1"/>
  <c r="H116" i="17" a="1"/>
  <c r="H116" i="17" s="1"/>
  <c r="S116" i="17" a="1"/>
  <c r="S116" i="17" s="1"/>
  <c r="I116" i="17" a="1"/>
  <c r="I116" i="17" s="1"/>
  <c r="B117" i="17"/>
  <c r="D116" i="17" l="1"/>
  <c r="G119" i="19"/>
  <c r="F119" i="19"/>
  <c r="E119" i="19"/>
  <c r="C119" i="19"/>
  <c r="D119" i="19"/>
  <c r="C117" i="17"/>
  <c r="E117" i="17" a="1"/>
  <c r="E117" i="17" s="1"/>
  <c r="M117" i="17" a="1"/>
  <c r="M117" i="17" s="1"/>
  <c r="F117" i="17" a="1"/>
  <c r="F117" i="17" s="1"/>
  <c r="N117" i="17" a="1"/>
  <c r="N117" i="17" s="1"/>
  <c r="H117" i="17" a="1"/>
  <c r="H117" i="17" s="1"/>
  <c r="S117" i="17" a="1"/>
  <c r="S117" i="17" s="1"/>
  <c r="I117" i="17" a="1"/>
  <c r="I117" i="17" s="1"/>
  <c r="T117" i="17" a="1"/>
  <c r="T117" i="17" s="1"/>
  <c r="J117" i="17" a="1"/>
  <c r="J117" i="17" s="1"/>
  <c r="K117" i="17" a="1"/>
  <c r="K117" i="17" s="1"/>
  <c r="L117" i="17" a="1"/>
  <c r="L117" i="17" s="1"/>
  <c r="O117" i="17" a="1"/>
  <c r="O117" i="17" s="1"/>
  <c r="P117" i="17" a="1"/>
  <c r="P117" i="17" s="1"/>
  <c r="Q117" i="17" a="1"/>
  <c r="Q117" i="17" s="1"/>
  <c r="G117" i="17" a="1"/>
  <c r="G117" i="17" s="1"/>
  <c r="R117" i="17" a="1"/>
  <c r="R117" i="17" s="1"/>
  <c r="B118" i="17"/>
  <c r="D117" i="17" l="1"/>
  <c r="F120" i="19"/>
  <c r="G120" i="19"/>
  <c r="C120" i="19"/>
  <c r="E120" i="19"/>
  <c r="D120" i="19"/>
  <c r="C118" i="17"/>
  <c r="E118" i="17" a="1"/>
  <c r="E118" i="17" s="1"/>
  <c r="O118" i="17" a="1"/>
  <c r="O118" i="17" s="1"/>
  <c r="F118" i="17" a="1"/>
  <c r="F118" i="17" s="1"/>
  <c r="G118" i="17" a="1"/>
  <c r="G118" i="17" s="1"/>
  <c r="P118" i="17" a="1"/>
  <c r="P118" i="17" s="1"/>
  <c r="R118" i="17" a="1"/>
  <c r="R118" i="17" s="1"/>
  <c r="S118" i="17" a="1"/>
  <c r="S118" i="17" s="1"/>
  <c r="H118" i="17" a="1"/>
  <c r="H118" i="17" s="1"/>
  <c r="T118" i="17" a="1"/>
  <c r="T118" i="17" s="1"/>
  <c r="I118" i="17" a="1"/>
  <c r="I118" i="17" s="1"/>
  <c r="J118" i="17" a="1"/>
  <c r="J118" i="17" s="1"/>
  <c r="K118" i="17" a="1"/>
  <c r="K118" i="17" s="1"/>
  <c r="L118" i="17" a="1"/>
  <c r="L118" i="17" s="1"/>
  <c r="M118" i="17" a="1"/>
  <c r="M118" i="17" s="1"/>
  <c r="N118" i="17" a="1"/>
  <c r="N118" i="17" s="1"/>
  <c r="Q118" i="17" a="1"/>
  <c r="Q118" i="17" s="1"/>
  <c r="B119" i="17"/>
  <c r="D118" i="17" l="1"/>
  <c r="G121" i="19"/>
  <c r="F121" i="19"/>
  <c r="E121" i="19"/>
  <c r="D121" i="19"/>
  <c r="C121" i="19"/>
  <c r="C119" i="17"/>
  <c r="G119" i="17" a="1"/>
  <c r="G119" i="17" s="1"/>
  <c r="P119" i="17" a="1"/>
  <c r="P119" i="17" s="1"/>
  <c r="H119" i="17" a="1"/>
  <c r="H119" i="17" s="1"/>
  <c r="Q119" i="17" a="1"/>
  <c r="Q119" i="17" s="1"/>
  <c r="I119" i="17" a="1"/>
  <c r="I119" i="17" s="1"/>
  <c r="R119" i="17" a="1"/>
  <c r="R119" i="17" s="1"/>
  <c r="M119" i="17" a="1"/>
  <c r="M119" i="17" s="1"/>
  <c r="N119" i="17" a="1"/>
  <c r="N119" i="17" s="1"/>
  <c r="O119" i="17" a="1"/>
  <c r="O119" i="17" s="1"/>
  <c r="E119" i="17" a="1"/>
  <c r="E119" i="17" s="1"/>
  <c r="S119" i="17" a="1"/>
  <c r="S119" i="17" s="1"/>
  <c r="T119" i="17" a="1"/>
  <c r="T119" i="17" s="1"/>
  <c r="F119" i="17" a="1"/>
  <c r="F119" i="17" s="1"/>
  <c r="J119" i="17" a="1"/>
  <c r="J119" i="17" s="1"/>
  <c r="K119" i="17" a="1"/>
  <c r="K119" i="17" s="1"/>
  <c r="L119" i="17" a="1"/>
  <c r="L119" i="17" s="1"/>
  <c r="B120" i="17"/>
  <c r="D119" i="17" l="1"/>
  <c r="G122" i="19"/>
  <c r="F122" i="19"/>
  <c r="E122" i="19"/>
  <c r="C122" i="19"/>
  <c r="D122" i="19"/>
  <c r="C120" i="17"/>
  <c r="I120" i="17" a="1"/>
  <c r="I120" i="17" s="1"/>
  <c r="R120" i="17" a="1"/>
  <c r="R120" i="17" s="1"/>
  <c r="J120" i="17" a="1"/>
  <c r="J120" i="17" s="1"/>
  <c r="S120" i="17" a="1"/>
  <c r="S120" i="17" s="1"/>
  <c r="K120" i="17" a="1"/>
  <c r="K120" i="17" s="1"/>
  <c r="T120" i="17" a="1"/>
  <c r="T120" i="17" s="1"/>
  <c r="L120" i="17" a="1"/>
  <c r="L120" i="17" s="1"/>
  <c r="M120" i="17" a="1"/>
  <c r="M120" i="17" s="1"/>
  <c r="N120" i="17" a="1"/>
  <c r="N120" i="17" s="1"/>
  <c r="O120" i="17" a="1"/>
  <c r="O120" i="17" s="1"/>
  <c r="E120" i="17" a="1"/>
  <c r="E120" i="17" s="1"/>
  <c r="P120" i="17" a="1"/>
  <c r="P120" i="17" s="1"/>
  <c r="F120" i="17" a="1"/>
  <c r="F120" i="17" s="1"/>
  <c r="Q120" i="17" a="1"/>
  <c r="Q120" i="17" s="1"/>
  <c r="G120" i="17" a="1"/>
  <c r="G120" i="17" s="1"/>
  <c r="H120" i="17" a="1"/>
  <c r="H120" i="17" s="1"/>
  <c r="B121" i="17"/>
  <c r="D120" i="17" l="1"/>
  <c r="G123" i="19"/>
  <c r="F123" i="19"/>
  <c r="E123" i="19"/>
  <c r="C123" i="19"/>
  <c r="D123" i="19"/>
  <c r="C121" i="17"/>
  <c r="K121" i="17" a="1"/>
  <c r="K121" i="17" s="1"/>
  <c r="T121" i="17" a="1"/>
  <c r="T121" i="17" s="1"/>
  <c r="L121" i="17" a="1"/>
  <c r="L121" i="17" s="1"/>
  <c r="M121" i="17" a="1"/>
  <c r="M121" i="17" s="1"/>
  <c r="G121" i="17" a="1"/>
  <c r="G121" i="17" s="1"/>
  <c r="S121" i="17" a="1"/>
  <c r="S121" i="17" s="1"/>
  <c r="H121" i="17" a="1"/>
  <c r="H121" i="17" s="1"/>
  <c r="I121" i="17" a="1"/>
  <c r="I121" i="17" s="1"/>
  <c r="J121" i="17" a="1"/>
  <c r="J121" i="17" s="1"/>
  <c r="N121" i="17" a="1"/>
  <c r="N121" i="17" s="1"/>
  <c r="O121" i="17" a="1"/>
  <c r="O121" i="17" s="1"/>
  <c r="P121" i="17" a="1"/>
  <c r="P121" i="17" s="1"/>
  <c r="Q121" i="17" a="1"/>
  <c r="Q121" i="17" s="1"/>
  <c r="E121" i="17" a="1"/>
  <c r="E121" i="17" s="1"/>
  <c r="F121" i="17" a="1"/>
  <c r="F121" i="17" s="1"/>
  <c r="R121" i="17" a="1"/>
  <c r="R121" i="17" s="1"/>
  <c r="B122" i="17"/>
  <c r="D121" i="17" l="1"/>
  <c r="G124" i="19"/>
  <c r="D124" i="19"/>
  <c r="F124" i="19"/>
  <c r="E124" i="19"/>
  <c r="C124" i="19"/>
  <c r="C122" i="17"/>
  <c r="M122" i="17" a="1"/>
  <c r="M122" i="17" s="1"/>
  <c r="E122" i="17" a="1"/>
  <c r="E122" i="17" s="1"/>
  <c r="F122" i="17" a="1"/>
  <c r="F122" i="17" s="1"/>
  <c r="N122" i="17" a="1"/>
  <c r="N122" i="17" s="1"/>
  <c r="Q122" i="17" a="1"/>
  <c r="Q122" i="17" s="1"/>
  <c r="G122" i="17" a="1"/>
  <c r="G122" i="17" s="1"/>
  <c r="R122" i="17" a="1"/>
  <c r="R122" i="17" s="1"/>
  <c r="S122" i="17" a="1"/>
  <c r="S122" i="17" s="1"/>
  <c r="H122" i="17" a="1"/>
  <c r="H122" i="17" s="1"/>
  <c r="T122" i="17" a="1"/>
  <c r="T122" i="17" s="1"/>
  <c r="I122" i="17" a="1"/>
  <c r="I122" i="17" s="1"/>
  <c r="J122" i="17" a="1"/>
  <c r="J122" i="17" s="1"/>
  <c r="K122" i="17" a="1"/>
  <c r="K122" i="17" s="1"/>
  <c r="L122" i="17" a="1"/>
  <c r="L122" i="17" s="1"/>
  <c r="P122" i="17" a="1"/>
  <c r="P122" i="17" s="1"/>
  <c r="O122" i="17" a="1"/>
  <c r="O122" i="17" s="1"/>
  <c r="B123" i="17"/>
  <c r="D122" i="17" l="1"/>
  <c r="G125" i="19"/>
  <c r="D125" i="19"/>
  <c r="F125" i="19"/>
  <c r="E125" i="19"/>
  <c r="C125" i="19"/>
  <c r="C123" i="17"/>
  <c r="F123" i="17" a="1"/>
  <c r="F123" i="17" s="1"/>
  <c r="O123" i="17" a="1"/>
  <c r="O123" i="17" s="1"/>
  <c r="G123" i="17" a="1"/>
  <c r="G123" i="17" s="1"/>
  <c r="P123" i="17" a="1"/>
  <c r="P123" i="17" s="1"/>
  <c r="H123" i="17" a="1"/>
  <c r="H123" i="17" s="1"/>
  <c r="M123" i="17" a="1"/>
  <c r="M123" i="17" s="1"/>
  <c r="N123" i="17" a="1"/>
  <c r="N123" i="17" s="1"/>
  <c r="Q123" i="17" a="1"/>
  <c r="Q123" i="17" s="1"/>
  <c r="R123" i="17" a="1"/>
  <c r="R123" i="17" s="1"/>
  <c r="E123" i="17" a="1"/>
  <c r="E123" i="17" s="1"/>
  <c r="S123" i="17" a="1"/>
  <c r="S123" i="17" s="1"/>
  <c r="I123" i="17" a="1"/>
  <c r="I123" i="17" s="1"/>
  <c r="T123" i="17" a="1"/>
  <c r="T123" i="17" s="1"/>
  <c r="J123" i="17" a="1"/>
  <c r="J123" i="17" s="1"/>
  <c r="K123" i="17" a="1"/>
  <c r="K123" i="17" s="1"/>
  <c r="L123" i="17" a="1"/>
  <c r="L123" i="17" s="1"/>
  <c r="B124" i="17"/>
  <c r="D123" i="17" l="1"/>
  <c r="G126" i="19"/>
  <c r="D126" i="19"/>
  <c r="F126" i="19"/>
  <c r="C126" i="19"/>
  <c r="E126" i="19"/>
  <c r="C124" i="17"/>
  <c r="G124" i="17" a="1"/>
  <c r="G124" i="17" s="1"/>
  <c r="Q124" i="17" a="1"/>
  <c r="Q124" i="17" s="1"/>
  <c r="H124" i="17" a="1"/>
  <c r="H124" i="17" s="1"/>
  <c r="R124" i="17" a="1"/>
  <c r="R124" i="17" s="1"/>
  <c r="I124" i="17" a="1"/>
  <c r="I124" i="17" s="1"/>
  <c r="S124" i="17" a="1"/>
  <c r="S124" i="17" s="1"/>
  <c r="K124" i="17" a="1"/>
  <c r="K124" i="17" s="1"/>
  <c r="L124" i="17" a="1"/>
  <c r="L124" i="17" s="1"/>
  <c r="M124" i="17" a="1"/>
  <c r="M124" i="17" s="1"/>
  <c r="N124" i="17" a="1"/>
  <c r="N124" i="17" s="1"/>
  <c r="O124" i="17" a="1"/>
  <c r="O124" i="17" s="1"/>
  <c r="P124" i="17" a="1"/>
  <c r="P124" i="17" s="1"/>
  <c r="E124" i="17" a="1"/>
  <c r="E124" i="17" s="1"/>
  <c r="F124" i="17" a="1"/>
  <c r="F124" i="17" s="1"/>
  <c r="T124" i="17" a="1"/>
  <c r="T124" i="17" s="1"/>
  <c r="J124" i="17" a="1"/>
  <c r="J124" i="17" s="1"/>
  <c r="B125" i="17"/>
  <c r="D124" i="17" l="1"/>
  <c r="G127" i="19"/>
  <c r="D127" i="19"/>
  <c r="F127" i="19"/>
  <c r="E127" i="19"/>
  <c r="C127" i="19"/>
  <c r="C125" i="17"/>
  <c r="R125" i="17" a="1"/>
  <c r="R125" i="17" s="1"/>
  <c r="J125" i="17" a="1"/>
  <c r="J125" i="17" s="1"/>
  <c r="S125" i="17" a="1"/>
  <c r="S125" i="17" s="1"/>
  <c r="K125" i="17" a="1"/>
  <c r="K125" i="17" s="1"/>
  <c r="T125" i="17" a="1"/>
  <c r="T125" i="17" s="1"/>
  <c r="G125" i="17" a="1"/>
  <c r="G125" i="17" s="1"/>
  <c r="H125" i="17" a="1"/>
  <c r="H125" i="17" s="1"/>
  <c r="I125" i="17" a="1"/>
  <c r="I125" i="17" s="1"/>
  <c r="L125" i="17" a="1"/>
  <c r="L125" i="17" s="1"/>
  <c r="M125" i="17" a="1"/>
  <c r="M125" i="17" s="1"/>
  <c r="N125" i="17" a="1"/>
  <c r="N125" i="17" s="1"/>
  <c r="O125" i="17" a="1"/>
  <c r="O125" i="17" s="1"/>
  <c r="E125" i="17" a="1"/>
  <c r="E125" i="17" s="1"/>
  <c r="F125" i="17" a="1"/>
  <c r="F125" i="17" s="1"/>
  <c r="P125" i="17" a="1"/>
  <c r="P125" i="17" s="1"/>
  <c r="Q125" i="17" a="1"/>
  <c r="Q125" i="17" s="1"/>
  <c r="B126" i="17"/>
  <c r="D125" i="17" l="1"/>
  <c r="E128" i="19"/>
  <c r="C128" i="19"/>
  <c r="G128" i="19"/>
  <c r="D128" i="19"/>
  <c r="F128" i="19"/>
  <c r="C126" i="17"/>
  <c r="L126" i="17" a="1"/>
  <c r="L126" i="17" s="1"/>
  <c r="T126" i="17" a="1"/>
  <c r="T126" i="17" s="1"/>
  <c r="M126" i="17" a="1"/>
  <c r="M126" i="17" s="1"/>
  <c r="E126" i="17" a="1"/>
  <c r="E126" i="17" s="1"/>
  <c r="Q126" i="17" a="1"/>
  <c r="Q126" i="17" s="1"/>
  <c r="F126" i="17" a="1"/>
  <c r="F126" i="17" s="1"/>
  <c r="R126" i="17" a="1"/>
  <c r="R126" i="17" s="1"/>
  <c r="G126" i="17" a="1"/>
  <c r="G126" i="17" s="1"/>
  <c r="H126" i="17" a="1"/>
  <c r="H126" i="17" s="1"/>
  <c r="S126" i="17" a="1"/>
  <c r="S126" i="17" s="1"/>
  <c r="I126" i="17" a="1"/>
  <c r="I126" i="17" s="1"/>
  <c r="J126" i="17" a="1"/>
  <c r="J126" i="17" s="1"/>
  <c r="K126" i="17" a="1"/>
  <c r="K126" i="17" s="1"/>
  <c r="N126" i="17" a="1"/>
  <c r="N126" i="17" s="1"/>
  <c r="P126" i="17" a="1"/>
  <c r="P126" i="17" s="1"/>
  <c r="O126" i="17" a="1"/>
  <c r="O126" i="17" s="1"/>
  <c r="B127" i="17"/>
  <c r="D126" i="17" l="1"/>
  <c r="G129" i="19"/>
  <c r="F129" i="19"/>
  <c r="E129" i="19"/>
  <c r="C129" i="19"/>
  <c r="D129" i="19"/>
  <c r="C127" i="17"/>
  <c r="M127" i="17" a="1"/>
  <c r="M127" i="17" s="1"/>
  <c r="E127" i="17" a="1"/>
  <c r="E127" i="17" s="1"/>
  <c r="N127" i="17" a="1"/>
  <c r="N127" i="17" s="1"/>
  <c r="F127" i="17" a="1"/>
  <c r="F127" i="17" s="1"/>
  <c r="O127" i="17" a="1"/>
  <c r="O127" i="17" s="1"/>
  <c r="L127" i="17" a="1"/>
  <c r="L127" i="17" s="1"/>
  <c r="P127" i="17" a="1"/>
  <c r="P127" i="17" s="1"/>
  <c r="Q127" i="17" a="1"/>
  <c r="Q127" i="17" s="1"/>
  <c r="R127" i="17" a="1"/>
  <c r="R127" i="17" s="1"/>
  <c r="G127" i="17" a="1"/>
  <c r="G127" i="17" s="1"/>
  <c r="S127" i="17" a="1"/>
  <c r="S127" i="17" s="1"/>
  <c r="H127" i="17" a="1"/>
  <c r="H127" i="17" s="1"/>
  <c r="T127" i="17" a="1"/>
  <c r="T127" i="17" s="1"/>
  <c r="I127" i="17" a="1"/>
  <c r="I127" i="17" s="1"/>
  <c r="J127" i="17" a="1"/>
  <c r="J127" i="17" s="1"/>
  <c r="K127" i="17" a="1"/>
  <c r="K127" i="17" s="1"/>
  <c r="B128" i="17"/>
  <c r="D127" i="17" l="1"/>
  <c r="C130" i="19"/>
  <c r="E130" i="19"/>
  <c r="G130" i="19"/>
  <c r="F130" i="19"/>
  <c r="D130" i="19"/>
  <c r="C128" i="17"/>
  <c r="F128" i="17" a="1"/>
  <c r="F128" i="17" s="1"/>
  <c r="O128" i="17" a="1"/>
  <c r="O128" i="17" s="1"/>
  <c r="G128" i="17" a="1"/>
  <c r="G128" i="17" s="1"/>
  <c r="H128" i="17" a="1"/>
  <c r="H128" i="17" s="1"/>
  <c r="P128" i="17" a="1"/>
  <c r="P128" i="17" s="1"/>
  <c r="K128" i="17" a="1"/>
  <c r="K128" i="17" s="1"/>
  <c r="T128" i="17" a="1"/>
  <c r="T128" i="17" s="1"/>
  <c r="L128" i="17" a="1"/>
  <c r="L128" i="17" s="1"/>
  <c r="M128" i="17" a="1"/>
  <c r="M128" i="17" s="1"/>
  <c r="N128" i="17" a="1"/>
  <c r="N128" i="17" s="1"/>
  <c r="E128" i="17" a="1"/>
  <c r="E128" i="17" s="1"/>
  <c r="Q128" i="17" a="1"/>
  <c r="Q128" i="17" s="1"/>
  <c r="R128" i="17" a="1"/>
  <c r="R128" i="17" s="1"/>
  <c r="I128" i="17" a="1"/>
  <c r="I128" i="17" s="1"/>
  <c r="J128" i="17" a="1"/>
  <c r="J128" i="17" s="1"/>
  <c r="S128" i="17" a="1"/>
  <c r="S128" i="17" s="1"/>
  <c r="B129" i="17"/>
  <c r="D128" i="17" l="1"/>
  <c r="G131" i="19"/>
  <c r="F131" i="19"/>
  <c r="E131" i="19"/>
  <c r="D131" i="19"/>
  <c r="C131" i="19"/>
  <c r="C129" i="17"/>
  <c r="J129" i="17" a="1"/>
  <c r="J129" i="17" s="1"/>
  <c r="E129" i="17" a="1"/>
  <c r="E129" i="17" s="1"/>
  <c r="P129" i="17" a="1"/>
  <c r="P129" i="17" s="1"/>
  <c r="K129" i="17" a="1"/>
  <c r="K129" i="17" s="1"/>
  <c r="Q129" i="17" a="1"/>
  <c r="Q129" i="17" s="1"/>
  <c r="M129" i="17" a="1"/>
  <c r="M129" i="17" s="1"/>
  <c r="T129" i="17" a="1"/>
  <c r="T129" i="17" s="1"/>
  <c r="F129" i="17" a="1"/>
  <c r="F129" i="17" s="1"/>
  <c r="G129" i="17" a="1"/>
  <c r="G129" i="17" s="1"/>
  <c r="N129" i="17" a="1"/>
  <c r="N129" i="17" s="1"/>
  <c r="H129" i="17" a="1"/>
  <c r="H129" i="17" s="1"/>
  <c r="O129" i="17" a="1"/>
  <c r="O129" i="17" s="1"/>
  <c r="I129" i="17" a="1"/>
  <c r="I129" i="17" s="1"/>
  <c r="R129" i="17" a="1"/>
  <c r="R129" i="17" s="1"/>
  <c r="S129" i="17" a="1"/>
  <c r="S129" i="17" s="1"/>
  <c r="L129" i="17" a="1"/>
  <c r="L129" i="17" s="1"/>
  <c r="B130" i="17"/>
  <c r="D129" i="17" l="1"/>
  <c r="G132" i="19"/>
  <c r="F132" i="19"/>
  <c r="E132" i="19"/>
  <c r="D132" i="19"/>
  <c r="C132" i="19"/>
  <c r="C130" i="17"/>
  <c r="E130" i="17" a="1"/>
  <c r="E130" i="17" s="1"/>
  <c r="K130" i="17" a="1"/>
  <c r="K130" i="17" s="1"/>
  <c r="F130" i="17" a="1"/>
  <c r="F130" i="17" s="1"/>
  <c r="Q130" i="17" a="1"/>
  <c r="Q130" i="17" s="1"/>
  <c r="L130" i="17" a="1"/>
  <c r="L130" i="17" s="1"/>
  <c r="M130" i="17" a="1"/>
  <c r="M130" i="17" s="1"/>
  <c r="T130" i="17" a="1"/>
  <c r="T130" i="17" s="1"/>
  <c r="G130" i="17" a="1"/>
  <c r="G130" i="17" s="1"/>
  <c r="N130" i="17" a="1"/>
  <c r="N130" i="17" s="1"/>
  <c r="H130" i="17" a="1"/>
  <c r="H130" i="17" s="1"/>
  <c r="O130" i="17" a="1"/>
  <c r="O130" i="17" s="1"/>
  <c r="P130" i="17" a="1"/>
  <c r="P130" i="17" s="1"/>
  <c r="I130" i="17" a="1"/>
  <c r="I130" i="17" s="1"/>
  <c r="R130" i="17" a="1"/>
  <c r="R130" i="17" s="1"/>
  <c r="J130" i="17" a="1"/>
  <c r="J130" i="17" s="1"/>
  <c r="S130" i="17" a="1"/>
  <c r="S130" i="17" s="1"/>
  <c r="B131" i="17"/>
  <c r="D130" i="17" l="1"/>
  <c r="G133" i="19"/>
  <c r="F133" i="19"/>
  <c r="E133" i="19"/>
  <c r="C133" i="19"/>
  <c r="D133" i="19"/>
  <c r="C131" i="17"/>
  <c r="D131" i="17" s="1"/>
  <c r="F131" i="17" a="1"/>
  <c r="F131" i="17" s="1"/>
  <c r="Q131" i="17" a="1"/>
  <c r="Q131" i="17" s="1"/>
  <c r="L131" i="17" a="1"/>
  <c r="L131" i="17" s="1"/>
  <c r="G131" i="17" a="1"/>
  <c r="G131" i="17" s="1"/>
  <c r="R131" i="17" a="1"/>
  <c r="R131" i="17" s="1"/>
  <c r="K131" i="17" a="1"/>
  <c r="K131" i="17" s="1"/>
  <c r="T131" i="17" a="1"/>
  <c r="T131" i="17" s="1"/>
  <c r="M131" i="17" a="1"/>
  <c r="M131" i="17" s="1"/>
  <c r="E131" i="17" a="1"/>
  <c r="E131" i="17" s="1"/>
  <c r="N131" i="17" a="1"/>
  <c r="N131" i="17" s="1"/>
  <c r="O131" i="17" a="1"/>
  <c r="O131" i="17" s="1"/>
  <c r="H131" i="17" a="1"/>
  <c r="H131" i="17" s="1"/>
  <c r="P131" i="17" a="1"/>
  <c r="P131" i="17" s="1"/>
  <c r="I131" i="17" a="1"/>
  <c r="I131" i="17" s="1"/>
  <c r="J131" i="17" a="1"/>
  <c r="J131" i="17" s="1"/>
  <c r="S131" i="17" a="1"/>
  <c r="S131" i="17" s="1"/>
  <c r="B132" i="17"/>
  <c r="G134" i="19" l="1"/>
  <c r="E134" i="19"/>
  <c r="C134" i="19"/>
  <c r="F134" i="19"/>
  <c r="D134" i="19"/>
  <c r="C132" i="17"/>
  <c r="L132" i="17" a="1"/>
  <c r="L132" i="17" s="1"/>
  <c r="G132" i="17" a="1"/>
  <c r="G132" i="17" s="1"/>
  <c r="R132" i="17" a="1"/>
  <c r="R132" i="17" s="1"/>
  <c r="M132" i="17" a="1"/>
  <c r="M132" i="17" s="1"/>
  <c r="S132" i="17" a="1"/>
  <c r="S132" i="17" s="1"/>
  <c r="K132" i="17" a="1"/>
  <c r="K132" i="17" s="1"/>
  <c r="T132" i="17" a="1"/>
  <c r="T132" i="17" s="1"/>
  <c r="E132" i="17" a="1"/>
  <c r="E132" i="17" s="1"/>
  <c r="D132" i="17" s="1"/>
  <c r="N132" i="17" a="1"/>
  <c r="N132" i="17" s="1"/>
  <c r="F132" i="17" a="1"/>
  <c r="F132" i="17" s="1"/>
  <c r="O132" i="17" a="1"/>
  <c r="O132" i="17" s="1"/>
  <c r="H132" i="17" a="1"/>
  <c r="H132" i="17" s="1"/>
  <c r="I132" i="17" a="1"/>
  <c r="I132" i="17" s="1"/>
  <c r="P132" i="17" a="1"/>
  <c r="P132" i="17" s="1"/>
  <c r="Q132" i="17" a="1"/>
  <c r="Q132" i="17" s="1"/>
  <c r="J132" i="17" a="1"/>
  <c r="J132" i="17" s="1"/>
  <c r="B133" i="17"/>
  <c r="D135" i="19" l="1"/>
  <c r="E135" i="19"/>
  <c r="G135" i="19"/>
  <c r="C135" i="19"/>
  <c r="F135" i="19"/>
  <c r="C133" i="17"/>
  <c r="D133" i="17" s="1"/>
  <c r="G133" i="17" a="1"/>
  <c r="G133" i="17" s="1"/>
  <c r="M133" i="17" a="1"/>
  <c r="M133" i="17" s="1"/>
  <c r="H133" i="17" a="1"/>
  <c r="H133" i="17" s="1"/>
  <c r="S133" i="17" a="1"/>
  <c r="S133" i="17" s="1"/>
  <c r="N133" i="17" a="1"/>
  <c r="N133" i="17" s="1"/>
  <c r="K133" i="17" a="1"/>
  <c r="K133" i="17" s="1"/>
  <c r="T133" i="17" a="1"/>
  <c r="T133" i="17" s="1"/>
  <c r="E133" i="17" a="1"/>
  <c r="E133" i="17" s="1"/>
  <c r="L133" i="17" a="1"/>
  <c r="L133" i="17" s="1"/>
  <c r="F133" i="17" a="1"/>
  <c r="F133" i="17" s="1"/>
  <c r="O133" i="17" a="1"/>
  <c r="O133" i="17" s="1"/>
  <c r="I133" i="17" a="1"/>
  <c r="I133" i="17" s="1"/>
  <c r="P133" i="17" a="1"/>
  <c r="P133" i="17" s="1"/>
  <c r="J133" i="17" a="1"/>
  <c r="J133" i="17" s="1"/>
  <c r="Q133" i="17" a="1"/>
  <c r="Q133" i="17" s="1"/>
  <c r="R133" i="17" a="1"/>
  <c r="R133" i="17" s="1"/>
  <c r="B134" i="17"/>
  <c r="G136" i="19" l="1"/>
  <c r="D136" i="19"/>
  <c r="E136" i="19"/>
  <c r="C136" i="19"/>
  <c r="F136" i="19"/>
  <c r="C134" i="17"/>
  <c r="D134" i="17" s="1"/>
  <c r="H134" i="17" a="1"/>
  <c r="H134" i="17" s="1"/>
  <c r="S134" i="17" a="1"/>
  <c r="S134" i="17" s="1"/>
  <c r="N134" i="17" a="1"/>
  <c r="N134" i="17" s="1"/>
  <c r="I134" i="17" a="1"/>
  <c r="I134" i="17" s="1"/>
  <c r="T134" i="17" a="1"/>
  <c r="T134" i="17" s="1"/>
  <c r="K134" i="17" a="1"/>
  <c r="K134" i="17" s="1"/>
  <c r="L134" i="17" a="1"/>
  <c r="L134" i="17" s="1"/>
  <c r="E134" i="17" a="1"/>
  <c r="E134" i="17" s="1"/>
  <c r="M134" i="17" a="1"/>
  <c r="M134" i="17" s="1"/>
  <c r="F134" i="17" a="1"/>
  <c r="F134" i="17" s="1"/>
  <c r="O134" i="17" a="1"/>
  <c r="O134" i="17" s="1"/>
  <c r="G134" i="17" a="1"/>
  <c r="G134" i="17" s="1"/>
  <c r="P134" i="17" a="1"/>
  <c r="P134" i="17" s="1"/>
  <c r="Q134" i="17" a="1"/>
  <c r="Q134" i="17" s="1"/>
  <c r="J134" i="17" a="1"/>
  <c r="J134" i="17" s="1"/>
  <c r="R134" i="17" a="1"/>
  <c r="R134" i="17" s="1"/>
  <c r="B135" i="17"/>
  <c r="G137" i="19" l="1"/>
  <c r="F137" i="19"/>
  <c r="D137" i="19"/>
  <c r="E137" i="19"/>
  <c r="C137" i="19"/>
  <c r="C135" i="17"/>
  <c r="D135" i="17" s="1"/>
  <c r="O135" i="17" a="1"/>
  <c r="O135" i="17" s="1"/>
  <c r="I135" i="17" a="1"/>
  <c r="I135" i="17" s="1"/>
  <c r="P135" i="17" a="1"/>
  <c r="P135" i="17" s="1"/>
  <c r="L135" i="17" a="1"/>
  <c r="L135" i="17" s="1"/>
  <c r="M135" i="17" a="1"/>
  <c r="M135" i="17" s="1"/>
  <c r="E135" i="17" a="1"/>
  <c r="E135" i="17" s="1"/>
  <c r="F135" i="17" a="1"/>
  <c r="F135" i="17" s="1"/>
  <c r="N135" i="17" a="1"/>
  <c r="N135" i="17" s="1"/>
  <c r="G135" i="17" a="1"/>
  <c r="G135" i="17" s="1"/>
  <c r="Q135" i="17" a="1"/>
  <c r="Q135" i="17" s="1"/>
  <c r="R135" i="17" a="1"/>
  <c r="R135" i="17" s="1"/>
  <c r="H135" i="17" a="1"/>
  <c r="H135" i="17" s="1"/>
  <c r="S135" i="17" a="1"/>
  <c r="S135" i="17" s="1"/>
  <c r="J135" i="17" a="1"/>
  <c r="J135" i="17" s="1"/>
  <c r="K135" i="17" a="1"/>
  <c r="K135" i="17" s="1"/>
  <c r="T135" i="17" a="1"/>
  <c r="T135" i="17" s="1"/>
  <c r="B136" i="17"/>
  <c r="C138" i="19" l="1"/>
  <c r="F138" i="19"/>
  <c r="D138" i="19"/>
  <c r="G138" i="19"/>
  <c r="E138" i="19"/>
  <c r="C136" i="17"/>
  <c r="D136" i="17" s="1"/>
  <c r="H136" i="17" a="1"/>
  <c r="H136" i="17" s="1"/>
  <c r="Q136" i="17" a="1"/>
  <c r="Q136" i="17" s="1"/>
  <c r="I136" i="17" a="1"/>
  <c r="I136" i="17" s="1"/>
  <c r="R136" i="17" a="1"/>
  <c r="R136" i="17" s="1"/>
  <c r="J136" i="17" a="1"/>
  <c r="J136" i="17" s="1"/>
  <c r="S136" i="17" a="1"/>
  <c r="S136" i="17" s="1"/>
  <c r="F136" i="17" a="1"/>
  <c r="F136" i="17" s="1"/>
  <c r="T136" i="17" a="1"/>
  <c r="T136" i="17" s="1"/>
  <c r="G136" i="17" a="1"/>
  <c r="G136" i="17" s="1"/>
  <c r="K136" i="17" a="1"/>
  <c r="K136" i="17" s="1"/>
  <c r="L136" i="17" a="1"/>
  <c r="L136" i="17" s="1"/>
  <c r="M136" i="17" a="1"/>
  <c r="M136" i="17" s="1"/>
  <c r="N136" i="17" a="1"/>
  <c r="N136" i="17" s="1"/>
  <c r="O136" i="17" a="1"/>
  <c r="O136" i="17" s="1"/>
  <c r="E136" i="17" a="1"/>
  <c r="E136" i="17" s="1"/>
  <c r="P136" i="17" a="1"/>
  <c r="P136" i="17" s="1"/>
  <c r="B137" i="17"/>
  <c r="G139" i="19" l="1"/>
  <c r="F139" i="19"/>
  <c r="E139" i="19"/>
  <c r="C139" i="19"/>
  <c r="D139" i="19"/>
  <c r="C137" i="17"/>
  <c r="D137" i="17" s="1"/>
  <c r="I137" i="17" a="1"/>
  <c r="I137" i="17" s="1"/>
  <c r="S137" i="17" a="1"/>
  <c r="S137" i="17" s="1"/>
  <c r="J137" i="17" a="1"/>
  <c r="J137" i="17" s="1"/>
  <c r="T137" i="17" a="1"/>
  <c r="T137" i="17" s="1"/>
  <c r="K137" i="17" a="1"/>
  <c r="K137" i="17" s="1"/>
  <c r="P137" i="17" a="1"/>
  <c r="P137" i="17" s="1"/>
  <c r="E137" i="17" a="1"/>
  <c r="E137" i="17" s="1"/>
  <c r="Q137" i="17" a="1"/>
  <c r="Q137" i="17" s="1"/>
  <c r="F137" i="17" a="1"/>
  <c r="F137" i="17" s="1"/>
  <c r="R137" i="17" a="1"/>
  <c r="R137" i="17" s="1"/>
  <c r="G137" i="17" a="1"/>
  <c r="G137" i="17" s="1"/>
  <c r="H137" i="17" a="1"/>
  <c r="H137" i="17" s="1"/>
  <c r="L137" i="17" a="1"/>
  <c r="L137" i="17" s="1"/>
  <c r="M137" i="17" a="1"/>
  <c r="M137" i="17" s="1"/>
  <c r="N137" i="17" a="1"/>
  <c r="N137" i="17" s="1"/>
  <c r="O137" i="17" a="1"/>
  <c r="O137" i="17" s="1"/>
  <c r="B138" i="17"/>
  <c r="C140" i="19" l="1"/>
  <c r="F140" i="19"/>
  <c r="D140" i="19"/>
  <c r="G140" i="19"/>
  <c r="E140" i="19"/>
  <c r="C138" i="17"/>
  <c r="D138" i="17" s="1"/>
  <c r="M138" i="17" a="1"/>
  <c r="M138" i="17" s="1"/>
  <c r="E138" i="17" a="1"/>
  <c r="E138" i="17" s="1"/>
  <c r="N138" i="17" a="1"/>
  <c r="N138" i="17" s="1"/>
  <c r="O138" i="17" a="1"/>
  <c r="O138" i="17" s="1"/>
  <c r="P138" i="17" a="1"/>
  <c r="P138" i="17" s="1"/>
  <c r="Q138" i="17" a="1"/>
  <c r="Q138" i="17" s="1"/>
  <c r="F138" i="17" a="1"/>
  <c r="F138" i="17" s="1"/>
  <c r="G138" i="17" a="1"/>
  <c r="G138" i="17" s="1"/>
  <c r="R138" i="17" a="1"/>
  <c r="R138" i="17" s="1"/>
  <c r="H138" i="17" a="1"/>
  <c r="H138" i="17" s="1"/>
  <c r="S138" i="17" a="1"/>
  <c r="S138" i="17" s="1"/>
  <c r="I138" i="17" a="1"/>
  <c r="I138" i="17" s="1"/>
  <c r="T138" i="17" a="1"/>
  <c r="T138" i="17" s="1"/>
  <c r="J138" i="17" a="1"/>
  <c r="J138" i="17" s="1"/>
  <c r="L138" i="17" a="1"/>
  <c r="L138" i="17" s="1"/>
  <c r="K138" i="17" a="1"/>
  <c r="K138" i="17" s="1"/>
  <c r="B139" i="17"/>
  <c r="G141" i="19" l="1"/>
  <c r="F141" i="19"/>
  <c r="E141" i="19"/>
  <c r="D141" i="19"/>
  <c r="C141" i="19"/>
  <c r="C139" i="17"/>
  <c r="D139" i="17" s="1"/>
  <c r="E139" i="17" a="1"/>
  <c r="E139" i="17" s="1"/>
  <c r="O139" i="17" a="1"/>
  <c r="O139" i="17" s="1"/>
  <c r="F139" i="17" a="1"/>
  <c r="F139" i="17" s="1"/>
  <c r="P139" i="17" a="1"/>
  <c r="P139" i="17" s="1"/>
  <c r="G139" i="17" a="1"/>
  <c r="G139" i="17" s="1"/>
  <c r="Q139" i="17" a="1"/>
  <c r="Q139" i="17" s="1"/>
  <c r="K139" i="17" a="1"/>
  <c r="K139" i="17" s="1"/>
  <c r="L139" i="17" a="1"/>
  <c r="L139" i="17" s="1"/>
  <c r="M139" i="17" a="1"/>
  <c r="M139" i="17" s="1"/>
  <c r="N139" i="17" a="1"/>
  <c r="N139" i="17" s="1"/>
  <c r="R139" i="17" a="1"/>
  <c r="R139" i="17" s="1"/>
  <c r="S139" i="17" a="1"/>
  <c r="S139" i="17" s="1"/>
  <c r="T139" i="17" a="1"/>
  <c r="T139" i="17" s="1"/>
  <c r="H139" i="17" a="1"/>
  <c r="H139" i="17" s="1"/>
  <c r="I139" i="17" a="1"/>
  <c r="I139" i="17" s="1"/>
  <c r="J139" i="17" a="1"/>
  <c r="J139" i="17" s="1"/>
  <c r="B140" i="17"/>
  <c r="G142" i="19" l="1"/>
  <c r="F142" i="19"/>
  <c r="E142" i="19"/>
  <c r="D142" i="19"/>
  <c r="C142" i="19"/>
  <c r="C140" i="17"/>
  <c r="D140" i="17" s="1"/>
  <c r="H140" i="17" a="1"/>
  <c r="H140" i="17" s="1"/>
  <c r="Q140" i="17" a="1"/>
  <c r="Q140" i="17" s="1"/>
  <c r="I140" i="17" a="1"/>
  <c r="I140" i="17" s="1"/>
  <c r="R140" i="17" a="1"/>
  <c r="R140" i="17" s="1"/>
  <c r="J140" i="17" a="1"/>
  <c r="J140" i="17" s="1"/>
  <c r="S140" i="17" a="1"/>
  <c r="S140" i="17" s="1"/>
  <c r="G140" i="17" a="1"/>
  <c r="G140" i="17" s="1"/>
  <c r="K140" i="17" a="1"/>
  <c r="K140" i="17" s="1"/>
  <c r="L140" i="17" a="1"/>
  <c r="L140" i="17" s="1"/>
  <c r="M140" i="17" a="1"/>
  <c r="M140" i="17" s="1"/>
  <c r="N140" i="17" a="1"/>
  <c r="N140" i="17" s="1"/>
  <c r="O140" i="17" a="1"/>
  <c r="O140" i="17" s="1"/>
  <c r="E140" i="17" a="1"/>
  <c r="E140" i="17" s="1"/>
  <c r="P140" i="17" a="1"/>
  <c r="P140" i="17" s="1"/>
  <c r="F140" i="17" a="1"/>
  <c r="F140" i="17" s="1"/>
  <c r="T140" i="17" a="1"/>
  <c r="T140" i="17" s="1"/>
  <c r="B141" i="17"/>
  <c r="G143" i="19" l="1"/>
  <c r="F143" i="19"/>
  <c r="E143" i="19"/>
  <c r="C143" i="19"/>
  <c r="D143" i="19"/>
  <c r="C141" i="17"/>
  <c r="D141" i="17" s="1"/>
  <c r="K141" i="17" a="1"/>
  <c r="K141" i="17" s="1"/>
  <c r="L141" i="17" a="1"/>
  <c r="L141" i="17" s="1"/>
  <c r="T141" i="17" a="1"/>
  <c r="T141" i="17" s="1"/>
  <c r="M141" i="17" a="1"/>
  <c r="M141" i="17" s="1"/>
  <c r="F141" i="17" a="1"/>
  <c r="F141" i="17" s="1"/>
  <c r="R141" i="17" a="1"/>
  <c r="R141" i="17" s="1"/>
  <c r="G141" i="17" a="1"/>
  <c r="G141" i="17" s="1"/>
  <c r="S141" i="17" a="1"/>
  <c r="S141" i="17" s="1"/>
  <c r="H141" i="17" a="1"/>
  <c r="H141" i="17" s="1"/>
  <c r="I141" i="17" a="1"/>
  <c r="I141" i="17" s="1"/>
  <c r="J141" i="17" a="1"/>
  <c r="J141" i="17" s="1"/>
  <c r="N141" i="17" a="1"/>
  <c r="N141" i="17" s="1"/>
  <c r="O141" i="17" a="1"/>
  <c r="O141" i="17" s="1"/>
  <c r="E141" i="17" a="1"/>
  <c r="E141" i="17" s="1"/>
  <c r="P141" i="17" a="1"/>
  <c r="P141" i="17" s="1"/>
  <c r="Q141" i="17" a="1"/>
  <c r="Q141" i="17" s="1"/>
  <c r="B142" i="17"/>
  <c r="F144" i="19" l="1"/>
  <c r="C144" i="19"/>
  <c r="G144" i="19"/>
  <c r="E144" i="19"/>
  <c r="D144" i="19"/>
  <c r="C142" i="17"/>
  <c r="M142" i="17" a="1"/>
  <c r="M142" i="17" s="1"/>
  <c r="N142" i="17" a="1"/>
  <c r="N142" i="17" s="1"/>
  <c r="E142" i="17" a="1"/>
  <c r="E142" i="17" s="1"/>
  <c r="O142" i="17" a="1"/>
  <c r="O142" i="17" s="1"/>
  <c r="Q142" i="17" a="1"/>
  <c r="Q142" i="17" s="1"/>
  <c r="R142" i="17" a="1"/>
  <c r="R142" i="17" s="1"/>
  <c r="F142" i="17" a="1"/>
  <c r="F142" i="17" s="1"/>
  <c r="S142" i="17" a="1"/>
  <c r="S142" i="17" s="1"/>
  <c r="G142" i="17" a="1"/>
  <c r="G142" i="17" s="1"/>
  <c r="D142" i="17" s="1"/>
  <c r="T142" i="17" a="1"/>
  <c r="T142" i="17" s="1"/>
  <c r="H142" i="17" a="1"/>
  <c r="H142" i="17" s="1"/>
  <c r="I142" i="17" a="1"/>
  <c r="I142" i="17" s="1"/>
  <c r="J142" i="17" a="1"/>
  <c r="J142" i="17" s="1"/>
  <c r="K142" i="17" a="1"/>
  <c r="K142" i="17" s="1"/>
  <c r="P142" i="17" a="1"/>
  <c r="P142" i="17" s="1"/>
  <c r="L142" i="17" a="1"/>
  <c r="L142" i="17" s="1"/>
  <c r="B143" i="17"/>
  <c r="F145" i="19" l="1"/>
  <c r="C145" i="19"/>
  <c r="G145" i="19"/>
  <c r="D145" i="19"/>
  <c r="E145" i="19"/>
  <c r="C143" i="17"/>
  <c r="D143" i="17" s="1"/>
  <c r="N143" i="17" a="1"/>
  <c r="N143" i="17" s="1"/>
  <c r="G143" i="17" a="1"/>
  <c r="G143" i="17" s="1"/>
  <c r="O143" i="17" a="1"/>
  <c r="O143" i="17" s="1"/>
  <c r="H143" i="17" a="1"/>
  <c r="H143" i="17" s="1"/>
  <c r="P143" i="17" a="1"/>
  <c r="P143" i="17" s="1"/>
  <c r="L143" i="17" a="1"/>
  <c r="L143" i="17" s="1"/>
  <c r="M143" i="17" a="1"/>
  <c r="M143" i="17" s="1"/>
  <c r="E143" i="17" a="1"/>
  <c r="E143" i="17" s="1"/>
  <c r="Q143" i="17" a="1"/>
  <c r="Q143" i="17" s="1"/>
  <c r="F143" i="17" a="1"/>
  <c r="F143" i="17" s="1"/>
  <c r="R143" i="17" a="1"/>
  <c r="R143" i="17" s="1"/>
  <c r="I143" i="17" a="1"/>
  <c r="I143" i="17" s="1"/>
  <c r="S143" i="17" a="1"/>
  <c r="S143" i="17" s="1"/>
  <c r="J143" i="17" a="1"/>
  <c r="J143" i="17" s="1"/>
  <c r="T143" i="17" a="1"/>
  <c r="T143" i="17" s="1"/>
  <c r="K143" i="17" a="1"/>
  <c r="K143" i="17" s="1"/>
  <c r="B144" i="17"/>
  <c r="G146" i="19" l="1"/>
  <c r="E146" i="19"/>
  <c r="D146" i="19"/>
  <c r="F146" i="19"/>
  <c r="C146" i="19"/>
  <c r="C144" i="17"/>
  <c r="D144" i="17" s="1"/>
  <c r="O144" i="17" a="1"/>
  <c r="O144" i="17" s="1"/>
  <c r="G144" i="17" a="1"/>
  <c r="G144" i="17" s="1"/>
  <c r="H144" i="17" a="1"/>
  <c r="H144" i="17" s="1"/>
  <c r="P144" i="17" a="1"/>
  <c r="P144" i="17" s="1"/>
  <c r="I144" i="17" a="1"/>
  <c r="I144" i="17" s="1"/>
  <c r="T144" i="17" a="1"/>
  <c r="T144" i="17" s="1"/>
  <c r="J144" i="17" a="1"/>
  <c r="J144" i="17" s="1"/>
  <c r="K144" i="17" a="1"/>
  <c r="K144" i="17" s="1"/>
  <c r="L144" i="17" a="1"/>
  <c r="L144" i="17" s="1"/>
  <c r="M144" i="17" a="1"/>
  <c r="M144" i="17" s="1"/>
  <c r="N144" i="17" a="1"/>
  <c r="N144" i="17" s="1"/>
  <c r="Q144" i="17" a="1"/>
  <c r="Q144" i="17" s="1"/>
  <c r="E144" i="17" a="1"/>
  <c r="E144" i="17" s="1"/>
  <c r="F144" i="17" a="1"/>
  <c r="F144" i="17" s="1"/>
  <c r="R144" i="17" a="1"/>
  <c r="R144" i="17" s="1"/>
  <c r="S144" i="17" a="1"/>
  <c r="S144" i="17" s="1"/>
  <c r="B145" i="17"/>
  <c r="G147" i="19" l="1"/>
  <c r="E147" i="19"/>
  <c r="D147" i="19"/>
  <c r="F147" i="19"/>
  <c r="C147" i="19"/>
  <c r="C145" i="17"/>
  <c r="D145" i="17" s="1"/>
  <c r="F145" i="17" a="1"/>
  <c r="F145" i="17" s="1"/>
  <c r="P145" i="17" a="1"/>
  <c r="P145" i="17" s="1"/>
  <c r="G145" i="17" a="1"/>
  <c r="G145" i="17" s="1"/>
  <c r="Q145" i="17" a="1"/>
  <c r="Q145" i="17" s="1"/>
  <c r="H145" i="17" a="1"/>
  <c r="H145" i="17" s="1"/>
  <c r="R145" i="17" a="1"/>
  <c r="R145" i="17" s="1"/>
  <c r="O145" i="17" a="1"/>
  <c r="O145" i="17" s="1"/>
  <c r="E145" i="17" a="1"/>
  <c r="E145" i="17" s="1"/>
  <c r="S145" i="17" a="1"/>
  <c r="S145" i="17" s="1"/>
  <c r="T145" i="17" a="1"/>
  <c r="T145" i="17" s="1"/>
  <c r="I145" i="17" a="1"/>
  <c r="I145" i="17" s="1"/>
  <c r="J145" i="17" a="1"/>
  <c r="J145" i="17" s="1"/>
  <c r="K145" i="17" a="1"/>
  <c r="K145" i="17" s="1"/>
  <c r="L145" i="17" a="1"/>
  <c r="L145" i="17" s="1"/>
  <c r="M145" i="17" a="1"/>
  <c r="M145" i="17" s="1"/>
  <c r="N145" i="17" a="1"/>
  <c r="N145" i="17" s="1"/>
  <c r="B146" i="17"/>
  <c r="C148" i="19" l="1"/>
  <c r="G148" i="19"/>
  <c r="E148" i="19"/>
  <c r="D148" i="19"/>
  <c r="F148" i="19"/>
  <c r="C146" i="17"/>
  <c r="Q146" i="17" a="1"/>
  <c r="Q146" i="17" s="1"/>
  <c r="I146" i="17" a="1"/>
  <c r="I146" i="17" s="1"/>
  <c r="R146" i="17" a="1"/>
  <c r="R146" i="17" s="1"/>
  <c r="J146" i="17" a="1"/>
  <c r="J146" i="17" s="1"/>
  <c r="S146" i="17" a="1"/>
  <c r="S146" i="17" s="1"/>
  <c r="M146" i="17" a="1"/>
  <c r="M146" i="17" s="1"/>
  <c r="N146" i="17" a="1"/>
  <c r="N146" i="17" s="1"/>
  <c r="O146" i="17" a="1"/>
  <c r="O146" i="17" s="1"/>
  <c r="E146" i="17" a="1"/>
  <c r="E146" i="17" s="1"/>
  <c r="D146" i="17" s="1"/>
  <c r="P146" i="17" a="1"/>
  <c r="P146" i="17" s="1"/>
  <c r="F146" i="17" a="1"/>
  <c r="F146" i="17" s="1"/>
  <c r="T146" i="17" a="1"/>
  <c r="T146" i="17" s="1"/>
  <c r="G146" i="17" a="1"/>
  <c r="G146" i="17" s="1"/>
  <c r="H146" i="17" a="1"/>
  <c r="H146" i="17" s="1"/>
  <c r="L146" i="17" a="1"/>
  <c r="L146" i="17" s="1"/>
  <c r="K146" i="17" a="1"/>
  <c r="K146" i="17" s="1"/>
  <c r="B147" i="17"/>
  <c r="G149" i="19" l="1"/>
  <c r="F149" i="19"/>
  <c r="E149" i="19"/>
  <c r="C149" i="19"/>
  <c r="D149" i="19"/>
  <c r="C147" i="17"/>
  <c r="D147" i="17" s="1"/>
  <c r="K147" i="17" a="1"/>
  <c r="K147" i="17" s="1"/>
  <c r="S147" i="17" a="1"/>
  <c r="S147" i="17" s="1"/>
  <c r="T147" i="17" a="1"/>
  <c r="T147" i="17" s="1"/>
  <c r="L147" i="17" a="1"/>
  <c r="L147" i="17" s="1"/>
  <c r="I147" i="17" a="1"/>
  <c r="I147" i="17" s="1"/>
  <c r="J147" i="17" a="1"/>
  <c r="J147" i="17" s="1"/>
  <c r="M147" i="17" a="1"/>
  <c r="M147" i="17" s="1"/>
  <c r="N147" i="17" a="1"/>
  <c r="N147" i="17" s="1"/>
  <c r="O147" i="17" a="1"/>
  <c r="O147" i="17" s="1"/>
  <c r="P147" i="17" a="1"/>
  <c r="P147" i="17" s="1"/>
  <c r="E147" i="17" a="1"/>
  <c r="E147" i="17" s="1"/>
  <c r="Q147" i="17" a="1"/>
  <c r="Q147" i="17" s="1"/>
  <c r="F147" i="17" a="1"/>
  <c r="F147" i="17" s="1"/>
  <c r="G147" i="17" a="1"/>
  <c r="G147" i="17" s="1"/>
  <c r="H147" i="17" a="1"/>
  <c r="H147" i="17" s="1"/>
  <c r="R147" i="17" a="1"/>
  <c r="R147" i="17" s="1"/>
  <c r="B148" i="17"/>
  <c r="C150" i="19" l="1"/>
  <c r="G150" i="19"/>
  <c r="E150" i="19"/>
  <c r="D150" i="19"/>
  <c r="F150" i="19"/>
  <c r="C148" i="17"/>
  <c r="D148" i="17" s="1"/>
  <c r="L148" i="17" a="1"/>
  <c r="L148" i="17" s="1"/>
  <c r="M148" i="17" a="1"/>
  <c r="M148" i="17" s="1"/>
  <c r="E148" i="17" a="1"/>
  <c r="E148" i="17" s="1"/>
  <c r="N148" i="17" a="1"/>
  <c r="N148" i="17" s="1"/>
  <c r="G148" i="17" a="1"/>
  <c r="G148" i="17" s="1"/>
  <c r="S148" i="17" a="1"/>
  <c r="S148" i="17" s="1"/>
  <c r="T148" i="17" a="1"/>
  <c r="T148" i="17" s="1"/>
  <c r="H148" i="17" a="1"/>
  <c r="H148" i="17" s="1"/>
  <c r="I148" i="17" a="1"/>
  <c r="I148" i="17" s="1"/>
  <c r="J148" i="17" a="1"/>
  <c r="J148" i="17" s="1"/>
  <c r="K148" i="17" a="1"/>
  <c r="K148" i="17" s="1"/>
  <c r="O148" i="17" a="1"/>
  <c r="O148" i="17" s="1"/>
  <c r="P148" i="17" a="1"/>
  <c r="P148" i="17" s="1"/>
  <c r="F148" i="17" a="1"/>
  <c r="F148" i="17" s="1"/>
  <c r="Q148" i="17" a="1"/>
  <c r="Q148" i="17" s="1"/>
  <c r="R148" i="17" a="1"/>
  <c r="R148" i="17" s="1"/>
  <c r="B149" i="17"/>
  <c r="G151" i="19" l="1"/>
  <c r="F151" i="19"/>
  <c r="E151" i="19"/>
  <c r="D151" i="19"/>
  <c r="C151" i="19"/>
  <c r="C149" i="17"/>
  <c r="D149" i="17" s="1"/>
  <c r="E149" i="17" a="1"/>
  <c r="E149" i="17" s="1"/>
  <c r="N149" i="17" a="1"/>
  <c r="N149" i="17" s="1"/>
  <c r="F149" i="17" a="1"/>
  <c r="F149" i="17" s="1"/>
  <c r="O149" i="17" a="1"/>
  <c r="O149" i="17" s="1"/>
  <c r="G149" i="17" a="1"/>
  <c r="G149" i="17" s="1"/>
  <c r="P149" i="17" a="1"/>
  <c r="P149" i="17" s="1"/>
  <c r="Q149" i="17" a="1"/>
  <c r="Q149" i="17" s="1"/>
  <c r="R149" i="17" a="1"/>
  <c r="R149" i="17" s="1"/>
  <c r="H149" i="17" a="1"/>
  <c r="H149" i="17" s="1"/>
  <c r="S149" i="17" a="1"/>
  <c r="S149" i="17" s="1"/>
  <c r="I149" i="17" a="1"/>
  <c r="I149" i="17" s="1"/>
  <c r="T149" i="17" a="1"/>
  <c r="T149" i="17" s="1"/>
  <c r="J149" i="17" a="1"/>
  <c r="J149" i="17" s="1"/>
  <c r="K149" i="17" a="1"/>
  <c r="K149" i="17" s="1"/>
  <c r="L149" i="17" a="1"/>
  <c r="L149" i="17" s="1"/>
  <c r="M149" i="17" a="1"/>
  <c r="M149" i="17" s="1"/>
  <c r="B150" i="17"/>
  <c r="G152" i="19" l="1"/>
  <c r="F152" i="19"/>
  <c r="E152" i="19"/>
  <c r="D152" i="19"/>
  <c r="C152" i="19"/>
  <c r="C150" i="17"/>
  <c r="G150" i="17" a="1"/>
  <c r="G150" i="17" s="1"/>
  <c r="P150" i="17" a="1"/>
  <c r="P150" i="17" s="1"/>
  <c r="H150" i="17" a="1"/>
  <c r="H150" i="17" s="1"/>
  <c r="Q150" i="17" a="1"/>
  <c r="Q150" i="17" s="1"/>
  <c r="I150" i="17" a="1"/>
  <c r="I150" i="17" s="1"/>
  <c r="R150" i="17" a="1"/>
  <c r="R150" i="17" s="1"/>
  <c r="M150" i="17" a="1"/>
  <c r="M150" i="17" s="1"/>
  <c r="N150" i="17" a="1"/>
  <c r="N150" i="17" s="1"/>
  <c r="O150" i="17" a="1"/>
  <c r="O150" i="17" s="1"/>
  <c r="S150" i="17" a="1"/>
  <c r="S150" i="17" s="1"/>
  <c r="E150" i="17" a="1"/>
  <c r="E150" i="17" s="1"/>
  <c r="D150" i="17" s="1"/>
  <c r="F150" i="17" a="1"/>
  <c r="F150" i="17" s="1"/>
  <c r="T150" i="17" a="1"/>
  <c r="T150" i="17" s="1"/>
  <c r="J150" i="17" a="1"/>
  <c r="J150" i="17" s="1"/>
  <c r="L150" i="17" a="1"/>
  <c r="L150" i="17" s="1"/>
  <c r="K150" i="17" a="1"/>
  <c r="K150" i="17" s="1"/>
  <c r="B151" i="17"/>
  <c r="G153" i="19" l="1"/>
  <c r="F153" i="19"/>
  <c r="E153" i="19"/>
  <c r="C153" i="19"/>
  <c r="D153" i="19"/>
  <c r="C151" i="17"/>
  <c r="D151" i="17" s="1"/>
  <c r="I151" i="17" a="1"/>
  <c r="I151" i="17" s="1"/>
  <c r="S151" i="17" a="1"/>
  <c r="S151" i="17" s="1"/>
  <c r="J151" i="17" a="1"/>
  <c r="J151" i="17" s="1"/>
  <c r="T151" i="17" a="1"/>
  <c r="T151" i="17" s="1"/>
  <c r="K151" i="17" a="1"/>
  <c r="K151" i="17" s="1"/>
  <c r="H151" i="17" a="1"/>
  <c r="H151" i="17" s="1"/>
  <c r="L151" i="17" a="1"/>
  <c r="L151" i="17" s="1"/>
  <c r="M151" i="17" a="1"/>
  <c r="M151" i="17" s="1"/>
  <c r="O151" i="17" a="1"/>
  <c r="O151" i="17" s="1"/>
  <c r="P151" i="17" a="1"/>
  <c r="P151" i="17" s="1"/>
  <c r="Q151" i="17" a="1"/>
  <c r="Q151" i="17" s="1"/>
  <c r="E151" i="17" a="1"/>
  <c r="E151" i="17" s="1"/>
  <c r="R151" i="17" a="1"/>
  <c r="R151" i="17" s="1"/>
  <c r="F151" i="17" a="1"/>
  <c r="F151" i="17" s="1"/>
  <c r="G151" i="17" a="1"/>
  <c r="G151" i="17" s="1"/>
  <c r="N151" i="17" a="1"/>
  <c r="N151" i="17" s="1"/>
  <c r="B152" i="17"/>
  <c r="G154" i="19" l="1"/>
  <c r="E154" i="19"/>
  <c r="C154" i="19"/>
  <c r="D154" i="19"/>
  <c r="F154" i="19"/>
  <c r="C152" i="17"/>
  <c r="D152" i="17" s="1"/>
  <c r="E152" i="17" a="1"/>
  <c r="E152" i="17" s="1"/>
  <c r="H152" i="17" a="1"/>
  <c r="H152" i="17" s="1"/>
  <c r="L152" i="17" a="1"/>
  <c r="L152" i="17" s="1"/>
  <c r="M152" i="17" a="1"/>
  <c r="M152" i="17" s="1"/>
  <c r="N152" i="17" a="1"/>
  <c r="N152" i="17" s="1"/>
  <c r="O152" i="17" a="1"/>
  <c r="O152" i="17" s="1"/>
  <c r="R152" i="17" a="1"/>
  <c r="R152" i="17" s="1"/>
  <c r="S152" i="17" a="1"/>
  <c r="S152" i="17" s="1"/>
  <c r="T152" i="17" a="1"/>
  <c r="T152" i="17" s="1"/>
  <c r="F152" i="17" a="1"/>
  <c r="F152" i="17" s="1"/>
  <c r="G152" i="17" a="1"/>
  <c r="G152" i="17" s="1"/>
  <c r="I152" i="17" a="1"/>
  <c r="I152" i="17" s="1"/>
  <c r="J152" i="17" a="1"/>
  <c r="J152" i="17" s="1"/>
  <c r="Q152" i="17" a="1"/>
  <c r="Q152" i="17" s="1"/>
  <c r="K152" i="17" a="1"/>
  <c r="K152" i="17" s="1"/>
  <c r="P152" i="17" a="1"/>
  <c r="P152" i="17" s="1"/>
  <c r="B153" i="17"/>
  <c r="F155" i="19" l="1"/>
  <c r="G155" i="19"/>
  <c r="E155" i="19"/>
  <c r="C155" i="19"/>
  <c r="D155" i="19"/>
  <c r="C153" i="17"/>
  <c r="F153" i="17" a="1"/>
  <c r="F153" i="17" s="1"/>
  <c r="P153" i="17" a="1"/>
  <c r="P153" i="17" s="1"/>
  <c r="G153" i="17" a="1"/>
  <c r="G153" i="17" s="1"/>
  <c r="R153" i="17" a="1"/>
  <c r="R153" i="17" s="1"/>
  <c r="H153" i="17" a="1"/>
  <c r="H153" i="17" s="1"/>
  <c r="S153" i="17" a="1"/>
  <c r="S153" i="17" s="1"/>
  <c r="I153" i="17" a="1"/>
  <c r="I153" i="17" s="1"/>
  <c r="T153" i="17" a="1"/>
  <c r="T153" i="17" s="1"/>
  <c r="J153" i="17" a="1"/>
  <c r="J153" i="17" s="1"/>
  <c r="E153" i="17" a="1"/>
  <c r="E153" i="17" s="1"/>
  <c r="D153" i="17" s="1"/>
  <c r="K153" i="17" a="1"/>
  <c r="K153" i="17" s="1"/>
  <c r="L153" i="17" a="1"/>
  <c r="L153" i="17" s="1"/>
  <c r="M153" i="17" a="1"/>
  <c r="M153" i="17" s="1"/>
  <c r="Q153" i="17" a="1"/>
  <c r="Q153" i="17" s="1"/>
  <c r="N153" i="17" a="1"/>
  <c r="N153" i="17" s="1"/>
  <c r="O153" i="17" a="1"/>
  <c r="O153" i="17" s="1"/>
  <c r="B154" i="17"/>
  <c r="F156" i="19" l="1"/>
  <c r="G156" i="19"/>
  <c r="E156" i="19"/>
  <c r="C156" i="19"/>
  <c r="D156" i="19"/>
  <c r="C154" i="17"/>
  <c r="D154" i="17" s="1"/>
  <c r="J154" i="17" a="1"/>
  <c r="J154" i="17" s="1"/>
  <c r="T154" i="17" a="1"/>
  <c r="T154" i="17" s="1"/>
  <c r="M154" i="17" a="1"/>
  <c r="M154" i="17" s="1"/>
  <c r="N154" i="17" a="1"/>
  <c r="N154" i="17" s="1"/>
  <c r="O154" i="17" a="1"/>
  <c r="O154" i="17" s="1"/>
  <c r="E154" i="17" a="1"/>
  <c r="E154" i="17" s="1"/>
  <c r="P154" i="17" a="1"/>
  <c r="P154" i="17" s="1"/>
  <c r="F154" i="17" a="1"/>
  <c r="F154" i="17" s="1"/>
  <c r="G154" i="17" a="1"/>
  <c r="G154" i="17" s="1"/>
  <c r="H154" i="17" a="1"/>
  <c r="H154" i="17" s="1"/>
  <c r="I154" i="17" a="1"/>
  <c r="I154" i="17" s="1"/>
  <c r="K154" i="17" a="1"/>
  <c r="K154" i="17" s="1"/>
  <c r="L154" i="17" a="1"/>
  <c r="L154" i="17" s="1"/>
  <c r="Q154" i="17" a="1"/>
  <c r="Q154" i="17" s="1"/>
  <c r="R154" i="17" a="1"/>
  <c r="R154" i="17" s="1"/>
  <c r="S154" i="17" a="1"/>
  <c r="S154" i="17" s="1"/>
  <c r="B155" i="17"/>
  <c r="D157" i="19" l="1"/>
  <c r="F157" i="19"/>
  <c r="G157" i="19"/>
  <c r="E157" i="19"/>
  <c r="C157" i="19"/>
  <c r="C155" i="17"/>
  <c r="D155" i="17" s="1"/>
  <c r="N155" i="17" a="1"/>
  <c r="N155" i="17" s="1"/>
  <c r="H155" i="17" a="1"/>
  <c r="H155" i="17" s="1"/>
  <c r="R155" i="17" a="1"/>
  <c r="R155" i="17" s="1"/>
  <c r="I155" i="17" a="1"/>
  <c r="I155" i="17" s="1"/>
  <c r="S155" i="17" a="1"/>
  <c r="S155" i="17" s="1"/>
  <c r="J155" i="17" a="1"/>
  <c r="J155" i="17" s="1"/>
  <c r="T155" i="17" a="1"/>
  <c r="T155" i="17" s="1"/>
  <c r="K155" i="17" a="1"/>
  <c r="K155" i="17" s="1"/>
  <c r="F155" i="17" a="1"/>
  <c r="F155" i="17" s="1"/>
  <c r="G155" i="17" a="1"/>
  <c r="G155" i="17" s="1"/>
  <c r="L155" i="17" a="1"/>
  <c r="L155" i="17" s="1"/>
  <c r="M155" i="17" a="1"/>
  <c r="M155" i="17" s="1"/>
  <c r="O155" i="17" a="1"/>
  <c r="O155" i="17" s="1"/>
  <c r="P155" i="17" a="1"/>
  <c r="P155" i="17" s="1"/>
  <c r="E155" i="17" a="1"/>
  <c r="E155" i="17" s="1"/>
  <c r="Q155" i="17" a="1"/>
  <c r="Q155" i="17" s="1"/>
  <c r="B156" i="17"/>
  <c r="C158" i="19" l="1"/>
  <c r="D158" i="19"/>
  <c r="F158" i="19"/>
  <c r="G158" i="19"/>
  <c r="E158" i="19"/>
  <c r="C156" i="17"/>
  <c r="D156" i="17" s="1"/>
  <c r="L156" i="17" a="1"/>
  <c r="L156" i="17" s="1"/>
  <c r="M156" i="17" a="1"/>
  <c r="M156" i="17" s="1"/>
  <c r="N156" i="17" a="1"/>
  <c r="N156" i="17" s="1"/>
  <c r="E156" i="17" a="1"/>
  <c r="E156" i="17" s="1"/>
  <c r="O156" i="17" a="1"/>
  <c r="O156" i="17" s="1"/>
  <c r="H156" i="17" a="1"/>
  <c r="H156" i="17" s="1"/>
  <c r="I156" i="17" a="1"/>
  <c r="I156" i="17" s="1"/>
  <c r="J156" i="17" a="1"/>
  <c r="J156" i="17" s="1"/>
  <c r="K156" i="17" a="1"/>
  <c r="K156" i="17" s="1"/>
  <c r="P156" i="17" a="1"/>
  <c r="P156" i="17" s="1"/>
  <c r="Q156" i="17" a="1"/>
  <c r="Q156" i="17" s="1"/>
  <c r="R156" i="17" a="1"/>
  <c r="R156" i="17" s="1"/>
  <c r="G156" i="17" a="1"/>
  <c r="G156" i="17" s="1"/>
  <c r="T156" i="17" a="1"/>
  <c r="T156" i="17" s="1"/>
  <c r="S156" i="17" a="1"/>
  <c r="S156" i="17" s="1"/>
  <c r="F156" i="17" a="1"/>
  <c r="F156" i="17" s="1"/>
  <c r="B157" i="17"/>
  <c r="G159" i="19" l="1"/>
  <c r="F159" i="19"/>
  <c r="E159" i="19"/>
  <c r="C159" i="19"/>
  <c r="D159" i="19"/>
  <c r="C157" i="17"/>
  <c r="D157" i="17" s="1"/>
  <c r="F157" i="17" a="1"/>
  <c r="F157" i="17" s="1"/>
  <c r="O157" i="17" a="1"/>
  <c r="O157" i="17" s="1"/>
  <c r="G157" i="17" a="1"/>
  <c r="G157" i="17" s="1"/>
  <c r="P157" i="17" a="1"/>
  <c r="P157" i="17" s="1"/>
  <c r="Q157" i="17" a="1"/>
  <c r="Q157" i="17" s="1"/>
  <c r="H157" i="17" a="1"/>
  <c r="H157" i="17" s="1"/>
  <c r="R157" i="17" a="1"/>
  <c r="R157" i="17" s="1"/>
  <c r="I157" i="17" a="1"/>
  <c r="I157" i="17" s="1"/>
  <c r="J157" i="17" a="1"/>
  <c r="J157" i="17" s="1"/>
  <c r="K157" i="17" a="1"/>
  <c r="K157" i="17" s="1"/>
  <c r="L157" i="17" a="1"/>
  <c r="L157" i="17" s="1"/>
  <c r="M157" i="17" a="1"/>
  <c r="M157" i="17" s="1"/>
  <c r="N157" i="17" a="1"/>
  <c r="N157" i="17" s="1"/>
  <c r="S157" i="17" a="1"/>
  <c r="S157" i="17" s="1"/>
  <c r="E157" i="17" a="1"/>
  <c r="E157" i="17" s="1"/>
  <c r="T157" i="17" a="1"/>
  <c r="T157" i="17" s="1"/>
  <c r="B158" i="17"/>
  <c r="C160" i="19" l="1"/>
  <c r="D160" i="19"/>
  <c r="F160" i="19"/>
  <c r="G160" i="19"/>
  <c r="E160" i="19"/>
  <c r="C158" i="17"/>
  <c r="D158" i="17" s="1"/>
  <c r="I158" i="17" a="1"/>
  <c r="I158" i="17" s="1"/>
  <c r="R158" i="17" a="1"/>
  <c r="R158" i="17" s="1"/>
  <c r="J158" i="17" a="1"/>
  <c r="J158" i="17" s="1"/>
  <c r="S158" i="17" a="1"/>
  <c r="S158" i="17" s="1"/>
  <c r="K158" i="17" a="1"/>
  <c r="K158" i="17" s="1"/>
  <c r="T158" i="17" a="1"/>
  <c r="T158" i="17" s="1"/>
  <c r="L158" i="17" a="1"/>
  <c r="L158" i="17" s="1"/>
  <c r="G158" i="17" a="1"/>
  <c r="G158" i="17" s="1"/>
  <c r="H158" i="17" a="1"/>
  <c r="H158" i="17" s="1"/>
  <c r="M158" i="17" a="1"/>
  <c r="M158" i="17" s="1"/>
  <c r="N158" i="17" a="1"/>
  <c r="N158" i="17" s="1"/>
  <c r="O158" i="17" a="1"/>
  <c r="O158" i="17" s="1"/>
  <c r="P158" i="17" a="1"/>
  <c r="P158" i="17" s="1"/>
  <c r="F158" i="17" a="1"/>
  <c r="F158" i="17" s="1"/>
  <c r="E158" i="17" a="1"/>
  <c r="E158" i="17" s="1"/>
  <c r="Q158" i="17" a="1"/>
  <c r="Q158" i="17" s="1"/>
  <c r="B159" i="17"/>
  <c r="G161" i="19" l="1"/>
  <c r="F161" i="19"/>
  <c r="E161" i="19"/>
  <c r="D161" i="19"/>
  <c r="C161" i="19"/>
  <c r="C159" i="17"/>
  <c r="D159" i="17" s="1"/>
  <c r="L159" i="17" a="1"/>
  <c r="L159" i="17" s="1"/>
  <c r="M159" i="17" a="1"/>
  <c r="M159" i="17" s="1"/>
  <c r="N159" i="17" a="1"/>
  <c r="N159" i="17" s="1"/>
  <c r="E159" i="17" a="1"/>
  <c r="E159" i="17" s="1"/>
  <c r="O159" i="17" a="1"/>
  <c r="O159" i="17" s="1"/>
  <c r="H159" i="17" a="1"/>
  <c r="H159" i="17" s="1"/>
  <c r="I159" i="17" a="1"/>
  <c r="I159" i="17" s="1"/>
  <c r="J159" i="17" a="1"/>
  <c r="J159" i="17" s="1"/>
  <c r="K159" i="17" a="1"/>
  <c r="K159" i="17" s="1"/>
  <c r="P159" i="17" a="1"/>
  <c r="P159" i="17" s="1"/>
  <c r="Q159" i="17" a="1"/>
  <c r="Q159" i="17" s="1"/>
  <c r="R159" i="17" a="1"/>
  <c r="R159" i="17" s="1"/>
  <c r="G159" i="17" a="1"/>
  <c r="G159" i="17" s="1"/>
  <c r="F159" i="17" a="1"/>
  <c r="F159" i="17" s="1"/>
  <c r="S159" i="17" a="1"/>
  <c r="S159" i="17" s="1"/>
  <c r="T159" i="17" a="1"/>
  <c r="T159" i="17" s="1"/>
  <c r="B160" i="17"/>
  <c r="G162" i="19" l="1"/>
  <c r="F162" i="19"/>
  <c r="E162" i="19"/>
  <c r="D162" i="19"/>
  <c r="C162" i="19"/>
  <c r="C160" i="17"/>
  <c r="D160" i="17" s="1"/>
  <c r="F160" i="17" a="1"/>
  <c r="F160" i="17" s="1"/>
  <c r="O160" i="17" a="1"/>
  <c r="O160" i="17" s="1"/>
  <c r="G160" i="17" a="1"/>
  <c r="G160" i="17" s="1"/>
  <c r="P160" i="17" a="1"/>
  <c r="P160" i="17" s="1"/>
  <c r="H160" i="17" a="1"/>
  <c r="H160" i="17" s="1"/>
  <c r="Q160" i="17" a="1"/>
  <c r="Q160" i="17" s="1"/>
  <c r="I160" i="17" a="1"/>
  <c r="I160" i="17" s="1"/>
  <c r="R160" i="17" a="1"/>
  <c r="R160" i="17" s="1"/>
  <c r="J160" i="17" a="1"/>
  <c r="J160" i="17" s="1"/>
  <c r="K160" i="17" a="1"/>
  <c r="K160" i="17" s="1"/>
  <c r="L160" i="17" a="1"/>
  <c r="L160" i="17" s="1"/>
  <c r="M160" i="17" a="1"/>
  <c r="M160" i="17" s="1"/>
  <c r="N160" i="17" a="1"/>
  <c r="N160" i="17" s="1"/>
  <c r="S160" i="17" a="1"/>
  <c r="S160" i="17" s="1"/>
  <c r="E160" i="17" a="1"/>
  <c r="E160" i="17" s="1"/>
  <c r="T160" i="17" a="1"/>
  <c r="T160" i="17" s="1"/>
  <c r="B161" i="17"/>
  <c r="G163" i="19" l="1"/>
  <c r="F163" i="19"/>
  <c r="E163" i="19"/>
  <c r="D163" i="19"/>
  <c r="C163" i="19"/>
  <c r="C161" i="17"/>
  <c r="I161" i="17" a="1"/>
  <c r="I161" i="17" s="1"/>
  <c r="S161" i="17" a="1"/>
  <c r="S161" i="17" s="1"/>
  <c r="J161" i="17" a="1"/>
  <c r="J161" i="17" s="1"/>
  <c r="T161" i="17" a="1"/>
  <c r="T161" i="17" s="1"/>
  <c r="K161" i="17" a="1"/>
  <c r="K161" i="17" s="1"/>
  <c r="L161" i="17" a="1"/>
  <c r="L161" i="17" s="1"/>
  <c r="G161" i="17" a="1"/>
  <c r="G161" i="17" s="1"/>
  <c r="H161" i="17" a="1"/>
  <c r="H161" i="17" s="1"/>
  <c r="M161" i="17" a="1"/>
  <c r="M161" i="17" s="1"/>
  <c r="N161" i="17" a="1"/>
  <c r="N161" i="17" s="1"/>
  <c r="O161" i="17" a="1"/>
  <c r="O161" i="17" s="1"/>
  <c r="P161" i="17" a="1"/>
  <c r="P161" i="17" s="1"/>
  <c r="Q161" i="17" a="1"/>
  <c r="Q161" i="17" s="1"/>
  <c r="F161" i="17" a="1"/>
  <c r="F161" i="17" s="1"/>
  <c r="R161" i="17" a="1"/>
  <c r="R161" i="17" s="1"/>
  <c r="E161" i="17" a="1"/>
  <c r="E161" i="17" s="1"/>
  <c r="D161" i="17" s="1"/>
  <c r="B162" i="17"/>
  <c r="G164" i="19" l="1"/>
  <c r="E164" i="19"/>
  <c r="F164" i="19"/>
  <c r="D164" i="19"/>
  <c r="C164" i="19"/>
  <c r="C162" i="17"/>
  <c r="M162" i="17" a="1"/>
  <c r="M162" i="17" s="1"/>
  <c r="N162" i="17" a="1"/>
  <c r="N162" i="17" s="1"/>
  <c r="E162" i="17" a="1"/>
  <c r="E162" i="17" s="1"/>
  <c r="D162" i="17" s="1"/>
  <c r="O162" i="17" a="1"/>
  <c r="O162" i="17" s="1"/>
  <c r="F162" i="17" a="1"/>
  <c r="F162" i="17" s="1"/>
  <c r="P162" i="17" a="1"/>
  <c r="P162" i="17" s="1"/>
  <c r="I162" i="17" a="1"/>
  <c r="I162" i="17" s="1"/>
  <c r="J162" i="17" a="1"/>
  <c r="J162" i="17" s="1"/>
  <c r="K162" i="17" a="1"/>
  <c r="K162" i="17" s="1"/>
  <c r="L162" i="17" a="1"/>
  <c r="L162" i="17" s="1"/>
  <c r="Q162" i="17" a="1"/>
  <c r="Q162" i="17" s="1"/>
  <c r="R162" i="17" a="1"/>
  <c r="R162" i="17" s="1"/>
  <c r="S162" i="17" a="1"/>
  <c r="S162" i="17" s="1"/>
  <c r="H162" i="17" a="1"/>
  <c r="H162" i="17" s="1"/>
  <c r="G162" i="17" a="1"/>
  <c r="G162" i="17" s="1"/>
  <c r="T162" i="17" a="1"/>
  <c r="T162" i="17" s="1"/>
  <c r="B163" i="17"/>
  <c r="G165" i="19" l="1"/>
  <c r="E165" i="19"/>
  <c r="F165" i="19"/>
  <c r="D165" i="19"/>
  <c r="C165" i="19"/>
  <c r="C163" i="17"/>
  <c r="D163" i="17" s="1"/>
  <c r="G163" i="17" a="1"/>
  <c r="G163" i="17" s="1"/>
  <c r="P163" i="17" a="1"/>
  <c r="P163" i="17" s="1"/>
  <c r="H163" i="17" a="1"/>
  <c r="H163" i="17" s="1"/>
  <c r="Q163" i="17" a="1"/>
  <c r="Q163" i="17" s="1"/>
  <c r="I163" i="17" a="1"/>
  <c r="I163" i="17" s="1"/>
  <c r="R163" i="17" a="1"/>
  <c r="R163" i="17" s="1"/>
  <c r="J163" i="17" a="1"/>
  <c r="J163" i="17" s="1"/>
  <c r="S163" i="17" a="1"/>
  <c r="S163" i="17" s="1"/>
  <c r="K163" i="17" a="1"/>
  <c r="K163" i="17" s="1"/>
  <c r="L163" i="17" a="1"/>
  <c r="L163" i="17" s="1"/>
  <c r="M163" i="17" a="1"/>
  <c r="M163" i="17" s="1"/>
  <c r="N163" i="17" a="1"/>
  <c r="N163" i="17" s="1"/>
  <c r="O163" i="17" a="1"/>
  <c r="O163" i="17" s="1"/>
  <c r="T163" i="17" a="1"/>
  <c r="T163" i="17" s="1"/>
  <c r="F163" i="17" a="1"/>
  <c r="F163" i="17" s="1"/>
  <c r="E163" i="17" a="1"/>
  <c r="E163" i="17" s="1"/>
  <c r="B164" i="17"/>
  <c r="G166" i="19" l="1"/>
  <c r="E166" i="19"/>
  <c r="F166" i="19"/>
  <c r="D166" i="19"/>
  <c r="C166" i="19"/>
  <c r="C164" i="17"/>
  <c r="D164" i="17" s="1"/>
  <c r="J164" i="17" a="1"/>
  <c r="J164" i="17" s="1"/>
  <c r="T164" i="17" a="1"/>
  <c r="T164" i="17" s="1"/>
  <c r="K164" i="17" a="1"/>
  <c r="K164" i="17" s="1"/>
  <c r="L164" i="17" a="1"/>
  <c r="L164" i="17" s="1"/>
  <c r="M164" i="17" a="1"/>
  <c r="M164" i="17" s="1"/>
  <c r="H164" i="17" a="1"/>
  <c r="H164" i="17" s="1"/>
  <c r="I164" i="17" a="1"/>
  <c r="I164" i="17" s="1"/>
  <c r="N164" i="17" a="1"/>
  <c r="N164" i="17" s="1"/>
  <c r="O164" i="17" a="1"/>
  <c r="O164" i="17" s="1"/>
  <c r="P164" i="17" a="1"/>
  <c r="P164" i="17" s="1"/>
  <c r="Q164" i="17" a="1"/>
  <c r="Q164" i="17" s="1"/>
  <c r="R164" i="17" a="1"/>
  <c r="R164" i="17" s="1"/>
  <c r="G164" i="17" a="1"/>
  <c r="G164" i="17" s="1"/>
  <c r="E164" i="17" a="1"/>
  <c r="E164" i="17" s="1"/>
  <c r="F164" i="17" a="1"/>
  <c r="F164" i="17" s="1"/>
  <c r="S164" i="17" a="1"/>
  <c r="S164" i="17" s="1"/>
  <c r="B165" i="17"/>
  <c r="G167" i="19" l="1"/>
  <c r="E167" i="19"/>
  <c r="C167" i="19"/>
  <c r="D167" i="19"/>
  <c r="F167" i="19"/>
  <c r="C165" i="17"/>
  <c r="D165" i="17" s="1"/>
  <c r="M165" i="17" a="1"/>
  <c r="M165" i="17" s="1"/>
  <c r="N165" i="17" a="1"/>
  <c r="N165" i="17" s="1"/>
  <c r="E165" i="17" a="1"/>
  <c r="E165" i="17" s="1"/>
  <c r="O165" i="17" a="1"/>
  <c r="O165" i="17" s="1"/>
  <c r="F165" i="17" a="1"/>
  <c r="F165" i="17" s="1"/>
  <c r="P165" i="17" a="1"/>
  <c r="P165" i="17" s="1"/>
  <c r="I165" i="17" a="1"/>
  <c r="I165" i="17" s="1"/>
  <c r="J165" i="17" a="1"/>
  <c r="J165" i="17" s="1"/>
  <c r="K165" i="17" a="1"/>
  <c r="K165" i="17" s="1"/>
  <c r="L165" i="17" a="1"/>
  <c r="L165" i="17" s="1"/>
  <c r="Q165" i="17" a="1"/>
  <c r="Q165" i="17" s="1"/>
  <c r="R165" i="17" a="1"/>
  <c r="R165" i="17" s="1"/>
  <c r="S165" i="17" a="1"/>
  <c r="S165" i="17" s="1"/>
  <c r="H165" i="17" a="1"/>
  <c r="H165" i="17" s="1"/>
  <c r="G165" i="17" a="1"/>
  <c r="G165" i="17" s="1"/>
  <c r="T165" i="17" a="1"/>
  <c r="T165" i="17" s="1"/>
  <c r="B166" i="17"/>
  <c r="D168" i="19" l="1"/>
  <c r="C168" i="19"/>
  <c r="G168" i="19"/>
  <c r="E168" i="19"/>
  <c r="F168" i="19"/>
  <c r="C166" i="17"/>
  <c r="D166" i="17" s="1"/>
  <c r="G166" i="17" a="1"/>
  <c r="G166" i="17" s="1"/>
  <c r="P166" i="17" a="1"/>
  <c r="P166" i="17" s="1"/>
  <c r="H166" i="17" a="1"/>
  <c r="H166" i="17" s="1"/>
  <c r="Q166" i="17" a="1"/>
  <c r="Q166" i="17" s="1"/>
  <c r="I166" i="17" a="1"/>
  <c r="I166" i="17" s="1"/>
  <c r="R166" i="17" a="1"/>
  <c r="R166" i="17" s="1"/>
  <c r="J166" i="17" a="1"/>
  <c r="J166" i="17" s="1"/>
  <c r="S166" i="17" a="1"/>
  <c r="S166" i="17" s="1"/>
  <c r="K166" i="17" a="1"/>
  <c r="K166" i="17" s="1"/>
  <c r="L166" i="17" a="1"/>
  <c r="L166" i="17" s="1"/>
  <c r="M166" i="17" a="1"/>
  <c r="M166" i="17" s="1"/>
  <c r="N166" i="17" a="1"/>
  <c r="N166" i="17" s="1"/>
  <c r="O166" i="17" a="1"/>
  <c r="O166" i="17" s="1"/>
  <c r="T166" i="17" a="1"/>
  <c r="T166" i="17" s="1"/>
  <c r="F166" i="17" a="1"/>
  <c r="F166" i="17" s="1"/>
  <c r="E166" i="17" a="1"/>
  <c r="E166" i="17" s="1"/>
  <c r="B167" i="17"/>
  <c r="G169" i="19" l="1"/>
  <c r="F169" i="19"/>
  <c r="E169" i="19"/>
  <c r="D169" i="19"/>
  <c r="C169" i="19"/>
  <c r="C167" i="17"/>
  <c r="D167" i="17" s="1"/>
  <c r="J167" i="17" a="1"/>
  <c r="J167" i="17" s="1"/>
  <c r="T167" i="17" a="1"/>
  <c r="T167" i="17" s="1"/>
  <c r="K167" i="17" a="1"/>
  <c r="K167" i="17" s="1"/>
  <c r="L167" i="17" a="1"/>
  <c r="L167" i="17" s="1"/>
  <c r="M167" i="17" a="1"/>
  <c r="M167" i="17" s="1"/>
  <c r="H167" i="17" a="1"/>
  <c r="H167" i="17" s="1"/>
  <c r="I167" i="17" a="1"/>
  <c r="I167" i="17" s="1"/>
  <c r="N167" i="17" a="1"/>
  <c r="N167" i="17" s="1"/>
  <c r="O167" i="17" a="1"/>
  <c r="O167" i="17" s="1"/>
  <c r="P167" i="17" a="1"/>
  <c r="P167" i="17" s="1"/>
  <c r="Q167" i="17" a="1"/>
  <c r="Q167" i="17" s="1"/>
  <c r="R167" i="17" a="1"/>
  <c r="R167" i="17" s="1"/>
  <c r="G167" i="17" a="1"/>
  <c r="G167" i="17" s="1"/>
  <c r="F167" i="17" a="1"/>
  <c r="F167" i="17" s="1"/>
  <c r="S167" i="17" a="1"/>
  <c r="S167" i="17" s="1"/>
  <c r="E167" i="17" a="1"/>
  <c r="E167" i="17" s="1"/>
  <c r="B168" i="17"/>
  <c r="F170" i="19" l="1"/>
  <c r="C170" i="19"/>
  <c r="D170" i="19"/>
  <c r="G170" i="19"/>
  <c r="E170" i="19"/>
  <c r="C168" i="17"/>
  <c r="D168" i="17" s="1"/>
  <c r="E168" i="17" a="1"/>
  <c r="E168" i="17" s="1"/>
  <c r="M168" i="17" a="1"/>
  <c r="M168" i="17" s="1"/>
  <c r="F168" i="17" a="1"/>
  <c r="F168" i="17" s="1"/>
  <c r="N168" i="17" a="1"/>
  <c r="N168" i="17" s="1"/>
  <c r="O168" i="17" a="1"/>
  <c r="O168" i="17" s="1"/>
  <c r="I168" i="17" a="1"/>
  <c r="I168" i="17" s="1"/>
  <c r="J168" i="17" a="1"/>
  <c r="J168" i="17" s="1"/>
  <c r="K168" i="17" a="1"/>
  <c r="K168" i="17" s="1"/>
  <c r="L168" i="17" a="1"/>
  <c r="L168" i="17" s="1"/>
  <c r="P168" i="17" a="1"/>
  <c r="P168" i="17" s="1"/>
  <c r="Q168" i="17" a="1"/>
  <c r="Q168" i="17" s="1"/>
  <c r="R168" i="17" a="1"/>
  <c r="R168" i="17" s="1"/>
  <c r="H168" i="17" a="1"/>
  <c r="H168" i="17" s="1"/>
  <c r="G168" i="17" a="1"/>
  <c r="G168" i="17" s="1"/>
  <c r="S168" i="17" a="1"/>
  <c r="S168" i="17" s="1"/>
  <c r="T168" i="17" a="1"/>
  <c r="T168" i="17" s="1"/>
  <c r="B169" i="17"/>
  <c r="G171" i="19" l="1"/>
  <c r="F171" i="19"/>
  <c r="E171" i="19"/>
  <c r="D171" i="19"/>
  <c r="C171" i="19"/>
  <c r="C169" i="17"/>
  <c r="D169" i="17" s="1"/>
  <c r="F169" i="17" a="1"/>
  <c r="F169" i="17" s="1"/>
  <c r="P169" i="17" a="1"/>
  <c r="P169" i="17" s="1"/>
  <c r="G169" i="17" a="1"/>
  <c r="G169" i="17" s="1"/>
  <c r="Q169" i="17" a="1"/>
  <c r="Q169" i="17" s="1"/>
  <c r="H169" i="17" a="1"/>
  <c r="H169" i="17" s="1"/>
  <c r="R169" i="17" a="1"/>
  <c r="R169" i="17" s="1"/>
  <c r="I169" i="17" a="1"/>
  <c r="I169" i="17" s="1"/>
  <c r="S169" i="17" a="1"/>
  <c r="S169" i="17" s="1"/>
  <c r="J169" i="17" a="1"/>
  <c r="J169" i="17" s="1"/>
  <c r="K169" i="17" a="1"/>
  <c r="K169" i="17" s="1"/>
  <c r="L169" i="17" a="1"/>
  <c r="L169" i="17" s="1"/>
  <c r="M169" i="17" a="1"/>
  <c r="M169" i="17" s="1"/>
  <c r="N169" i="17" a="1"/>
  <c r="N169" i="17" s="1"/>
  <c r="O169" i="17" a="1"/>
  <c r="O169" i="17" s="1"/>
  <c r="T169" i="17" a="1"/>
  <c r="T169" i="17" s="1"/>
  <c r="E169" i="17" a="1"/>
  <c r="E169" i="17" s="1"/>
  <c r="B170" i="17"/>
  <c r="G172" i="19" l="1"/>
  <c r="F172" i="19"/>
  <c r="E172" i="19"/>
  <c r="D172" i="19"/>
  <c r="C172" i="19"/>
  <c r="C170" i="17"/>
  <c r="D170" i="17" s="1"/>
  <c r="J170" i="17" a="1"/>
  <c r="J170" i="17" s="1"/>
  <c r="T170" i="17" a="1"/>
  <c r="T170" i="17" s="1"/>
  <c r="K170" i="17" a="1"/>
  <c r="K170" i="17" s="1"/>
  <c r="L170" i="17" a="1"/>
  <c r="L170" i="17" s="1"/>
  <c r="M170" i="17" a="1"/>
  <c r="M170" i="17" s="1"/>
  <c r="H170" i="17" a="1"/>
  <c r="H170" i="17" s="1"/>
  <c r="I170" i="17" a="1"/>
  <c r="I170" i="17" s="1"/>
  <c r="N170" i="17" a="1"/>
  <c r="N170" i="17" s="1"/>
  <c r="O170" i="17" a="1"/>
  <c r="O170" i="17" s="1"/>
  <c r="P170" i="17" a="1"/>
  <c r="P170" i="17" s="1"/>
  <c r="Q170" i="17" a="1"/>
  <c r="Q170" i="17" s="1"/>
  <c r="R170" i="17" a="1"/>
  <c r="R170" i="17" s="1"/>
  <c r="G170" i="17" a="1"/>
  <c r="G170" i="17" s="1"/>
  <c r="E170" i="17" a="1"/>
  <c r="E170" i="17" s="1"/>
  <c r="F170" i="17" a="1"/>
  <c r="F170" i="17" s="1"/>
  <c r="S170" i="17" a="1"/>
  <c r="S170" i="17" s="1"/>
  <c r="B171" i="17"/>
  <c r="G173" i="19" l="1"/>
  <c r="F173" i="19"/>
  <c r="E173" i="19"/>
  <c r="D173" i="19"/>
  <c r="C173" i="19"/>
  <c r="C171" i="17"/>
  <c r="M171" i="17" a="1"/>
  <c r="M171" i="17" s="1"/>
  <c r="E171" i="17" a="1"/>
  <c r="E171" i="17" s="1"/>
  <c r="D171" i="17" s="1"/>
  <c r="F171" i="17" a="1"/>
  <c r="F171" i="17" s="1"/>
  <c r="N171" i="17" a="1"/>
  <c r="N171" i="17" s="1"/>
  <c r="G171" i="17" a="1"/>
  <c r="G171" i="17" s="1"/>
  <c r="J171" i="17" a="1"/>
  <c r="J171" i="17" s="1"/>
  <c r="K171" i="17" a="1"/>
  <c r="K171" i="17" s="1"/>
  <c r="L171" i="17" a="1"/>
  <c r="L171" i="17" s="1"/>
  <c r="O171" i="17" a="1"/>
  <c r="O171" i="17" s="1"/>
  <c r="P171" i="17" a="1"/>
  <c r="P171" i="17" s="1"/>
  <c r="Q171" i="17" a="1"/>
  <c r="Q171" i="17" s="1"/>
  <c r="I171" i="17" a="1"/>
  <c r="I171" i="17" s="1"/>
  <c r="T171" i="17" a="1"/>
  <c r="T171" i="17" s="1"/>
  <c r="S171" i="17" a="1"/>
  <c r="S171" i="17" s="1"/>
  <c r="R171" i="17" a="1"/>
  <c r="R171" i="17" s="1"/>
  <c r="H171" i="17" a="1"/>
  <c r="H171" i="17" s="1"/>
  <c r="B172" i="17"/>
  <c r="F174" i="19" l="1"/>
  <c r="D174" i="19"/>
  <c r="C174" i="19"/>
  <c r="G174" i="19"/>
  <c r="E174" i="19"/>
  <c r="C172" i="17"/>
  <c r="E172" i="17" a="1"/>
  <c r="E172" i="17" s="1"/>
  <c r="D172" i="17" s="1"/>
  <c r="O172" i="17" a="1"/>
  <c r="O172" i="17" s="1"/>
  <c r="F172" i="17" a="1"/>
  <c r="F172" i="17" s="1"/>
  <c r="P172" i="17" a="1"/>
  <c r="P172" i="17" s="1"/>
  <c r="G172" i="17" a="1"/>
  <c r="G172" i="17" s="1"/>
  <c r="Q172" i="17" a="1"/>
  <c r="Q172" i="17" s="1"/>
  <c r="H172" i="17" a="1"/>
  <c r="H172" i="17" s="1"/>
  <c r="R172" i="17" a="1"/>
  <c r="R172" i="17" s="1"/>
  <c r="I172" i="17" a="1"/>
  <c r="I172" i="17" s="1"/>
  <c r="J172" i="17" a="1"/>
  <c r="J172" i="17" s="1"/>
  <c r="K172" i="17" a="1"/>
  <c r="K172" i="17" s="1"/>
  <c r="L172" i="17" a="1"/>
  <c r="L172" i="17" s="1"/>
  <c r="M172" i="17" a="1"/>
  <c r="M172" i="17" s="1"/>
  <c r="N172" i="17" a="1"/>
  <c r="N172" i="17" s="1"/>
  <c r="S172" i="17" a="1"/>
  <c r="S172" i="17" s="1"/>
  <c r="T172" i="17" a="1"/>
  <c r="T172" i="17" s="1"/>
  <c r="B173" i="17"/>
  <c r="F175" i="19" l="1"/>
  <c r="D175" i="19"/>
  <c r="G175" i="19"/>
  <c r="E175" i="19"/>
  <c r="C175" i="19"/>
  <c r="C173" i="17"/>
  <c r="D173" i="17" s="1"/>
  <c r="Q173" i="17" a="1"/>
  <c r="Q173" i="17" s="1"/>
  <c r="H173" i="17" a="1"/>
  <c r="H173" i="17" s="1"/>
  <c r="R173" i="17" a="1"/>
  <c r="R173" i="17" s="1"/>
  <c r="I173" i="17" a="1"/>
  <c r="I173" i="17" s="1"/>
  <c r="S173" i="17" a="1"/>
  <c r="S173" i="17" s="1"/>
  <c r="J173" i="17" a="1"/>
  <c r="J173" i="17" s="1"/>
  <c r="T173" i="17" a="1"/>
  <c r="T173" i="17" s="1"/>
  <c r="F173" i="17" a="1"/>
  <c r="F173" i="17" s="1"/>
  <c r="G173" i="17" a="1"/>
  <c r="G173" i="17" s="1"/>
  <c r="K173" i="17" a="1"/>
  <c r="K173" i="17" s="1"/>
  <c r="L173" i="17" a="1"/>
  <c r="L173" i="17" s="1"/>
  <c r="M173" i="17" a="1"/>
  <c r="M173" i="17" s="1"/>
  <c r="N173" i="17" a="1"/>
  <c r="N173" i="17" s="1"/>
  <c r="O173" i="17" a="1"/>
  <c r="O173" i="17" s="1"/>
  <c r="E173" i="17" a="1"/>
  <c r="E173" i="17" s="1"/>
  <c r="P173" i="17" a="1"/>
  <c r="P173" i="17" s="1"/>
  <c r="B174" i="17"/>
  <c r="F176" i="19" l="1"/>
  <c r="D176" i="19"/>
  <c r="G176" i="19"/>
  <c r="C176" i="19"/>
  <c r="E176" i="19"/>
  <c r="C174" i="17"/>
  <c r="D174" i="17" s="1"/>
  <c r="J174" i="17" a="1"/>
  <c r="J174" i="17" s="1"/>
  <c r="Q174" i="17" a="1"/>
  <c r="Q174" i="17" s="1"/>
  <c r="K174" i="17" a="1"/>
  <c r="K174" i="17" s="1"/>
  <c r="R174" i="17" a="1"/>
  <c r="R174" i="17" s="1"/>
  <c r="L174" i="17" a="1"/>
  <c r="L174" i="17" s="1"/>
  <c r="S174" i="17" a="1"/>
  <c r="S174" i="17" s="1"/>
  <c r="M174" i="17" a="1"/>
  <c r="M174" i="17" s="1"/>
  <c r="T174" i="17" a="1"/>
  <c r="T174" i="17" s="1"/>
  <c r="F174" i="17" a="1"/>
  <c r="F174" i="17" s="1"/>
  <c r="G174" i="17" a="1"/>
  <c r="G174" i="17" s="1"/>
  <c r="H174" i="17" a="1"/>
  <c r="H174" i="17" s="1"/>
  <c r="I174" i="17" a="1"/>
  <c r="I174" i="17" s="1"/>
  <c r="N174" i="17" a="1"/>
  <c r="N174" i="17" s="1"/>
  <c r="O174" i="17" a="1"/>
  <c r="O174" i="17" s="1"/>
  <c r="E174" i="17" a="1"/>
  <c r="E174" i="17" s="1"/>
  <c r="P174" i="17" a="1"/>
  <c r="P174" i="17" s="1"/>
  <c r="B175" i="17"/>
  <c r="F177" i="19" l="1"/>
  <c r="G177" i="19"/>
  <c r="C177" i="19"/>
  <c r="D177" i="19"/>
  <c r="E177" i="19"/>
  <c r="C175" i="17"/>
  <c r="D175" i="17" s="1"/>
  <c r="S175" i="17" a="1"/>
  <c r="S175" i="17" s="1"/>
  <c r="K175" i="17" a="1"/>
  <c r="K175" i="17" s="1"/>
  <c r="T175" i="17" a="1"/>
  <c r="T175" i="17" s="1"/>
  <c r="L175" i="17" a="1"/>
  <c r="L175" i="17" s="1"/>
  <c r="M175" i="17" a="1"/>
  <c r="M175" i="17" s="1"/>
  <c r="E175" i="17" a="1"/>
  <c r="E175" i="17" s="1"/>
  <c r="R175" i="17" a="1"/>
  <c r="R175" i="17" s="1"/>
  <c r="F175" i="17" a="1"/>
  <c r="F175" i="17" s="1"/>
  <c r="G175" i="17" a="1"/>
  <c r="G175" i="17" s="1"/>
  <c r="H175" i="17" a="1"/>
  <c r="H175" i="17" s="1"/>
  <c r="I175" i="17" a="1"/>
  <c r="I175" i="17" s="1"/>
  <c r="J175" i="17" a="1"/>
  <c r="J175" i="17" s="1"/>
  <c r="N175" i="17" a="1"/>
  <c r="N175" i="17" s="1"/>
  <c r="Q175" i="17" a="1"/>
  <c r="Q175" i="17" s="1"/>
  <c r="O175" i="17" a="1"/>
  <c r="O175" i="17" s="1"/>
  <c r="P175" i="17" a="1"/>
  <c r="P175" i="17" s="1"/>
  <c r="B176" i="17"/>
  <c r="G178" i="19" l="1"/>
  <c r="E178" i="19"/>
  <c r="C178" i="19"/>
  <c r="F178" i="19"/>
  <c r="D178" i="19"/>
  <c r="C176" i="17"/>
  <c r="D176" i="17" s="1"/>
  <c r="K176" i="17" a="1"/>
  <c r="K176" i="17" s="1"/>
  <c r="L176" i="17" a="1"/>
  <c r="L176" i="17" s="1"/>
  <c r="E176" i="17" a="1"/>
  <c r="E176" i="17" s="1"/>
  <c r="M176" i="17" a="1"/>
  <c r="M176" i="17" s="1"/>
  <c r="F176" i="17" a="1"/>
  <c r="F176" i="17" s="1"/>
  <c r="N176" i="17" a="1"/>
  <c r="N176" i="17" s="1"/>
  <c r="Q176" i="17" a="1"/>
  <c r="Q176" i="17" s="1"/>
  <c r="R176" i="17" a="1"/>
  <c r="R176" i="17" s="1"/>
  <c r="G176" i="17" a="1"/>
  <c r="G176" i="17" s="1"/>
  <c r="S176" i="17" a="1"/>
  <c r="S176" i="17" s="1"/>
  <c r="H176" i="17" a="1"/>
  <c r="H176" i="17" s="1"/>
  <c r="I176" i="17" a="1"/>
  <c r="I176" i="17" s="1"/>
  <c r="P176" i="17" a="1"/>
  <c r="P176" i="17" s="1"/>
  <c r="O176" i="17" a="1"/>
  <c r="O176" i="17" s="1"/>
  <c r="T176" i="17" a="1"/>
  <c r="T176" i="17" s="1"/>
  <c r="J176" i="17" a="1"/>
  <c r="J176" i="17" s="1"/>
  <c r="B177" i="17"/>
  <c r="G179" i="19" l="1"/>
  <c r="F179" i="19"/>
  <c r="E179" i="19"/>
  <c r="D179" i="19"/>
  <c r="C179" i="19"/>
  <c r="C177" i="17"/>
  <c r="D177" i="17" s="1"/>
  <c r="E177" i="17" a="1"/>
  <c r="E177" i="17" s="1"/>
  <c r="O177" i="17" a="1"/>
  <c r="O177" i="17" s="1"/>
  <c r="F177" i="17" a="1"/>
  <c r="F177" i="17" s="1"/>
  <c r="P177" i="17" a="1"/>
  <c r="P177" i="17" s="1"/>
  <c r="G177" i="17" a="1"/>
  <c r="G177" i="17" s="1"/>
  <c r="Q177" i="17" a="1"/>
  <c r="Q177" i="17" s="1"/>
  <c r="H177" i="17" a="1"/>
  <c r="H177" i="17" s="1"/>
  <c r="R177" i="17" a="1"/>
  <c r="R177" i="17" s="1"/>
  <c r="S177" i="17" a="1"/>
  <c r="S177" i="17" s="1"/>
  <c r="N177" i="17" a="1"/>
  <c r="N177" i="17" s="1"/>
  <c r="I177" i="17" a="1"/>
  <c r="I177" i="17" s="1"/>
  <c r="J177" i="17" a="1"/>
  <c r="J177" i="17" s="1"/>
  <c r="K177" i="17" a="1"/>
  <c r="K177" i="17" s="1"/>
  <c r="L177" i="17" a="1"/>
  <c r="L177" i="17" s="1"/>
  <c r="M177" i="17" a="1"/>
  <c r="M177" i="17" s="1"/>
  <c r="T177" i="17" a="1"/>
  <c r="T177" i="17" s="1"/>
  <c r="B178" i="17"/>
  <c r="G180" i="19" l="1"/>
  <c r="E180" i="19"/>
  <c r="D180" i="19"/>
  <c r="C180" i="19"/>
  <c r="F180" i="19"/>
  <c r="C178" i="17"/>
  <c r="D178" i="17" s="1"/>
  <c r="P178" i="17" a="1"/>
  <c r="P178" i="17" s="1"/>
  <c r="G178" i="17" a="1"/>
  <c r="G178" i="17" s="1"/>
  <c r="Q178" i="17" a="1"/>
  <c r="Q178" i="17" s="1"/>
  <c r="H178" i="17" a="1"/>
  <c r="H178" i="17" s="1"/>
  <c r="R178" i="17" a="1"/>
  <c r="R178" i="17" s="1"/>
  <c r="I178" i="17" a="1"/>
  <c r="I178" i="17" s="1"/>
  <c r="S178" i="17" a="1"/>
  <c r="S178" i="17" s="1"/>
  <c r="N178" i="17" a="1"/>
  <c r="N178" i="17" s="1"/>
  <c r="O178" i="17" a="1"/>
  <c r="O178" i="17" s="1"/>
  <c r="T178" i="17" a="1"/>
  <c r="T178" i="17" s="1"/>
  <c r="M178" i="17" a="1"/>
  <c r="M178" i="17" s="1"/>
  <c r="J178" i="17" a="1"/>
  <c r="J178" i="17" s="1"/>
  <c r="K178" i="17" a="1"/>
  <c r="K178" i="17" s="1"/>
  <c r="L178" i="17" a="1"/>
  <c r="L178" i="17" s="1"/>
  <c r="F178" i="17" a="1"/>
  <c r="F178" i="17" s="1"/>
  <c r="E178" i="17" a="1"/>
  <c r="E178" i="17" s="1"/>
  <c r="B179" i="17"/>
  <c r="G181" i="19" l="1"/>
  <c r="F181" i="19"/>
  <c r="E181" i="19"/>
  <c r="D181" i="19"/>
  <c r="C181" i="19"/>
  <c r="C179" i="17"/>
  <c r="D179" i="17" s="1"/>
  <c r="J179" i="17" a="1"/>
  <c r="J179" i="17" s="1"/>
  <c r="K179" i="17" a="1"/>
  <c r="K179" i="17" s="1"/>
  <c r="T179" i="17" a="1"/>
  <c r="T179" i="17" s="1"/>
  <c r="L179" i="17" a="1"/>
  <c r="L179" i="17" s="1"/>
  <c r="S179" i="17" a="1"/>
  <c r="S179" i="17" s="1"/>
  <c r="N179" i="17" a="1"/>
  <c r="N179" i="17" s="1"/>
  <c r="O179" i="17" a="1"/>
  <c r="O179" i="17" s="1"/>
  <c r="P179" i="17" a="1"/>
  <c r="P179" i="17" s="1"/>
  <c r="E179" i="17" a="1"/>
  <c r="E179" i="17" s="1"/>
  <c r="Q179" i="17" a="1"/>
  <c r="Q179" i="17" s="1"/>
  <c r="R179" i="17" a="1"/>
  <c r="R179" i="17" s="1"/>
  <c r="F179" i="17" a="1"/>
  <c r="F179" i="17" s="1"/>
  <c r="G179" i="17" a="1"/>
  <c r="G179" i="17" s="1"/>
  <c r="M179" i="17" a="1"/>
  <c r="M179" i="17" s="1"/>
  <c r="H179" i="17" a="1"/>
  <c r="H179" i="17" s="1"/>
  <c r="I179" i="17" a="1"/>
  <c r="I179" i="17" s="1"/>
  <c r="B180" i="17"/>
  <c r="G182" i="19" l="1"/>
  <c r="F182" i="19"/>
  <c r="E182" i="19"/>
  <c r="D182" i="19"/>
  <c r="C182" i="19"/>
  <c r="C180" i="17"/>
  <c r="D180" i="17" s="1"/>
  <c r="N180" i="17" a="1"/>
  <c r="N180" i="17" s="1"/>
  <c r="E180" i="17" a="1"/>
  <c r="E180" i="17" s="1"/>
  <c r="O180" i="17" a="1"/>
  <c r="O180" i="17" s="1"/>
  <c r="F180" i="17" a="1"/>
  <c r="F180" i="17" s="1"/>
  <c r="P180" i="17" a="1"/>
  <c r="P180" i="17" s="1"/>
  <c r="M180" i="17" a="1"/>
  <c r="M180" i="17" s="1"/>
  <c r="L180" i="17" a="1"/>
  <c r="L180" i="17" s="1"/>
  <c r="Q180" i="17" a="1"/>
  <c r="Q180" i="17" s="1"/>
  <c r="R180" i="17" a="1"/>
  <c r="R180" i="17" s="1"/>
  <c r="S180" i="17" a="1"/>
  <c r="S180" i="17" s="1"/>
  <c r="G180" i="17" a="1"/>
  <c r="G180" i="17" s="1"/>
  <c r="T180" i="17" a="1"/>
  <c r="T180" i="17" s="1"/>
  <c r="H180" i="17" a="1"/>
  <c r="H180" i="17" s="1"/>
  <c r="K180" i="17" a="1"/>
  <c r="K180" i="17" s="1"/>
  <c r="I180" i="17" a="1"/>
  <c r="I180" i="17" s="1"/>
  <c r="J180" i="17" a="1"/>
  <c r="J180" i="17" s="1"/>
  <c r="B181" i="17"/>
  <c r="G183" i="19" l="1"/>
  <c r="F183" i="19"/>
  <c r="E183" i="19"/>
  <c r="D183" i="19"/>
  <c r="C183" i="19"/>
  <c r="C181" i="17"/>
  <c r="D181" i="17" s="1"/>
  <c r="F181" i="17" a="1"/>
  <c r="F181" i="17" s="1"/>
  <c r="O181" i="17" a="1"/>
  <c r="O181" i="17" s="1"/>
  <c r="G181" i="17" a="1"/>
  <c r="G181" i="17" s="1"/>
  <c r="P181" i="17" a="1"/>
  <c r="P181" i="17" s="1"/>
  <c r="H181" i="17" a="1"/>
  <c r="H181" i="17" s="1"/>
  <c r="Q181" i="17" a="1"/>
  <c r="Q181" i="17" s="1"/>
  <c r="E181" i="17" a="1"/>
  <c r="E181" i="17" s="1"/>
  <c r="N181" i="17" a="1"/>
  <c r="N181" i="17" s="1"/>
  <c r="K181" i="17" a="1"/>
  <c r="K181" i="17" s="1"/>
  <c r="L181" i="17" a="1"/>
  <c r="L181" i="17" s="1"/>
  <c r="M181" i="17" a="1"/>
  <c r="M181" i="17" s="1"/>
  <c r="R181" i="17" a="1"/>
  <c r="R181" i="17" s="1"/>
  <c r="S181" i="17" a="1"/>
  <c r="S181" i="17" s="1"/>
  <c r="T181" i="17" a="1"/>
  <c r="T181" i="17" s="1"/>
  <c r="J181" i="17" a="1"/>
  <c r="J181" i="17" s="1"/>
  <c r="I181" i="17" a="1"/>
  <c r="I181" i="17" s="1"/>
  <c r="B182" i="17"/>
  <c r="G184" i="19" l="1"/>
  <c r="E184" i="19"/>
  <c r="D184" i="19"/>
  <c r="C184" i="19"/>
  <c r="F184" i="19"/>
  <c r="C182" i="17"/>
  <c r="D182" i="17" s="1"/>
  <c r="H182" i="17" a="1"/>
  <c r="H182" i="17" s="1"/>
  <c r="O182" i="17" a="1"/>
  <c r="O182" i="17" s="1"/>
  <c r="I182" i="17" a="1"/>
  <c r="I182" i="17" s="1"/>
  <c r="P182" i="17" a="1"/>
  <c r="P182" i="17" s="1"/>
  <c r="J182" i="17" a="1"/>
  <c r="J182" i="17" s="1"/>
  <c r="Q182" i="17" a="1"/>
  <c r="Q182" i="17" s="1"/>
  <c r="G182" i="17" a="1"/>
  <c r="G182" i="17" s="1"/>
  <c r="N182" i="17" a="1"/>
  <c r="N182" i="17" s="1"/>
  <c r="L182" i="17" a="1"/>
  <c r="L182" i="17" s="1"/>
  <c r="M182" i="17" a="1"/>
  <c r="M182" i="17" s="1"/>
  <c r="R182" i="17" a="1"/>
  <c r="R182" i="17" s="1"/>
  <c r="S182" i="17" a="1"/>
  <c r="S182" i="17" s="1"/>
  <c r="K182" i="17" a="1"/>
  <c r="K182" i="17" s="1"/>
  <c r="T182" i="17" a="1"/>
  <c r="T182" i="17" s="1"/>
  <c r="E182" i="17" a="1"/>
  <c r="E182" i="17" s="1"/>
  <c r="F182" i="17" a="1"/>
  <c r="F182" i="17" s="1"/>
  <c r="B183" i="17"/>
  <c r="G185" i="19" l="1"/>
  <c r="E185" i="19"/>
  <c r="D185" i="19"/>
  <c r="F185" i="19"/>
  <c r="C185" i="19"/>
  <c r="C183" i="17"/>
  <c r="D183" i="17" s="1"/>
  <c r="I183" i="17" a="1"/>
  <c r="I183" i="17" s="1"/>
  <c r="S183" i="17" a="1"/>
  <c r="S183" i="17" s="1"/>
  <c r="J183" i="17" a="1"/>
  <c r="J183" i="17" s="1"/>
  <c r="T183" i="17" a="1"/>
  <c r="T183" i="17" s="1"/>
  <c r="K183" i="17" a="1"/>
  <c r="K183" i="17" s="1"/>
  <c r="H183" i="17" a="1"/>
  <c r="H183" i="17" s="1"/>
  <c r="R183" i="17" a="1"/>
  <c r="R183" i="17" s="1"/>
  <c r="G183" i="17" a="1"/>
  <c r="G183" i="17" s="1"/>
  <c r="L183" i="17" a="1"/>
  <c r="L183" i="17" s="1"/>
  <c r="M183" i="17" a="1"/>
  <c r="M183" i="17" s="1"/>
  <c r="N183" i="17" a="1"/>
  <c r="N183" i="17" s="1"/>
  <c r="O183" i="17" a="1"/>
  <c r="O183" i="17" s="1"/>
  <c r="P183" i="17" a="1"/>
  <c r="P183" i="17" s="1"/>
  <c r="Q183" i="17" a="1"/>
  <c r="Q183" i="17" s="1"/>
  <c r="F183" i="17" a="1"/>
  <c r="F183" i="17" s="1"/>
  <c r="E183" i="17" a="1"/>
  <c r="E183" i="17" s="1"/>
  <c r="B184" i="17"/>
  <c r="G186" i="19" l="1"/>
  <c r="E186" i="19"/>
  <c r="D186" i="19"/>
  <c r="C186" i="19"/>
  <c r="F186" i="19"/>
  <c r="C184" i="17"/>
  <c r="D184" i="17" s="1"/>
  <c r="K184" i="17" a="1"/>
  <c r="K184" i="17" s="1"/>
  <c r="L184" i="17" a="1"/>
  <c r="L184" i="17" s="1"/>
  <c r="M184" i="17" a="1"/>
  <c r="M184" i="17" s="1"/>
  <c r="J184" i="17" a="1"/>
  <c r="J184" i="17" s="1"/>
  <c r="T184" i="17" a="1"/>
  <c r="T184" i="17" s="1"/>
  <c r="G184" i="17" a="1"/>
  <c r="G184" i="17" s="1"/>
  <c r="H184" i="17" a="1"/>
  <c r="H184" i="17" s="1"/>
  <c r="I184" i="17" a="1"/>
  <c r="I184" i="17" s="1"/>
  <c r="N184" i="17" a="1"/>
  <c r="N184" i="17" s="1"/>
  <c r="O184" i="17" a="1"/>
  <c r="O184" i="17" s="1"/>
  <c r="P184" i="17" a="1"/>
  <c r="P184" i="17" s="1"/>
  <c r="Q184" i="17" a="1"/>
  <c r="Q184" i="17" s="1"/>
  <c r="F184" i="17" a="1"/>
  <c r="F184" i="17" s="1"/>
  <c r="E184" i="17" a="1"/>
  <c r="E184" i="17" s="1"/>
  <c r="R184" i="17" a="1"/>
  <c r="R184" i="17" s="1"/>
  <c r="S184" i="17" a="1"/>
  <c r="S184" i="17" s="1"/>
  <c r="B185" i="17"/>
  <c r="F187" i="19" l="1"/>
  <c r="G187" i="19"/>
  <c r="E187" i="19"/>
  <c r="C187" i="19"/>
  <c r="D187" i="19"/>
  <c r="C185" i="17"/>
  <c r="D185" i="17" s="1"/>
  <c r="K185" i="17" a="1"/>
  <c r="K185" i="17" s="1"/>
  <c r="R185" i="17" a="1"/>
  <c r="R185" i="17" s="1"/>
  <c r="E185" i="17" a="1"/>
  <c r="E185" i="17" s="1"/>
  <c r="L185" i="17" a="1"/>
  <c r="L185" i="17" s="1"/>
  <c r="S185" i="17" a="1"/>
  <c r="S185" i="17" s="1"/>
  <c r="F185" i="17" a="1"/>
  <c r="F185" i="17" s="1"/>
  <c r="M185" i="17" a="1"/>
  <c r="M185" i="17" s="1"/>
  <c r="T185" i="17" a="1"/>
  <c r="T185" i="17" s="1"/>
  <c r="H185" i="17" a="1"/>
  <c r="H185" i="17" s="1"/>
  <c r="P185" i="17" a="1"/>
  <c r="P185" i="17" s="1"/>
  <c r="I185" i="17" a="1"/>
  <c r="I185" i="17" s="1"/>
  <c r="Q185" i="17" a="1"/>
  <c r="Q185" i="17" s="1"/>
  <c r="J185" i="17" a="1"/>
  <c r="J185" i="17" s="1"/>
  <c r="G185" i="17" a="1"/>
  <c r="G185" i="17" s="1"/>
  <c r="O185" i="17" a="1"/>
  <c r="O185" i="17" s="1"/>
  <c r="N185" i="17" a="1"/>
  <c r="N185" i="17" s="1"/>
  <c r="B186" i="17"/>
  <c r="C188" i="19" l="1"/>
  <c r="F188" i="19"/>
  <c r="G188" i="19"/>
  <c r="E188" i="19"/>
  <c r="D188" i="19"/>
  <c r="C186" i="17"/>
  <c r="D186" i="17" s="1"/>
  <c r="L186" i="17" a="1"/>
  <c r="L186" i="17" s="1"/>
  <c r="T186" i="17" a="1"/>
  <c r="T186" i="17" s="1"/>
  <c r="M186" i="17" a="1"/>
  <c r="M186" i="17" s="1"/>
  <c r="N186" i="17" a="1"/>
  <c r="N186" i="17" s="1"/>
  <c r="O186" i="17" a="1"/>
  <c r="O186" i="17" s="1"/>
  <c r="E186" i="17" a="1"/>
  <c r="E186" i="17" s="1"/>
  <c r="P186" i="17" a="1"/>
  <c r="P186" i="17" s="1"/>
  <c r="F186" i="17" a="1"/>
  <c r="F186" i="17" s="1"/>
  <c r="Q186" i="17" a="1"/>
  <c r="Q186" i="17" s="1"/>
  <c r="G186" i="17" a="1"/>
  <c r="G186" i="17" s="1"/>
  <c r="R186" i="17" a="1"/>
  <c r="R186" i="17" s="1"/>
  <c r="H186" i="17" a="1"/>
  <c r="H186" i="17" s="1"/>
  <c r="S186" i="17" a="1"/>
  <c r="S186" i="17" s="1"/>
  <c r="K186" i="17" a="1"/>
  <c r="K186" i="17" s="1"/>
  <c r="I186" i="17" a="1"/>
  <c r="I186" i="17" s="1"/>
  <c r="J186" i="17" a="1"/>
  <c r="J186" i="17" s="1"/>
  <c r="B187" i="17"/>
  <c r="G189" i="19" l="1"/>
  <c r="F189" i="19"/>
  <c r="E189" i="19"/>
  <c r="D189" i="19"/>
  <c r="C189" i="19"/>
  <c r="C187" i="17"/>
  <c r="D187" i="17" s="1"/>
  <c r="M187" i="17" a="1"/>
  <c r="M187" i="17" s="1"/>
  <c r="E187" i="17" a="1"/>
  <c r="E187" i="17" s="1"/>
  <c r="N187" i="17" a="1"/>
  <c r="N187" i="17" s="1"/>
  <c r="F187" i="17" a="1"/>
  <c r="F187" i="17" s="1"/>
  <c r="O187" i="17" a="1"/>
  <c r="O187" i="17" s="1"/>
  <c r="J187" i="17" a="1"/>
  <c r="J187" i="17" s="1"/>
  <c r="T187" i="17" a="1"/>
  <c r="T187" i="17" s="1"/>
  <c r="K187" i="17" a="1"/>
  <c r="K187" i="17" s="1"/>
  <c r="L187" i="17" a="1"/>
  <c r="L187" i="17" s="1"/>
  <c r="P187" i="17" a="1"/>
  <c r="P187" i="17" s="1"/>
  <c r="Q187" i="17" a="1"/>
  <c r="Q187" i="17" s="1"/>
  <c r="I187" i="17" a="1"/>
  <c r="I187" i="17" s="1"/>
  <c r="S187" i="17" a="1"/>
  <c r="S187" i="17" s="1"/>
  <c r="R187" i="17" a="1"/>
  <c r="R187" i="17" s="1"/>
  <c r="G187" i="17" a="1"/>
  <c r="G187" i="17" s="1"/>
  <c r="H187" i="17" a="1"/>
  <c r="H187" i="17" s="1"/>
  <c r="B188" i="17"/>
  <c r="C190" i="19" l="1"/>
  <c r="D190" i="19"/>
  <c r="F190" i="19"/>
  <c r="G190" i="19"/>
  <c r="E190" i="19"/>
  <c r="C188" i="17"/>
  <c r="D188" i="17" s="1"/>
  <c r="K188" i="17" a="1"/>
  <c r="K188" i="17" s="1"/>
  <c r="R188" i="17" a="1"/>
  <c r="R188" i="17" s="1"/>
  <c r="E188" i="17" a="1"/>
  <c r="E188" i="17" s="1"/>
  <c r="L188" i="17" a="1"/>
  <c r="L188" i="17" s="1"/>
  <c r="S188" i="17" a="1"/>
  <c r="S188" i="17" s="1"/>
  <c r="M188" i="17" a="1"/>
  <c r="M188" i="17" s="1"/>
  <c r="T188" i="17" a="1"/>
  <c r="T188" i="17" s="1"/>
  <c r="F188" i="17" a="1"/>
  <c r="F188" i="17" s="1"/>
  <c r="P188" i="17" a="1"/>
  <c r="P188" i="17" s="1"/>
  <c r="G188" i="17" a="1"/>
  <c r="G188" i="17" s="1"/>
  <c r="Q188" i="17" a="1"/>
  <c r="Q188" i="17" s="1"/>
  <c r="H188" i="17" a="1"/>
  <c r="H188" i="17" s="1"/>
  <c r="I188" i="17" a="1"/>
  <c r="I188" i="17" s="1"/>
  <c r="O188" i="17" a="1"/>
  <c r="O188" i="17" s="1"/>
  <c r="J188" i="17" a="1"/>
  <c r="J188" i="17" s="1"/>
  <c r="N188" i="17" a="1"/>
  <c r="N188" i="17" s="1"/>
  <c r="B189" i="17"/>
  <c r="G191" i="19" l="1"/>
  <c r="F191" i="19"/>
  <c r="E191" i="19"/>
  <c r="D191" i="19"/>
  <c r="C191" i="19"/>
  <c r="C189" i="17"/>
  <c r="D189" i="17" s="1"/>
  <c r="R189" i="17" a="1"/>
  <c r="R189" i="17" s="1"/>
  <c r="K189" i="17" a="1"/>
  <c r="K189" i="17" s="1"/>
  <c r="S189" i="17" a="1"/>
  <c r="S189" i="17" s="1"/>
  <c r="I189" i="17" a="1"/>
  <c r="I189" i="17" s="1"/>
  <c r="T189" i="17" a="1"/>
  <c r="T189" i="17" s="1"/>
  <c r="J189" i="17" a="1"/>
  <c r="J189" i="17" s="1"/>
  <c r="L189" i="17" a="1"/>
  <c r="L189" i="17" s="1"/>
  <c r="M189" i="17" a="1"/>
  <c r="M189" i="17" s="1"/>
  <c r="N189" i="17" a="1"/>
  <c r="N189" i="17" s="1"/>
  <c r="E189" i="17" a="1"/>
  <c r="E189" i="17" s="1"/>
  <c r="F189" i="17" a="1"/>
  <c r="F189" i="17" s="1"/>
  <c r="O189" i="17" a="1"/>
  <c r="O189" i="17" s="1"/>
  <c r="G189" i="17" a="1"/>
  <c r="G189" i="17" s="1"/>
  <c r="H189" i="17" a="1"/>
  <c r="H189" i="17" s="1"/>
  <c r="P189" i="17" a="1"/>
  <c r="P189" i="17" s="1"/>
  <c r="Q189" i="17" a="1"/>
  <c r="Q189" i="17" s="1"/>
  <c r="B190" i="17"/>
  <c r="G192" i="19" l="1"/>
  <c r="F192" i="19"/>
  <c r="E192" i="19"/>
  <c r="D192" i="19"/>
  <c r="C192" i="19"/>
  <c r="C190" i="17"/>
  <c r="D190" i="17" s="1"/>
  <c r="I190" i="17" a="1"/>
  <c r="I190" i="17" s="1"/>
  <c r="P190" i="17" a="1"/>
  <c r="P190" i="17" s="1"/>
  <c r="J190" i="17" a="1"/>
  <c r="J190" i="17" s="1"/>
  <c r="Q190" i="17" a="1"/>
  <c r="Q190" i="17" s="1"/>
  <c r="K190" i="17" a="1"/>
  <c r="K190" i="17" s="1"/>
  <c r="R190" i="17" a="1"/>
  <c r="R190" i="17" s="1"/>
  <c r="N190" i="17" a="1"/>
  <c r="N190" i="17" s="1"/>
  <c r="E190" i="17" a="1"/>
  <c r="E190" i="17" s="1"/>
  <c r="O190" i="17" a="1"/>
  <c r="O190" i="17" s="1"/>
  <c r="F190" i="17" a="1"/>
  <c r="F190" i="17" s="1"/>
  <c r="S190" i="17" a="1"/>
  <c r="S190" i="17" s="1"/>
  <c r="G190" i="17" a="1"/>
  <c r="G190" i="17" s="1"/>
  <c r="T190" i="17" a="1"/>
  <c r="T190" i="17" s="1"/>
  <c r="H190" i="17" a="1"/>
  <c r="H190" i="17" s="1"/>
  <c r="L190" i="17" a="1"/>
  <c r="L190" i="17" s="1"/>
  <c r="M190" i="17" a="1"/>
  <c r="M190" i="17" s="1"/>
  <c r="B191" i="17"/>
  <c r="G193" i="19" l="1"/>
  <c r="F193" i="19"/>
  <c r="E193" i="19"/>
  <c r="D193" i="19"/>
  <c r="C193" i="19"/>
  <c r="C191" i="17"/>
  <c r="D191" i="17" s="1"/>
  <c r="O191" i="17" a="1"/>
  <c r="O191" i="17" s="1"/>
  <c r="H191" i="17" a="1"/>
  <c r="H191" i="17" s="1"/>
  <c r="P191" i="17" a="1"/>
  <c r="P191" i="17" s="1"/>
  <c r="Q191" i="17" a="1"/>
  <c r="Q191" i="17" s="1"/>
  <c r="I191" i="17" a="1"/>
  <c r="I191" i="17" s="1"/>
  <c r="S191" i="17" a="1"/>
  <c r="S191" i="17" s="1"/>
  <c r="J191" i="17" a="1"/>
  <c r="J191" i="17" s="1"/>
  <c r="T191" i="17" a="1"/>
  <c r="T191" i="17" s="1"/>
  <c r="K191" i="17" a="1"/>
  <c r="K191" i="17" s="1"/>
  <c r="L191" i="17" a="1"/>
  <c r="L191" i="17" s="1"/>
  <c r="M191" i="17" a="1"/>
  <c r="M191" i="17" s="1"/>
  <c r="E191" i="17" a="1"/>
  <c r="E191" i="17" s="1"/>
  <c r="N191" i="17" a="1"/>
  <c r="N191" i="17" s="1"/>
  <c r="G191" i="17" a="1"/>
  <c r="G191" i="17" s="1"/>
  <c r="F191" i="17" a="1"/>
  <c r="F191" i="17" s="1"/>
  <c r="R191" i="17" a="1"/>
  <c r="R191" i="17" s="1"/>
  <c r="B192" i="17"/>
  <c r="F194" i="19" l="1"/>
  <c r="D194" i="19"/>
  <c r="G194" i="19"/>
  <c r="C194" i="19"/>
  <c r="E194" i="19"/>
  <c r="C192" i="17"/>
  <c r="D192" i="17" s="1"/>
  <c r="F192" i="17" a="1"/>
  <c r="F192" i="17" s="1"/>
  <c r="G192" i="17" a="1"/>
  <c r="G192" i="17" s="1"/>
  <c r="N192" i="17" a="1"/>
  <c r="N192" i="17" s="1"/>
  <c r="H192" i="17" a="1"/>
  <c r="H192" i="17" s="1"/>
  <c r="O192" i="17" a="1"/>
  <c r="O192" i="17" s="1"/>
  <c r="M192" i="17" a="1"/>
  <c r="M192" i="17" s="1"/>
  <c r="P192" i="17" a="1"/>
  <c r="P192" i="17" s="1"/>
  <c r="Q192" i="17" a="1"/>
  <c r="Q192" i="17" s="1"/>
  <c r="E192" i="17" a="1"/>
  <c r="E192" i="17" s="1"/>
  <c r="I192" i="17" a="1"/>
  <c r="I192" i="17" s="1"/>
  <c r="R192" i="17" a="1"/>
  <c r="R192" i="17" s="1"/>
  <c r="J192" i="17" a="1"/>
  <c r="J192" i="17" s="1"/>
  <c r="S192" i="17" a="1"/>
  <c r="S192" i="17" s="1"/>
  <c r="T192" i="17" a="1"/>
  <c r="T192" i="17" s="1"/>
  <c r="K192" i="17" a="1"/>
  <c r="K192" i="17" s="1"/>
  <c r="L192" i="17" a="1"/>
  <c r="L192" i="17" s="1"/>
  <c r="B193" i="17"/>
  <c r="F195" i="19" l="1"/>
  <c r="D195" i="19"/>
  <c r="G195" i="19"/>
  <c r="C195" i="19"/>
  <c r="E195" i="19"/>
  <c r="C193" i="17"/>
  <c r="D193" i="17" s="1"/>
  <c r="E193" i="17" a="1"/>
  <c r="E193" i="17" s="1"/>
  <c r="P193" i="17" a="1"/>
  <c r="P193" i="17" s="1"/>
  <c r="K193" i="17" a="1"/>
  <c r="K193" i="17" s="1"/>
  <c r="Q193" i="17" a="1"/>
  <c r="Q193" i="17" s="1"/>
  <c r="F193" i="17" a="1"/>
  <c r="F193" i="17" s="1"/>
  <c r="L193" i="17" a="1"/>
  <c r="L193" i="17" s="1"/>
  <c r="H193" i="17" a="1"/>
  <c r="H193" i="17" s="1"/>
  <c r="O193" i="17" a="1"/>
  <c r="O193" i="17" s="1"/>
  <c r="I193" i="17" a="1"/>
  <c r="I193" i="17" s="1"/>
  <c r="R193" i="17" a="1"/>
  <c r="R193" i="17" s="1"/>
  <c r="J193" i="17" a="1"/>
  <c r="J193" i="17" s="1"/>
  <c r="S193" i="17" a="1"/>
  <c r="S193" i="17" s="1"/>
  <c r="M193" i="17" a="1"/>
  <c r="M193" i="17" s="1"/>
  <c r="T193" i="17" a="1"/>
  <c r="T193" i="17" s="1"/>
  <c r="N193" i="17" a="1"/>
  <c r="N193" i="17" s="1"/>
  <c r="G193" i="17" a="1"/>
  <c r="G193" i="17" s="1"/>
  <c r="B194" i="17"/>
  <c r="G196" i="19" l="1"/>
  <c r="E196" i="19"/>
  <c r="F196" i="19"/>
  <c r="D196" i="19"/>
  <c r="C196" i="19"/>
  <c r="C194" i="17"/>
  <c r="D194" i="17" s="1"/>
  <c r="F194" i="17" a="1"/>
  <c r="F194" i="17" s="1"/>
  <c r="Q194" i="17" a="1"/>
  <c r="Q194" i="17" s="1"/>
  <c r="L194" i="17" a="1"/>
  <c r="L194" i="17" s="1"/>
  <c r="G194" i="17" a="1"/>
  <c r="G194" i="17" s="1"/>
  <c r="R194" i="17" a="1"/>
  <c r="R194" i="17" s="1"/>
  <c r="H194" i="17" a="1"/>
  <c r="H194" i="17" s="1"/>
  <c r="O194" i="17" a="1"/>
  <c r="O194" i="17" s="1"/>
  <c r="P194" i="17" a="1"/>
  <c r="P194" i="17" s="1"/>
  <c r="I194" i="17" a="1"/>
  <c r="I194" i="17" s="1"/>
  <c r="J194" i="17" a="1"/>
  <c r="J194" i="17" s="1"/>
  <c r="S194" i="17" a="1"/>
  <c r="S194" i="17" s="1"/>
  <c r="K194" i="17" a="1"/>
  <c r="K194" i="17" s="1"/>
  <c r="M194" i="17" a="1"/>
  <c r="M194" i="17" s="1"/>
  <c r="T194" i="17" a="1"/>
  <c r="T194" i="17" s="1"/>
  <c r="E194" i="17" a="1"/>
  <c r="E194" i="17" s="1"/>
  <c r="N194" i="17" a="1"/>
  <c r="N194" i="17" s="1"/>
  <c r="B195" i="17"/>
  <c r="G197" i="19" l="1"/>
  <c r="E197" i="19"/>
  <c r="F197" i="19"/>
  <c r="C197" i="19"/>
  <c r="D197" i="19"/>
  <c r="C195" i="17"/>
  <c r="D195" i="17" s="1"/>
  <c r="L195" i="17" a="1"/>
  <c r="L195" i="17" s="1"/>
  <c r="G195" i="17" a="1"/>
  <c r="G195" i="17" s="1"/>
  <c r="R195" i="17" a="1"/>
  <c r="R195" i="17" s="1"/>
  <c r="M195" i="17" a="1"/>
  <c r="M195" i="17" s="1"/>
  <c r="H195" i="17" a="1"/>
  <c r="H195" i="17" s="1"/>
  <c r="P195" i="17" a="1"/>
  <c r="P195" i="17" s="1"/>
  <c r="I195" i="17" a="1"/>
  <c r="I195" i="17" s="1"/>
  <c r="J195" i="17" a="1"/>
  <c r="J195" i="17" s="1"/>
  <c r="Q195" i="17" a="1"/>
  <c r="Q195" i="17" s="1"/>
  <c r="S195" i="17" a="1"/>
  <c r="S195" i="17" s="1"/>
  <c r="K195" i="17" a="1"/>
  <c r="K195" i="17" s="1"/>
  <c r="T195" i="17" a="1"/>
  <c r="T195" i="17" s="1"/>
  <c r="F195" i="17" a="1"/>
  <c r="F195" i="17" s="1"/>
  <c r="O195" i="17" a="1"/>
  <c r="O195" i="17" s="1"/>
  <c r="E195" i="17" a="1"/>
  <c r="E195" i="17" s="1"/>
  <c r="N195" i="17" a="1"/>
  <c r="N195" i="17" s="1"/>
  <c r="B196" i="17"/>
  <c r="C198" i="19" l="1"/>
  <c r="G198" i="19"/>
  <c r="E198" i="19"/>
  <c r="F198" i="19"/>
  <c r="D198" i="19"/>
  <c r="C196" i="17"/>
  <c r="D196" i="17" s="1"/>
  <c r="G196" i="17" a="1"/>
  <c r="G196" i="17" s="1"/>
  <c r="R196" i="17" a="1"/>
  <c r="R196" i="17" s="1"/>
  <c r="M196" i="17" a="1"/>
  <c r="M196" i="17" s="1"/>
  <c r="S196" i="17" a="1"/>
  <c r="S196" i="17" s="1"/>
  <c r="H196" i="17" a="1"/>
  <c r="H196" i="17" s="1"/>
  <c r="N196" i="17" a="1"/>
  <c r="N196" i="17" s="1"/>
  <c r="I196" i="17" a="1"/>
  <c r="I196" i="17" s="1"/>
  <c r="P196" i="17" a="1"/>
  <c r="P196" i="17" s="1"/>
  <c r="J196" i="17" a="1"/>
  <c r="J196" i="17" s="1"/>
  <c r="Q196" i="17" a="1"/>
  <c r="Q196" i="17" s="1"/>
  <c r="K196" i="17" a="1"/>
  <c r="K196" i="17" s="1"/>
  <c r="T196" i="17" a="1"/>
  <c r="T196" i="17" s="1"/>
  <c r="F196" i="17" a="1"/>
  <c r="F196" i="17" s="1"/>
  <c r="O196" i="17" a="1"/>
  <c r="O196" i="17" s="1"/>
  <c r="L196" i="17" a="1"/>
  <c r="L196" i="17" s="1"/>
  <c r="E196" i="17" a="1"/>
  <c r="E196" i="17" s="1"/>
  <c r="B197" i="17"/>
  <c r="G199" i="19" l="1"/>
  <c r="F199" i="19"/>
  <c r="E199" i="19"/>
  <c r="D199" i="19"/>
  <c r="C199" i="19"/>
  <c r="C197" i="17"/>
  <c r="D197" i="17" s="1"/>
  <c r="H197" i="17" a="1"/>
  <c r="H197" i="17" s="1"/>
  <c r="N197" i="17" a="1"/>
  <c r="N197" i="17" s="1"/>
  <c r="T197" i="17" a="1"/>
  <c r="T197" i="17" s="1"/>
  <c r="I197" i="17" a="1"/>
  <c r="I197" i="17" s="1"/>
  <c r="O197" i="17" a="1"/>
  <c r="O197" i="17" s="1"/>
  <c r="G197" i="17" a="1"/>
  <c r="G197" i="17" s="1"/>
  <c r="Q197" i="17" a="1"/>
  <c r="Q197" i="17" s="1"/>
  <c r="R197" i="17" a="1"/>
  <c r="R197" i="17" s="1"/>
  <c r="J197" i="17" a="1"/>
  <c r="J197" i="17" s="1"/>
  <c r="K197" i="17" a="1"/>
  <c r="K197" i="17" s="1"/>
  <c r="S197" i="17" a="1"/>
  <c r="S197" i="17" s="1"/>
  <c r="L197" i="17" a="1"/>
  <c r="L197" i="17" s="1"/>
  <c r="F197" i="17" a="1"/>
  <c r="F197" i="17" s="1"/>
  <c r="P197" i="17" a="1"/>
  <c r="P197" i="17" s="1"/>
  <c r="E197" i="17" a="1"/>
  <c r="E197" i="17" s="1"/>
  <c r="M197" i="17" a="1"/>
  <c r="M197" i="17" s="1"/>
  <c r="B198" i="17"/>
  <c r="D200" i="19" l="1"/>
  <c r="G200" i="19"/>
  <c r="E200" i="19"/>
  <c r="C200" i="19"/>
  <c r="F200" i="19"/>
  <c r="C198" i="17"/>
  <c r="D198" i="17" s="1"/>
  <c r="Q198" i="17" a="1"/>
  <c r="Q198" i="17" s="1"/>
  <c r="E198" i="17" a="1"/>
  <c r="E198" i="17" s="1"/>
  <c r="K198" i="17" a="1"/>
  <c r="K198" i="17" s="1"/>
  <c r="L198" i="17" a="1"/>
  <c r="L198" i="17" s="1"/>
  <c r="R198" i="17" a="1"/>
  <c r="R198" i="17" s="1"/>
  <c r="I198" i="17" a="1"/>
  <c r="I198" i="17" s="1"/>
  <c r="S198" i="17" a="1"/>
  <c r="S198" i="17" s="1"/>
  <c r="J198" i="17" a="1"/>
  <c r="J198" i="17" s="1"/>
  <c r="T198" i="17" a="1"/>
  <c r="T198" i="17" s="1"/>
  <c r="M198" i="17" a="1"/>
  <c r="M198" i="17" s="1"/>
  <c r="F198" i="17" a="1"/>
  <c r="F198" i="17" s="1"/>
  <c r="N198" i="17" a="1"/>
  <c r="N198" i="17" s="1"/>
  <c r="H198" i="17" a="1"/>
  <c r="H198" i="17" s="1"/>
  <c r="P198" i="17" a="1"/>
  <c r="P198" i="17" s="1"/>
  <c r="O198" i="17" a="1"/>
  <c r="O198" i="17" s="1"/>
  <c r="G198" i="17" a="1"/>
  <c r="G198" i="17" s="1"/>
  <c r="B199" i="17"/>
  <c r="G201" i="19" l="1"/>
  <c r="F201" i="19"/>
  <c r="E201" i="19"/>
  <c r="D201" i="19"/>
  <c r="C201" i="19"/>
  <c r="C199" i="17"/>
  <c r="D199" i="17" s="1"/>
  <c r="G199" i="17" a="1"/>
  <c r="G199" i="17" s="1"/>
  <c r="N199" i="17" a="1"/>
  <c r="N199" i="17" s="1"/>
  <c r="O199" i="17" a="1"/>
  <c r="O199" i="17" s="1"/>
  <c r="H199" i="17" a="1"/>
  <c r="H199" i="17" s="1"/>
  <c r="P199" i="17" a="1"/>
  <c r="P199" i="17" s="1"/>
  <c r="T199" i="17" a="1"/>
  <c r="T199" i="17" s="1"/>
  <c r="L199" i="17" a="1"/>
  <c r="L199" i="17" s="1"/>
  <c r="M199" i="17" a="1"/>
  <c r="M199" i="17" s="1"/>
  <c r="E199" i="17" a="1"/>
  <c r="E199" i="17" s="1"/>
  <c r="F199" i="17" a="1"/>
  <c r="F199" i="17" s="1"/>
  <c r="Q199" i="17" a="1"/>
  <c r="Q199" i="17" s="1"/>
  <c r="K199" i="17" a="1"/>
  <c r="K199" i="17" s="1"/>
  <c r="I199" i="17" a="1"/>
  <c r="I199" i="17" s="1"/>
  <c r="J199" i="17" a="1"/>
  <c r="J199" i="17" s="1"/>
  <c r="R199" i="17" a="1"/>
  <c r="R199" i="17" s="1"/>
  <c r="S199" i="17" a="1"/>
  <c r="S199" i="17" s="1"/>
  <c r="B200" i="17"/>
  <c r="G202" i="19" l="1"/>
  <c r="F202" i="19"/>
  <c r="E202" i="19"/>
  <c r="D202" i="19"/>
  <c r="C202" i="19"/>
  <c r="C200" i="17"/>
  <c r="D200" i="17" s="1"/>
  <c r="E200" i="17" a="1"/>
  <c r="E200" i="17" s="1"/>
  <c r="K200" i="17" a="1"/>
  <c r="K200" i="17" s="1"/>
  <c r="R200" i="17" a="1"/>
  <c r="R200" i="17" s="1"/>
  <c r="S200" i="17" a="1"/>
  <c r="S200" i="17" s="1"/>
  <c r="F200" i="17" a="1"/>
  <c r="F200" i="17" s="1"/>
  <c r="L200" i="17" a="1"/>
  <c r="L200" i="17" s="1"/>
  <c r="T200" i="17" a="1"/>
  <c r="T200" i="17" s="1"/>
  <c r="N200" i="17" a="1"/>
  <c r="N200" i="17" s="1"/>
  <c r="H200" i="17" a="1"/>
  <c r="H200" i="17" s="1"/>
  <c r="O200" i="17" a="1"/>
  <c r="O200" i="17" s="1"/>
  <c r="G200" i="17" a="1"/>
  <c r="G200" i="17" s="1"/>
  <c r="P200" i="17" a="1"/>
  <c r="P200" i="17" s="1"/>
  <c r="Q200" i="17" a="1"/>
  <c r="Q200" i="17" s="1"/>
  <c r="I200" i="17" a="1"/>
  <c r="I200" i="17" s="1"/>
  <c r="J200" i="17" a="1"/>
  <c r="J200" i="17" s="1"/>
  <c r="M200" i="17" a="1"/>
  <c r="M200" i="17" s="1"/>
  <c r="B201" i="17"/>
  <c r="G203" i="19" l="1"/>
  <c r="F203" i="19"/>
  <c r="E203" i="19"/>
  <c r="D203" i="19"/>
  <c r="C203" i="19"/>
  <c r="C201" i="17"/>
  <c r="D201" i="17" s="1"/>
  <c r="J201" i="17" a="1"/>
  <c r="J201" i="17" s="1"/>
  <c r="R201" i="17" a="1"/>
  <c r="R201" i="17" s="1"/>
  <c r="S201" i="17" a="1"/>
  <c r="S201" i="17" s="1"/>
  <c r="K201" i="17" a="1"/>
  <c r="K201" i="17" s="1"/>
  <c r="T201" i="17" a="1"/>
  <c r="T201" i="17" s="1"/>
  <c r="H201" i="17" a="1"/>
  <c r="H201" i="17" s="1"/>
  <c r="I201" i="17" a="1"/>
  <c r="I201" i="17" s="1"/>
  <c r="L201" i="17" a="1"/>
  <c r="L201" i="17" s="1"/>
  <c r="M201" i="17" a="1"/>
  <c r="M201" i="17" s="1"/>
  <c r="E201" i="17" a="1"/>
  <c r="E201" i="17" s="1"/>
  <c r="N201" i="17" a="1"/>
  <c r="N201" i="17" s="1"/>
  <c r="O201" i="17" a="1"/>
  <c r="O201" i="17" s="1"/>
  <c r="P201" i="17" a="1"/>
  <c r="P201" i="17" s="1"/>
  <c r="Q201" i="17" a="1"/>
  <c r="Q201" i="17" s="1"/>
  <c r="F201" i="17" a="1"/>
  <c r="F201" i="17" s="1"/>
  <c r="G201" i="17" a="1"/>
  <c r="G201" i="17" s="1"/>
  <c r="B202" i="17"/>
  <c r="G204" i="19" l="1"/>
  <c r="E204" i="19"/>
  <c r="D204" i="19"/>
  <c r="C204" i="19"/>
  <c r="F204" i="19"/>
  <c r="C202" i="17"/>
  <c r="D202" i="17"/>
  <c r="L202" i="17" a="1"/>
  <c r="L202" i="17" s="1"/>
  <c r="M202" i="17" a="1"/>
  <c r="M202" i="17" s="1"/>
  <c r="N202" i="17" a="1"/>
  <c r="N202" i="17" s="1"/>
  <c r="F202" i="17" a="1"/>
  <c r="F202" i="17" s="1"/>
  <c r="R202" i="17" a="1"/>
  <c r="R202" i="17" s="1"/>
  <c r="G202" i="17" a="1"/>
  <c r="G202" i="17" s="1"/>
  <c r="S202" i="17" a="1"/>
  <c r="S202" i="17" s="1"/>
  <c r="I202" i="17" a="1"/>
  <c r="I202" i="17" s="1"/>
  <c r="H202" i="17" a="1"/>
  <c r="H202" i="17" s="1"/>
  <c r="T202" i="17" a="1"/>
  <c r="T202" i="17" s="1"/>
  <c r="J202" i="17" a="1"/>
  <c r="J202" i="17" s="1"/>
  <c r="K202" i="17" a="1"/>
  <c r="K202" i="17" s="1"/>
  <c r="O202" i="17" a="1"/>
  <c r="O202" i="17" s="1"/>
  <c r="E202" i="17" a="1"/>
  <c r="E202" i="17" s="1"/>
  <c r="Q202" i="17" a="1"/>
  <c r="Q202" i="17" s="1"/>
  <c r="P202" i="17" a="1"/>
  <c r="P202" i="17" s="1"/>
  <c r="B203" i="17"/>
  <c r="F205" i="19" l="1"/>
  <c r="G205" i="19"/>
  <c r="E205" i="19"/>
  <c r="D205" i="19"/>
  <c r="C205" i="19"/>
  <c r="C203" i="17"/>
  <c r="D203" i="17"/>
  <c r="E203" i="17" a="1"/>
  <c r="E203" i="17" s="1"/>
  <c r="N203" i="17" a="1"/>
  <c r="N203" i="17" s="1"/>
  <c r="O203" i="17" a="1"/>
  <c r="O203" i="17" s="1"/>
  <c r="F203" i="17" a="1"/>
  <c r="F203" i="17" s="1"/>
  <c r="P203" i="17" a="1"/>
  <c r="P203" i="17" s="1"/>
  <c r="Q203" i="17" a="1"/>
  <c r="Q203" i="17" s="1"/>
  <c r="T203" i="17" a="1"/>
  <c r="T203" i="17" s="1"/>
  <c r="R203" i="17" a="1"/>
  <c r="R203" i="17" s="1"/>
  <c r="S203" i="17" a="1"/>
  <c r="S203" i="17" s="1"/>
  <c r="G203" i="17" a="1"/>
  <c r="G203" i="17" s="1"/>
  <c r="H203" i="17" a="1"/>
  <c r="H203" i="17" s="1"/>
  <c r="I203" i="17" a="1"/>
  <c r="I203" i="17" s="1"/>
  <c r="J203" i="17" a="1"/>
  <c r="J203" i="17" s="1"/>
  <c r="M203" i="17" a="1"/>
  <c r="M203" i="17" s="1"/>
  <c r="K203" i="17" a="1"/>
  <c r="K203" i="17" s="1"/>
  <c r="L203" i="17" a="1"/>
  <c r="L203" i="17" s="1"/>
  <c r="B204" i="17"/>
  <c r="F206" i="19" l="1"/>
  <c r="G206" i="19"/>
  <c r="E206" i="19"/>
  <c r="D206" i="19"/>
  <c r="C206" i="19"/>
  <c r="D204" i="17"/>
  <c r="C204" i="17"/>
  <c r="H204" i="17" a="1"/>
  <c r="H204" i="17" s="1"/>
  <c r="P204" i="17" a="1"/>
  <c r="P204" i="17" s="1"/>
  <c r="I204" i="17" a="1"/>
  <c r="I204" i="17" s="1"/>
  <c r="Q204" i="17" a="1"/>
  <c r="Q204" i="17" s="1"/>
  <c r="R204" i="17" a="1"/>
  <c r="R204" i="17" s="1"/>
  <c r="M204" i="17" a="1"/>
  <c r="M204" i="17" s="1"/>
  <c r="N204" i="17" a="1"/>
  <c r="N204" i="17" s="1"/>
  <c r="O204" i="17" a="1"/>
  <c r="O204" i="17" s="1"/>
  <c r="E204" i="17" a="1"/>
  <c r="E204" i="17" s="1"/>
  <c r="S204" i="17" a="1"/>
  <c r="S204" i="17" s="1"/>
  <c r="F204" i="17" a="1"/>
  <c r="F204" i="17" s="1"/>
  <c r="T204" i="17" a="1"/>
  <c r="T204" i="17" s="1"/>
  <c r="G204" i="17" a="1"/>
  <c r="G204" i="17" s="1"/>
  <c r="L204" i="17" a="1"/>
  <c r="L204" i="17" s="1"/>
  <c r="J204" i="17" a="1"/>
  <c r="J204" i="17" s="1"/>
  <c r="K204" i="17" a="1"/>
  <c r="K204" i="17" s="1"/>
  <c r="B205" i="17"/>
  <c r="F207" i="19" l="1"/>
  <c r="G207" i="19"/>
  <c r="E207" i="19"/>
  <c r="C207" i="19"/>
  <c r="D207" i="19"/>
  <c r="D205" i="17"/>
  <c r="C205" i="17"/>
  <c r="J205" i="17" a="1"/>
  <c r="J205" i="17" s="1"/>
  <c r="S205" i="17" a="1"/>
  <c r="S205" i="17" s="1"/>
  <c r="K205" i="17" a="1"/>
  <c r="K205" i="17" s="1"/>
  <c r="T205" i="17" a="1"/>
  <c r="T205" i="17" s="1"/>
  <c r="L205" i="17" a="1"/>
  <c r="L205" i="17" s="1"/>
  <c r="I205" i="17" a="1"/>
  <c r="I205" i="17" s="1"/>
  <c r="M205" i="17" a="1"/>
  <c r="M205" i="17" s="1"/>
  <c r="O205" i="17" a="1"/>
  <c r="O205" i="17" s="1"/>
  <c r="N205" i="17" a="1"/>
  <c r="N205" i="17" s="1"/>
  <c r="P205" i="17" a="1"/>
  <c r="P205" i="17" s="1"/>
  <c r="Q205" i="17" a="1"/>
  <c r="Q205" i="17" s="1"/>
  <c r="E205" i="17" a="1"/>
  <c r="E205" i="17" s="1"/>
  <c r="R205" i="17" a="1"/>
  <c r="R205" i="17" s="1"/>
  <c r="H205" i="17" a="1"/>
  <c r="H205" i="17" s="1"/>
  <c r="F205" i="17" a="1"/>
  <c r="F205" i="17" s="1"/>
  <c r="G205" i="17" a="1"/>
  <c r="G205" i="17" s="1"/>
  <c r="B206" i="17"/>
  <c r="C208" i="19" l="1"/>
  <c r="F208" i="19"/>
  <c r="G208" i="19"/>
  <c r="D208" i="19"/>
  <c r="E208" i="19"/>
  <c r="C206" i="17"/>
  <c r="D206" i="17"/>
  <c r="L206" i="17" a="1"/>
  <c r="L206" i="17" s="1"/>
  <c r="M206" i="17" a="1"/>
  <c r="M206" i="17" s="1"/>
  <c r="E206" i="17" a="1"/>
  <c r="E206" i="17" s="1"/>
  <c r="N206" i="17" a="1"/>
  <c r="N206" i="17" s="1"/>
  <c r="T206" i="17" a="1"/>
  <c r="T206" i="17" s="1"/>
  <c r="J206" i="17" a="1"/>
  <c r="J206" i="17" s="1"/>
  <c r="H206" i="17" a="1"/>
  <c r="H206" i="17" s="1"/>
  <c r="I206" i="17" a="1"/>
  <c r="I206" i="17" s="1"/>
  <c r="K206" i="17" a="1"/>
  <c r="K206" i="17" s="1"/>
  <c r="O206" i="17" a="1"/>
  <c r="O206" i="17" s="1"/>
  <c r="P206" i="17" a="1"/>
  <c r="P206" i="17" s="1"/>
  <c r="G206" i="17" a="1"/>
  <c r="G206" i="17" s="1"/>
  <c r="S206" i="17" a="1"/>
  <c r="S206" i="17" s="1"/>
  <c r="Q206" i="17" a="1"/>
  <c r="Q206" i="17" s="1"/>
  <c r="R206" i="17" a="1"/>
  <c r="R206" i="17" s="1"/>
  <c r="F206" i="17" a="1"/>
  <c r="F206" i="17" s="1"/>
  <c r="B207" i="17"/>
  <c r="G209" i="19" l="1"/>
  <c r="F209" i="19"/>
  <c r="E209" i="19"/>
  <c r="D209" i="19"/>
  <c r="C209" i="19"/>
  <c r="D207" i="17"/>
  <c r="C207" i="17"/>
  <c r="F207" i="17" a="1"/>
  <c r="F207" i="17" s="1"/>
  <c r="O207" i="17" a="1"/>
  <c r="O207" i="17" s="1"/>
  <c r="G207" i="17" a="1"/>
  <c r="G207" i="17" s="1"/>
  <c r="P207" i="17" a="1"/>
  <c r="P207" i="17" s="1"/>
  <c r="H207" i="17" a="1"/>
  <c r="H207" i="17" s="1"/>
  <c r="Q207" i="17" a="1"/>
  <c r="Q207" i="17" s="1"/>
  <c r="S207" i="17" a="1"/>
  <c r="S207" i="17" s="1"/>
  <c r="E207" i="17" a="1"/>
  <c r="E207" i="17" s="1"/>
  <c r="T207" i="17" a="1"/>
  <c r="T207" i="17" s="1"/>
  <c r="I207" i="17" a="1"/>
  <c r="I207" i="17" s="1"/>
  <c r="J207" i="17" a="1"/>
  <c r="J207" i="17" s="1"/>
  <c r="K207" i="17" a="1"/>
  <c r="K207" i="17" s="1"/>
  <c r="L207" i="17" a="1"/>
  <c r="L207" i="17" s="1"/>
  <c r="R207" i="17" a="1"/>
  <c r="R207" i="17" s="1"/>
  <c r="N207" i="17" a="1"/>
  <c r="N207" i="17" s="1"/>
  <c r="M207" i="17" a="1"/>
  <c r="M207" i="17" s="1"/>
  <c r="B208" i="17"/>
  <c r="D210" i="19" l="1"/>
  <c r="F210" i="19"/>
  <c r="G210" i="19"/>
  <c r="E210" i="19"/>
  <c r="C210" i="19"/>
  <c r="D208" i="17"/>
  <c r="C208" i="17"/>
  <c r="I208" i="17" a="1"/>
  <c r="I208" i="17" s="1"/>
  <c r="S208" i="17" a="1"/>
  <c r="S208" i="17" s="1"/>
  <c r="J208" i="17" a="1"/>
  <c r="J208" i="17" s="1"/>
  <c r="T208" i="17" a="1"/>
  <c r="T208" i="17" s="1"/>
  <c r="K208" i="17" a="1"/>
  <c r="K208" i="17" s="1"/>
  <c r="P208" i="17" a="1"/>
  <c r="P208" i="17" s="1"/>
  <c r="Q208" i="17" a="1"/>
  <c r="Q208" i="17" s="1"/>
  <c r="F208" i="17" a="1"/>
  <c r="F208" i="17" s="1"/>
  <c r="E208" i="17" a="1"/>
  <c r="E208" i="17" s="1"/>
  <c r="R208" i="17" a="1"/>
  <c r="R208" i="17" s="1"/>
  <c r="G208" i="17" a="1"/>
  <c r="G208" i="17" s="1"/>
  <c r="H208" i="17" a="1"/>
  <c r="H208" i="17" s="1"/>
  <c r="L208" i="17" a="1"/>
  <c r="L208" i="17" s="1"/>
  <c r="O208" i="17" a="1"/>
  <c r="O208" i="17" s="1"/>
  <c r="M208" i="17" a="1"/>
  <c r="M208" i="17" s="1"/>
  <c r="N208" i="17" a="1"/>
  <c r="N208" i="17" s="1"/>
  <c r="B209" i="17"/>
  <c r="G211" i="19" l="1"/>
  <c r="F211" i="19"/>
  <c r="E211" i="19"/>
  <c r="D211" i="19"/>
  <c r="C211" i="19"/>
  <c r="D209" i="17"/>
  <c r="C209" i="17"/>
  <c r="L209" i="17" a="1"/>
  <c r="L209" i="17" s="1"/>
  <c r="M209" i="17" a="1"/>
  <c r="M209" i="17" s="1"/>
  <c r="N209" i="17" a="1"/>
  <c r="N209" i="17" s="1"/>
  <c r="O209" i="17" a="1"/>
  <c r="O209" i="17" s="1"/>
  <c r="E209" i="17" a="1"/>
  <c r="E209" i="17" s="1"/>
  <c r="P209" i="17" a="1"/>
  <c r="P209" i="17" s="1"/>
  <c r="S209" i="17" a="1"/>
  <c r="S209" i="17" s="1"/>
  <c r="Q209" i="17" a="1"/>
  <c r="Q209" i="17" s="1"/>
  <c r="R209" i="17" a="1"/>
  <c r="R209" i="17" s="1"/>
  <c r="F209" i="17" a="1"/>
  <c r="F209" i="17" s="1"/>
  <c r="G209" i="17" a="1"/>
  <c r="G209" i="17" s="1"/>
  <c r="T209" i="17" a="1"/>
  <c r="T209" i="17" s="1"/>
  <c r="H209" i="17" a="1"/>
  <c r="H209" i="17" s="1"/>
  <c r="K209" i="17" a="1"/>
  <c r="K209" i="17" s="1"/>
  <c r="I209" i="17" a="1"/>
  <c r="I209" i="17" s="1"/>
  <c r="J209" i="17" a="1"/>
  <c r="J209" i="17" s="1"/>
  <c r="B210" i="17"/>
  <c r="G212" i="19" l="1"/>
  <c r="F212" i="19"/>
  <c r="E212" i="19"/>
  <c r="D212" i="19"/>
  <c r="C212" i="19"/>
  <c r="C210" i="17"/>
  <c r="D210" i="17"/>
  <c r="F210" i="17" a="1"/>
  <c r="F210" i="17" s="1"/>
  <c r="O210" i="17" a="1"/>
  <c r="O210" i="17" s="1"/>
  <c r="G210" i="17" a="1"/>
  <c r="G210" i="17" s="1"/>
  <c r="P210" i="17" a="1"/>
  <c r="P210" i="17" s="1"/>
  <c r="H210" i="17" a="1"/>
  <c r="H210" i="17" s="1"/>
  <c r="Q210" i="17" a="1"/>
  <c r="Q210" i="17" s="1"/>
  <c r="L210" i="17" a="1"/>
  <c r="L210" i="17" s="1"/>
  <c r="R210" i="17" a="1"/>
  <c r="R210" i="17" s="1"/>
  <c r="M210" i="17" a="1"/>
  <c r="M210" i="17" s="1"/>
  <c r="N210" i="17" a="1"/>
  <c r="N210" i="17" s="1"/>
  <c r="S210" i="17" a="1"/>
  <c r="S210" i="17" s="1"/>
  <c r="E210" i="17" a="1"/>
  <c r="E210" i="17" s="1"/>
  <c r="T210" i="17" a="1"/>
  <c r="T210" i="17" s="1"/>
  <c r="K210" i="17" a="1"/>
  <c r="K210" i="17" s="1"/>
  <c r="I210" i="17" a="1"/>
  <c r="I210" i="17" s="1"/>
  <c r="J210" i="17" a="1"/>
  <c r="J210" i="17" s="1"/>
  <c r="B211" i="17"/>
  <c r="G213" i="19" l="1"/>
  <c r="F213" i="19"/>
  <c r="E213" i="19"/>
  <c r="D213" i="19"/>
  <c r="C213" i="19"/>
  <c r="C211" i="17"/>
  <c r="D211" i="17"/>
  <c r="I211" i="17" a="1"/>
  <c r="I211" i="17" s="1"/>
  <c r="S211" i="17" a="1"/>
  <c r="S211" i="17" s="1"/>
  <c r="J211" i="17" a="1"/>
  <c r="J211" i="17" s="1"/>
  <c r="T211" i="17" a="1"/>
  <c r="T211" i="17" s="1"/>
  <c r="K211" i="17" a="1"/>
  <c r="K211" i="17" s="1"/>
  <c r="H211" i="17" a="1"/>
  <c r="H211" i="17" s="1"/>
  <c r="N211" i="17" a="1"/>
  <c r="N211" i="17" s="1"/>
  <c r="L211" i="17" a="1"/>
  <c r="L211" i="17" s="1"/>
  <c r="M211" i="17" a="1"/>
  <c r="M211" i="17" s="1"/>
  <c r="O211" i="17" a="1"/>
  <c r="O211" i="17" s="1"/>
  <c r="P211" i="17" a="1"/>
  <c r="P211" i="17" s="1"/>
  <c r="Q211" i="17" a="1"/>
  <c r="Q211" i="17" s="1"/>
  <c r="G211" i="17" a="1"/>
  <c r="G211" i="17" s="1"/>
  <c r="E211" i="17" a="1"/>
  <c r="E211" i="17" s="1"/>
  <c r="F211" i="17" a="1"/>
  <c r="F211" i="17" s="1"/>
  <c r="R211" i="17" a="1"/>
  <c r="R211" i="17" s="1"/>
  <c r="B212" i="17"/>
  <c r="G214" i="19" l="1"/>
  <c r="E214" i="19"/>
  <c r="F214" i="19"/>
  <c r="D214" i="19"/>
  <c r="C214" i="19"/>
  <c r="C212" i="17"/>
  <c r="D212" i="17"/>
  <c r="M212" i="17" a="1"/>
  <c r="M212" i="17" s="1"/>
  <c r="N212" i="17" a="1"/>
  <c r="N212" i="17" s="1"/>
  <c r="E212" i="17" a="1"/>
  <c r="E212" i="17" s="1"/>
  <c r="O212" i="17" a="1"/>
  <c r="O212" i="17" s="1"/>
  <c r="H212" i="17" a="1"/>
  <c r="H212" i="17" s="1"/>
  <c r="T212" i="17" a="1"/>
  <c r="T212" i="17" s="1"/>
  <c r="L212" i="17" a="1"/>
  <c r="L212" i="17" s="1"/>
  <c r="I212" i="17" a="1"/>
  <c r="I212" i="17" s="1"/>
  <c r="J212" i="17" a="1"/>
  <c r="J212" i="17" s="1"/>
  <c r="K212" i="17" a="1"/>
  <c r="K212" i="17" s="1"/>
  <c r="P212" i="17" a="1"/>
  <c r="P212" i="17" s="1"/>
  <c r="Q212" i="17" a="1"/>
  <c r="Q212" i="17" s="1"/>
  <c r="G212" i="17" a="1"/>
  <c r="G212" i="17" s="1"/>
  <c r="S212" i="17" a="1"/>
  <c r="S212" i="17" s="1"/>
  <c r="F212" i="17" a="1"/>
  <c r="F212" i="17" s="1"/>
  <c r="R212" i="17" a="1"/>
  <c r="R212" i="17" s="1"/>
  <c r="B213" i="17"/>
  <c r="G215" i="19" l="1"/>
  <c r="E215" i="19"/>
  <c r="F215" i="19"/>
  <c r="D215" i="19"/>
  <c r="C215" i="19"/>
  <c r="C213" i="17"/>
  <c r="D213" i="17"/>
  <c r="N213" i="17" a="1"/>
  <c r="N213" i="17" s="1"/>
  <c r="F213" i="17" a="1"/>
  <c r="F213" i="17" s="1"/>
  <c r="O213" i="17" a="1"/>
  <c r="O213" i="17" s="1"/>
  <c r="G213" i="17" a="1"/>
  <c r="G213" i="17" s="1"/>
  <c r="Q213" i="17" a="1"/>
  <c r="Q213" i="17" s="1"/>
  <c r="I213" i="17" a="1"/>
  <c r="I213" i="17" s="1"/>
  <c r="E213" i="17" a="1"/>
  <c r="E213" i="17" s="1"/>
  <c r="R213" i="17" a="1"/>
  <c r="R213" i="17" s="1"/>
  <c r="T213" i="17" a="1"/>
  <c r="T213" i="17" s="1"/>
  <c r="J213" i="17" a="1"/>
  <c r="J213" i="17" s="1"/>
  <c r="H213" i="17" a="1"/>
  <c r="H213" i="17" s="1"/>
  <c r="S213" i="17" a="1"/>
  <c r="S213" i="17" s="1"/>
  <c r="K213" i="17" a="1"/>
  <c r="K213" i="17" s="1"/>
  <c r="L213" i="17" a="1"/>
  <c r="L213" i="17" s="1"/>
  <c r="P213" i="17" a="1"/>
  <c r="P213" i="17" s="1"/>
  <c r="M213" i="17" a="1"/>
  <c r="M213" i="17" s="1"/>
  <c r="B214" i="17"/>
  <c r="G216" i="19" l="1"/>
  <c r="E216" i="19"/>
  <c r="F216" i="19"/>
  <c r="D216" i="19"/>
  <c r="C216" i="19"/>
  <c r="D214" i="17"/>
  <c r="C214" i="17"/>
  <c r="F214" i="17" a="1"/>
  <c r="F214" i="17" s="1"/>
  <c r="M214" i="17" a="1"/>
  <c r="M214" i="17" s="1"/>
  <c r="N214" i="17" a="1"/>
  <c r="N214" i="17" s="1"/>
  <c r="G214" i="17" a="1"/>
  <c r="G214" i="17" s="1"/>
  <c r="O214" i="17" a="1"/>
  <c r="O214" i="17" s="1"/>
  <c r="K214" i="17" a="1"/>
  <c r="K214" i="17" s="1"/>
  <c r="L214" i="17" a="1"/>
  <c r="L214" i="17" s="1"/>
  <c r="P214" i="17" a="1"/>
  <c r="P214" i="17" s="1"/>
  <c r="E214" i="17" a="1"/>
  <c r="E214" i="17" s="1"/>
  <c r="Q214" i="17" a="1"/>
  <c r="Q214" i="17" s="1"/>
  <c r="H214" i="17" a="1"/>
  <c r="H214" i="17" s="1"/>
  <c r="R214" i="17" a="1"/>
  <c r="R214" i="17" s="1"/>
  <c r="J214" i="17" a="1"/>
  <c r="J214" i="17" s="1"/>
  <c r="S214" i="17" a="1"/>
  <c r="S214" i="17" s="1"/>
  <c r="T214" i="17" a="1"/>
  <c r="T214" i="17" s="1"/>
  <c r="I214" i="17" a="1"/>
  <c r="I214" i="17" s="1"/>
  <c r="B215" i="17"/>
  <c r="G217" i="19" l="1"/>
  <c r="E217" i="19"/>
  <c r="F217" i="19"/>
  <c r="D217" i="19"/>
  <c r="C217" i="19"/>
  <c r="D215" i="17"/>
  <c r="C215" i="17"/>
  <c r="F215" i="17" a="1"/>
  <c r="F215" i="17" s="1"/>
  <c r="O215" i="17" a="1"/>
  <c r="O215" i="17" s="1"/>
  <c r="G215" i="17" a="1"/>
  <c r="G215" i="17" s="1"/>
  <c r="H215" i="17" a="1"/>
  <c r="H215" i="17" s="1"/>
  <c r="P215" i="17" a="1"/>
  <c r="P215" i="17" s="1"/>
  <c r="I215" i="17" a="1"/>
  <c r="I215" i="17" s="1"/>
  <c r="T215" i="17" a="1"/>
  <c r="T215" i="17" s="1"/>
  <c r="L215" i="17" a="1"/>
  <c r="L215" i="17" s="1"/>
  <c r="J215" i="17" a="1"/>
  <c r="J215" i="17" s="1"/>
  <c r="K215" i="17" a="1"/>
  <c r="K215" i="17" s="1"/>
  <c r="M215" i="17" a="1"/>
  <c r="M215" i="17" s="1"/>
  <c r="N215" i="17" a="1"/>
  <c r="N215" i="17" s="1"/>
  <c r="E215" i="17" a="1"/>
  <c r="E215" i="17" s="1"/>
  <c r="S215" i="17" a="1"/>
  <c r="S215" i="17" s="1"/>
  <c r="R215" i="17" a="1"/>
  <c r="R215" i="17" s="1"/>
  <c r="Q215" i="17" a="1"/>
  <c r="Q215" i="17" s="1"/>
  <c r="B216" i="17"/>
  <c r="C218" i="19" l="1"/>
  <c r="G218" i="19"/>
  <c r="E218" i="19"/>
  <c r="F218" i="19"/>
  <c r="D218" i="19"/>
  <c r="D216" i="17"/>
  <c r="C216" i="17"/>
  <c r="F216" i="17" a="1"/>
  <c r="F216" i="17" s="1"/>
  <c r="M216" i="17" a="1"/>
  <c r="M216" i="17" s="1"/>
  <c r="G216" i="17" a="1"/>
  <c r="G216" i="17" s="1"/>
  <c r="N216" i="17" a="1"/>
  <c r="N216" i="17" s="1"/>
  <c r="H216" i="17" a="1"/>
  <c r="H216" i="17" s="1"/>
  <c r="O216" i="17" a="1"/>
  <c r="O216" i="17" s="1"/>
  <c r="Q216" i="17" a="1"/>
  <c r="Q216" i="17" s="1"/>
  <c r="E216" i="17" a="1"/>
  <c r="E216" i="17" s="1"/>
  <c r="P216" i="17" a="1"/>
  <c r="P216" i="17" s="1"/>
  <c r="I216" i="17" a="1"/>
  <c r="I216" i="17" s="1"/>
  <c r="L216" i="17" a="1"/>
  <c r="L216" i="17" s="1"/>
  <c r="J216" i="17" a="1"/>
  <c r="J216" i="17" s="1"/>
  <c r="S216" i="17" a="1"/>
  <c r="S216" i="17" s="1"/>
  <c r="T216" i="17" a="1"/>
  <c r="T216" i="17" s="1"/>
  <c r="K216" i="17" a="1"/>
  <c r="K216" i="17" s="1"/>
  <c r="R216" i="17" a="1"/>
  <c r="R216" i="17" s="1"/>
  <c r="B217" i="17"/>
  <c r="G219" i="19" l="1"/>
  <c r="F219" i="19"/>
  <c r="E219" i="19"/>
  <c r="D219" i="19"/>
  <c r="C219" i="19"/>
  <c r="D217" i="17"/>
  <c r="C217" i="17"/>
  <c r="M217" i="17" a="1"/>
  <c r="M217" i="17" s="1"/>
  <c r="E217" i="17" a="1"/>
  <c r="E217" i="17" s="1"/>
  <c r="T217" i="17" a="1"/>
  <c r="T217" i="17" s="1"/>
  <c r="F217" i="17" a="1"/>
  <c r="F217" i="17" s="1"/>
  <c r="N217" i="17" a="1"/>
  <c r="N217" i="17" s="1"/>
  <c r="L217" i="17" a="1"/>
  <c r="L217" i="17" s="1"/>
  <c r="I217" i="17" a="1"/>
  <c r="I217" i="17" s="1"/>
  <c r="S217" i="17" a="1"/>
  <c r="S217" i="17" s="1"/>
  <c r="K217" i="17" a="1"/>
  <c r="K217" i="17" s="1"/>
  <c r="J217" i="17" a="1"/>
  <c r="J217" i="17" s="1"/>
  <c r="H217" i="17" a="1"/>
  <c r="H217" i="17" s="1"/>
  <c r="R217" i="17" a="1"/>
  <c r="R217" i="17" s="1"/>
  <c r="G217" i="17" a="1"/>
  <c r="G217" i="17" s="1"/>
  <c r="P217" i="17" a="1"/>
  <c r="P217" i="17" s="1"/>
  <c r="O217" i="17" a="1"/>
  <c r="O217" i="17" s="1"/>
  <c r="Q217" i="17" a="1"/>
  <c r="Q217" i="17" s="1"/>
  <c r="B218" i="17"/>
  <c r="F220" i="19" l="1"/>
  <c r="D220" i="19"/>
  <c r="G220" i="19"/>
  <c r="E220" i="19"/>
  <c r="C220" i="19"/>
  <c r="D218" i="17"/>
  <c r="C218" i="17"/>
  <c r="J218" i="17" a="1"/>
  <c r="J218" i="17" s="1"/>
  <c r="R218" i="17" a="1"/>
  <c r="R218" i="17" s="1"/>
  <c r="K218" i="17" a="1"/>
  <c r="K218" i="17" s="1"/>
  <c r="S218" i="17" a="1"/>
  <c r="S218" i="17" s="1"/>
  <c r="E218" i="17" a="1"/>
  <c r="E218" i="17" s="1"/>
  <c r="L218" i="17" a="1"/>
  <c r="L218" i="17" s="1"/>
  <c r="T218" i="17" a="1"/>
  <c r="T218" i="17" s="1"/>
  <c r="N218" i="17" a="1"/>
  <c r="N218" i="17" s="1"/>
  <c r="Q218" i="17" a="1"/>
  <c r="Q218" i="17" s="1"/>
  <c r="O218" i="17" a="1"/>
  <c r="O218" i="17" s="1"/>
  <c r="P218" i="17" a="1"/>
  <c r="P218" i="17" s="1"/>
  <c r="G218" i="17" a="1"/>
  <c r="G218" i="17" s="1"/>
  <c r="M218" i="17" a="1"/>
  <c r="M218" i="17" s="1"/>
  <c r="F218" i="17" a="1"/>
  <c r="F218" i="17" s="1"/>
  <c r="I218" i="17" a="1"/>
  <c r="I218" i="17" s="1"/>
  <c r="H218" i="17" a="1"/>
  <c r="H218" i="17" s="1"/>
  <c r="B219" i="17"/>
  <c r="G221" i="19" l="1"/>
  <c r="F221" i="19"/>
  <c r="E221" i="19"/>
  <c r="D221" i="19"/>
  <c r="C221" i="19"/>
  <c r="D219" i="17"/>
  <c r="C219" i="17"/>
  <c r="J219" i="17" a="1"/>
  <c r="J219" i="17" s="1"/>
  <c r="K219" i="17" a="1"/>
  <c r="K219" i="17" s="1"/>
  <c r="Q219" i="17" a="1"/>
  <c r="Q219" i="17" s="1"/>
  <c r="R219" i="17" a="1"/>
  <c r="R219" i="17" s="1"/>
  <c r="S219" i="17" a="1"/>
  <c r="S219" i="17" s="1"/>
  <c r="L219" i="17" a="1"/>
  <c r="L219" i="17" s="1"/>
  <c r="H219" i="17" a="1"/>
  <c r="H219" i="17" s="1"/>
  <c r="I219" i="17" a="1"/>
  <c r="I219" i="17" s="1"/>
  <c r="T219" i="17" a="1"/>
  <c r="T219" i="17" s="1"/>
  <c r="G219" i="17" a="1"/>
  <c r="G219" i="17" s="1"/>
  <c r="P219" i="17" a="1"/>
  <c r="P219" i="17" s="1"/>
  <c r="E219" i="17" a="1"/>
  <c r="E219" i="17" s="1"/>
  <c r="M219" i="17" a="1"/>
  <c r="M219" i="17" s="1"/>
  <c r="F219" i="17" a="1"/>
  <c r="F219" i="17" s="1"/>
  <c r="N219" i="17" a="1"/>
  <c r="N219" i="17" s="1"/>
  <c r="O219" i="17" a="1"/>
  <c r="O219" i="17" s="1"/>
  <c r="B220" i="17"/>
  <c r="G222" i="19" l="1"/>
  <c r="F222" i="19"/>
  <c r="E222" i="19"/>
  <c r="D222" i="19"/>
  <c r="C222" i="19"/>
  <c r="C220" i="17"/>
  <c r="D220" i="17"/>
  <c r="H220" i="17" a="1"/>
  <c r="H220" i="17" s="1"/>
  <c r="P220" i="17" a="1"/>
  <c r="P220" i="17" s="1"/>
  <c r="I220" i="17" a="1"/>
  <c r="I220" i="17" s="1"/>
  <c r="J220" i="17" a="1"/>
  <c r="J220" i="17" s="1"/>
  <c r="Q220" i="17" a="1"/>
  <c r="Q220" i="17" s="1"/>
  <c r="M220" i="17" a="1"/>
  <c r="M220" i="17" s="1"/>
  <c r="N220" i="17" a="1"/>
  <c r="N220" i="17" s="1"/>
  <c r="R220" i="17" a="1"/>
  <c r="R220" i="17" s="1"/>
  <c r="O220" i="17" a="1"/>
  <c r="O220" i="17" s="1"/>
  <c r="E220" i="17" a="1"/>
  <c r="E220" i="17" s="1"/>
  <c r="F220" i="17" a="1"/>
  <c r="F220" i="17" s="1"/>
  <c r="L220" i="17" a="1"/>
  <c r="L220" i="17" s="1"/>
  <c r="K220" i="17" a="1"/>
  <c r="K220" i="17" s="1"/>
  <c r="G220" i="17" a="1"/>
  <c r="G220" i="17" s="1"/>
  <c r="S220" i="17" a="1"/>
  <c r="S220" i="17" s="1"/>
  <c r="T220" i="17" a="1"/>
  <c r="T220" i="17" s="1"/>
  <c r="B221" i="17"/>
  <c r="G223" i="19" l="1"/>
  <c r="F223" i="19"/>
  <c r="E223" i="19"/>
  <c r="D223" i="19"/>
  <c r="C223" i="19"/>
  <c r="C221" i="17"/>
  <c r="D221" i="17"/>
  <c r="G221" i="17" a="1"/>
  <c r="G221" i="17" s="1"/>
  <c r="N221" i="17" a="1"/>
  <c r="N221" i="17" s="1"/>
  <c r="O221" i="17" a="1"/>
  <c r="O221" i="17" s="1"/>
  <c r="H221" i="17" a="1"/>
  <c r="H221" i="17" s="1"/>
  <c r="F221" i="17" a="1"/>
  <c r="F221" i="17" s="1"/>
  <c r="R221" i="17" a="1"/>
  <c r="R221" i="17" s="1"/>
  <c r="I221" i="17" a="1"/>
  <c r="I221" i="17" s="1"/>
  <c r="J221" i="17" a="1"/>
  <c r="J221" i="17" s="1"/>
  <c r="S221" i="17" a="1"/>
  <c r="S221" i="17" s="1"/>
  <c r="T221" i="17" a="1"/>
  <c r="T221" i="17" s="1"/>
  <c r="Q221" i="17" a="1"/>
  <c r="Q221" i="17" s="1"/>
  <c r="K221" i="17" a="1"/>
  <c r="K221" i="17" s="1"/>
  <c r="M221" i="17" a="1"/>
  <c r="M221" i="17" s="1"/>
  <c r="P221" i="17" a="1"/>
  <c r="P221" i="17" s="1"/>
  <c r="E221" i="17" a="1"/>
  <c r="E221" i="17" s="1"/>
  <c r="L221" i="17" a="1"/>
  <c r="L221" i="17" s="1"/>
  <c r="B222" i="17"/>
  <c r="F224" i="19" l="1"/>
  <c r="D224" i="19"/>
  <c r="G224" i="19"/>
  <c r="E224" i="19"/>
  <c r="C224" i="19"/>
  <c r="D222" i="17"/>
  <c r="C222" i="17"/>
  <c r="F222" i="17" a="1"/>
  <c r="F222" i="17" s="1"/>
  <c r="G222" i="17" a="1"/>
  <c r="G222" i="17" s="1"/>
  <c r="N222" i="17" a="1"/>
  <c r="N222" i="17" s="1"/>
  <c r="T222" i="17" a="1"/>
  <c r="T222" i="17" s="1"/>
  <c r="H222" i="17" a="1"/>
  <c r="H222" i="17" s="1"/>
  <c r="L222" i="17" a="1"/>
  <c r="L222" i="17" s="1"/>
  <c r="M222" i="17" a="1"/>
  <c r="M222" i="17" s="1"/>
  <c r="P222" i="17" a="1"/>
  <c r="P222" i="17" s="1"/>
  <c r="O222" i="17" a="1"/>
  <c r="O222" i="17" s="1"/>
  <c r="E222" i="17" a="1"/>
  <c r="E222" i="17" s="1"/>
  <c r="K222" i="17" a="1"/>
  <c r="K222" i="17" s="1"/>
  <c r="I222" i="17" a="1"/>
  <c r="I222" i="17" s="1"/>
  <c r="J222" i="17" a="1"/>
  <c r="J222" i="17" s="1"/>
  <c r="Q222" i="17" a="1"/>
  <c r="Q222" i="17" s="1"/>
  <c r="R222" i="17" a="1"/>
  <c r="R222" i="17" s="1"/>
  <c r="S222" i="17" a="1"/>
  <c r="S222" i="17" s="1"/>
  <c r="B223" i="17"/>
  <c r="F225" i="19" l="1"/>
  <c r="D225" i="19"/>
  <c r="G225" i="19"/>
  <c r="E225" i="19"/>
  <c r="C225" i="19"/>
  <c r="D223" i="17"/>
  <c r="C223" i="17"/>
  <c r="J223" i="17" a="1"/>
  <c r="J223" i="17" s="1"/>
  <c r="Q223" i="17" a="1"/>
  <c r="Q223" i="17" s="1"/>
  <c r="E223" i="17" a="1"/>
  <c r="E223" i="17" s="1"/>
  <c r="K223" i="17" a="1"/>
  <c r="K223" i="17" s="1"/>
  <c r="R223" i="17" a="1"/>
  <c r="R223" i="17" s="1"/>
  <c r="F223" i="17" a="1"/>
  <c r="F223" i="17" s="1"/>
  <c r="O223" i="17" a="1"/>
  <c r="O223" i="17" s="1"/>
  <c r="G223" i="17" a="1"/>
  <c r="G223" i="17" s="1"/>
  <c r="I223" i="17" a="1"/>
  <c r="I223" i="17" s="1"/>
  <c r="H223" i="17" a="1"/>
  <c r="H223" i="17" s="1"/>
  <c r="P223" i="17" a="1"/>
  <c r="P223" i="17" s="1"/>
  <c r="S223" i="17" a="1"/>
  <c r="S223" i="17" s="1"/>
  <c r="N223" i="17" a="1"/>
  <c r="N223" i="17" s="1"/>
  <c r="M223" i="17" a="1"/>
  <c r="M223" i="17" s="1"/>
  <c r="T223" i="17" a="1"/>
  <c r="T223" i="17" s="1"/>
  <c r="L223" i="17" a="1"/>
  <c r="L223" i="17" s="1"/>
  <c r="B224" i="17"/>
  <c r="F226" i="19" l="1"/>
  <c r="D226" i="19"/>
  <c r="E226" i="19"/>
  <c r="C226" i="19"/>
  <c r="G226" i="19"/>
  <c r="D224" i="17"/>
  <c r="C224" i="17"/>
  <c r="G224" i="17" a="1"/>
  <c r="G224" i="17" s="1"/>
  <c r="N224" i="17" a="1"/>
  <c r="N224" i="17" s="1"/>
  <c r="T224" i="17" a="1"/>
  <c r="T224" i="17" s="1"/>
  <c r="H224" i="17" a="1"/>
  <c r="H224" i="17" s="1"/>
  <c r="O224" i="17" a="1"/>
  <c r="O224" i="17" s="1"/>
  <c r="I224" i="17" a="1"/>
  <c r="I224" i="17" s="1"/>
  <c r="J224" i="17" a="1"/>
  <c r="J224" i="17" s="1"/>
  <c r="S224" i="17" a="1"/>
  <c r="S224" i="17" s="1"/>
  <c r="R224" i="17" a="1"/>
  <c r="R224" i="17" s="1"/>
  <c r="K224" i="17" a="1"/>
  <c r="K224" i="17" s="1"/>
  <c r="L224" i="17" a="1"/>
  <c r="L224" i="17" s="1"/>
  <c r="Q224" i="17" a="1"/>
  <c r="Q224" i="17" s="1"/>
  <c r="F224" i="17" a="1"/>
  <c r="F224" i="17" s="1"/>
  <c r="M224" i="17" a="1"/>
  <c r="M224" i="17" s="1"/>
  <c r="P224" i="17" a="1"/>
  <c r="P224" i="17" s="1"/>
  <c r="E224" i="17" a="1"/>
  <c r="E224" i="17" s="1"/>
  <c r="B225" i="17"/>
  <c r="F227" i="19" l="1"/>
  <c r="C227" i="19"/>
  <c r="G227" i="19"/>
  <c r="E227" i="19"/>
  <c r="D227" i="19"/>
  <c r="D225" i="17"/>
  <c r="C225" i="17"/>
  <c r="K225" i="17" a="1"/>
  <c r="K225" i="17" s="1"/>
  <c r="E225" i="17" a="1"/>
  <c r="E225" i="17" s="1"/>
  <c r="Q225" i="17" a="1"/>
  <c r="Q225" i="17" s="1"/>
  <c r="L225" i="17" a="1"/>
  <c r="L225" i="17" s="1"/>
  <c r="J225" i="17" a="1"/>
  <c r="J225" i="17" s="1"/>
  <c r="S225" i="17" a="1"/>
  <c r="S225" i="17" s="1"/>
  <c r="T225" i="17" a="1"/>
  <c r="T225" i="17" s="1"/>
  <c r="F225" i="17" a="1"/>
  <c r="F225" i="17" s="1"/>
  <c r="N225" i="17" a="1"/>
  <c r="N225" i="17" s="1"/>
  <c r="M225" i="17" a="1"/>
  <c r="M225" i="17" s="1"/>
  <c r="I225" i="17" a="1"/>
  <c r="I225" i="17" s="1"/>
  <c r="G225" i="17" a="1"/>
  <c r="G225" i="17" s="1"/>
  <c r="H225" i="17" a="1"/>
  <c r="H225" i="17" s="1"/>
  <c r="O225" i="17" a="1"/>
  <c r="O225" i="17" s="1"/>
  <c r="R225" i="17" a="1"/>
  <c r="R225" i="17" s="1"/>
  <c r="P225" i="17" a="1"/>
  <c r="P225" i="17" s="1"/>
  <c r="B226" i="17"/>
  <c r="G228" i="19" l="1"/>
  <c r="E228" i="19"/>
  <c r="C228" i="19"/>
  <c r="F228" i="19"/>
  <c r="D228" i="19"/>
  <c r="C226" i="17"/>
  <c r="D226" i="17"/>
  <c r="G226" i="17" a="1"/>
  <c r="G226" i="17" s="1"/>
  <c r="H226" i="17" a="1"/>
  <c r="H226" i="17" s="1"/>
  <c r="O226" i="17" a="1"/>
  <c r="O226" i="17" s="1"/>
  <c r="I226" i="17" a="1"/>
  <c r="I226" i="17" s="1"/>
  <c r="P226" i="17" a="1"/>
  <c r="P226" i="17" s="1"/>
  <c r="M226" i="17" a="1"/>
  <c r="M226" i="17" s="1"/>
  <c r="N226" i="17" a="1"/>
  <c r="N226" i="17" s="1"/>
  <c r="E226" i="17" a="1"/>
  <c r="E226" i="17" s="1"/>
  <c r="Q226" i="17" a="1"/>
  <c r="Q226" i="17" s="1"/>
  <c r="F226" i="17" a="1"/>
  <c r="F226" i="17" s="1"/>
  <c r="R226" i="17" a="1"/>
  <c r="R226" i="17" s="1"/>
  <c r="L226" i="17" a="1"/>
  <c r="L226" i="17" s="1"/>
  <c r="K226" i="17" a="1"/>
  <c r="K226" i="17" s="1"/>
  <c r="T226" i="17" a="1"/>
  <c r="T226" i="17" s="1"/>
  <c r="J226" i="17" a="1"/>
  <c r="J226" i="17" s="1"/>
  <c r="S226" i="17" a="1"/>
  <c r="S226" i="17" s="1"/>
  <c r="B227" i="17"/>
  <c r="G229" i="19" l="1"/>
  <c r="F229" i="19"/>
  <c r="D229" i="19"/>
  <c r="C229" i="19"/>
  <c r="E229" i="19"/>
  <c r="C227" i="17"/>
  <c r="D227" i="17"/>
  <c r="L227" i="17" a="1"/>
  <c r="L227" i="17" s="1"/>
  <c r="F227" i="17" a="1"/>
  <c r="F227" i="17" s="1"/>
  <c r="M227" i="17" a="1"/>
  <c r="M227" i="17" s="1"/>
  <c r="S227" i="17" a="1"/>
  <c r="S227" i="17" s="1"/>
  <c r="T227" i="17" a="1"/>
  <c r="T227" i="17" s="1"/>
  <c r="H227" i="17" a="1"/>
  <c r="H227" i="17" s="1"/>
  <c r="Q227" i="17" a="1"/>
  <c r="Q227" i="17" s="1"/>
  <c r="J227" i="17" a="1"/>
  <c r="J227" i="17" s="1"/>
  <c r="I227" i="17" a="1"/>
  <c r="I227" i="17" s="1"/>
  <c r="R227" i="17" a="1"/>
  <c r="R227" i="17" s="1"/>
  <c r="G227" i="17" a="1"/>
  <c r="G227" i="17" s="1"/>
  <c r="P227" i="17" a="1"/>
  <c r="P227" i="17" s="1"/>
  <c r="O227" i="17" a="1"/>
  <c r="O227" i="17" s="1"/>
  <c r="K227" i="17" a="1"/>
  <c r="K227" i="17" s="1"/>
  <c r="E227" i="17" a="1"/>
  <c r="E227" i="17" s="1"/>
  <c r="N227" i="17" a="1"/>
  <c r="N227" i="17" s="1"/>
  <c r="B228" i="17"/>
  <c r="G230" i="19" l="1"/>
  <c r="D230" i="19"/>
  <c r="E230" i="19"/>
  <c r="F230" i="19"/>
  <c r="C230" i="19"/>
  <c r="D228" i="17"/>
  <c r="C228" i="17"/>
  <c r="P228" i="17" a="1"/>
  <c r="P228" i="17" s="1"/>
  <c r="J228" i="17" a="1"/>
  <c r="J228" i="17" s="1"/>
  <c r="Q228" i="17" a="1"/>
  <c r="Q228" i="17" s="1"/>
  <c r="K228" i="17" a="1"/>
  <c r="K228" i="17" s="1"/>
  <c r="L228" i="17" a="1"/>
  <c r="L228" i="17" s="1"/>
  <c r="T228" i="17" a="1"/>
  <c r="T228" i="17" s="1"/>
  <c r="N228" i="17" a="1"/>
  <c r="N228" i="17" s="1"/>
  <c r="M228" i="17" a="1"/>
  <c r="M228" i="17" s="1"/>
  <c r="E228" i="17" a="1"/>
  <c r="E228" i="17" s="1"/>
  <c r="I228" i="17" a="1"/>
  <c r="I228" i="17" s="1"/>
  <c r="S228" i="17" a="1"/>
  <c r="S228" i="17" s="1"/>
  <c r="F228" i="17" a="1"/>
  <c r="F228" i="17" s="1"/>
  <c r="O228" i="17" a="1"/>
  <c r="O228" i="17" s="1"/>
  <c r="G228" i="17" a="1"/>
  <c r="G228" i="17" s="1"/>
  <c r="R228" i="17" a="1"/>
  <c r="R228" i="17" s="1"/>
  <c r="H228" i="17" a="1"/>
  <c r="H228" i="17" s="1"/>
  <c r="B229" i="17"/>
  <c r="G231" i="19" l="1"/>
  <c r="F231" i="19"/>
  <c r="E231" i="19"/>
  <c r="D231" i="19"/>
  <c r="C231" i="19"/>
  <c r="D229" i="17"/>
  <c r="C229" i="17"/>
  <c r="G229" i="17" a="1"/>
  <c r="G229" i="17" s="1"/>
  <c r="N229" i="17" a="1"/>
  <c r="N229" i="17" s="1"/>
  <c r="H229" i="17" a="1"/>
  <c r="H229" i="17" s="1"/>
  <c r="O229" i="17" a="1"/>
  <c r="O229" i="17" s="1"/>
  <c r="P229" i="17" a="1"/>
  <c r="P229" i="17" s="1"/>
  <c r="I229" i="17" a="1"/>
  <c r="I229" i="17" s="1"/>
  <c r="F229" i="17" a="1"/>
  <c r="F229" i="17" s="1"/>
  <c r="E229" i="17" a="1"/>
  <c r="E229" i="17" s="1"/>
  <c r="Q229" i="17" a="1"/>
  <c r="Q229" i="17" s="1"/>
  <c r="R229" i="17" a="1"/>
  <c r="R229" i="17" s="1"/>
  <c r="S229" i="17" a="1"/>
  <c r="S229" i="17" s="1"/>
  <c r="M229" i="17" a="1"/>
  <c r="M229" i="17" s="1"/>
  <c r="L229" i="17" a="1"/>
  <c r="L229" i="17" s="1"/>
  <c r="T229" i="17" a="1"/>
  <c r="T229" i="17" s="1"/>
  <c r="K229" i="17" a="1"/>
  <c r="K229" i="17" s="1"/>
  <c r="J229" i="17" a="1"/>
  <c r="J229" i="17" s="1"/>
  <c r="B230" i="17"/>
  <c r="G232" i="19" l="1"/>
  <c r="F232" i="19"/>
  <c r="E232" i="19"/>
  <c r="D232" i="19"/>
  <c r="C232" i="19"/>
  <c r="C230" i="17"/>
  <c r="D230" i="17"/>
  <c r="L230" i="17" a="1"/>
  <c r="L230" i="17" s="1"/>
  <c r="T230" i="17" a="1"/>
  <c r="T230" i="17" s="1"/>
  <c r="F230" i="17" a="1"/>
  <c r="F230" i="17" s="1"/>
  <c r="M230" i="17" a="1"/>
  <c r="M230" i="17" s="1"/>
  <c r="G230" i="17" a="1"/>
  <c r="G230" i="17" s="1"/>
  <c r="N230" i="17" a="1"/>
  <c r="N230" i="17" s="1"/>
  <c r="I230" i="17" a="1"/>
  <c r="I230" i="17" s="1"/>
  <c r="K230" i="17" a="1"/>
  <c r="K230" i="17" s="1"/>
  <c r="S230" i="17" a="1"/>
  <c r="S230" i="17" s="1"/>
  <c r="J230" i="17" a="1"/>
  <c r="J230" i="17" s="1"/>
  <c r="H230" i="17" a="1"/>
  <c r="H230" i="17" s="1"/>
  <c r="R230" i="17" a="1"/>
  <c r="R230" i="17" s="1"/>
  <c r="E230" i="17" a="1"/>
  <c r="E230" i="17" s="1"/>
  <c r="P230" i="17" a="1"/>
  <c r="P230" i="17" s="1"/>
  <c r="O230" i="17" a="1"/>
  <c r="O230" i="17" s="1"/>
  <c r="Q230" i="17" a="1"/>
  <c r="Q230" i="17" s="1"/>
  <c r="B231" i="17"/>
  <c r="G233" i="19" l="1"/>
  <c r="F233" i="19"/>
  <c r="E233" i="19"/>
  <c r="D233" i="19"/>
  <c r="C233" i="19"/>
  <c r="C231" i="17"/>
  <c r="D231" i="17"/>
  <c r="K231" i="17" a="1"/>
  <c r="K231" i="17" s="1"/>
  <c r="R231" i="17" a="1"/>
  <c r="R231" i="17" s="1"/>
  <c r="S231" i="17" a="1"/>
  <c r="S231" i="17" s="1"/>
  <c r="E231" i="17" a="1"/>
  <c r="E231" i="17" s="1"/>
  <c r="L231" i="17" a="1"/>
  <c r="L231" i="17" s="1"/>
  <c r="N231" i="17" a="1"/>
  <c r="N231" i="17" s="1"/>
  <c r="O231" i="17" a="1"/>
  <c r="O231" i="17" s="1"/>
  <c r="Q231" i="17" a="1"/>
  <c r="Q231" i="17" s="1"/>
  <c r="F231" i="17" a="1"/>
  <c r="F231" i="17" s="1"/>
  <c r="P231" i="17" a="1"/>
  <c r="P231" i="17" s="1"/>
  <c r="M231" i="17" a="1"/>
  <c r="M231" i="17" s="1"/>
  <c r="G231" i="17" a="1"/>
  <c r="G231" i="17" s="1"/>
  <c r="H231" i="17" a="1"/>
  <c r="H231" i="17" s="1"/>
  <c r="J231" i="17" a="1"/>
  <c r="J231" i="17" s="1"/>
  <c r="I231" i="17" a="1"/>
  <c r="I231" i="17" s="1"/>
  <c r="T231" i="17" a="1"/>
  <c r="T231" i="17" s="1"/>
  <c r="B232" i="17"/>
  <c r="G234" i="19" l="1"/>
  <c r="E234" i="19"/>
  <c r="D234" i="19"/>
  <c r="F234" i="19"/>
  <c r="C234" i="19"/>
  <c r="C232" i="17"/>
  <c r="D232" i="17"/>
  <c r="I232" i="17" a="1"/>
  <c r="I232" i="17" s="1"/>
  <c r="J232" i="17" a="1"/>
  <c r="J232" i="17" s="1"/>
  <c r="P232" i="17" a="1"/>
  <c r="P232" i="17" s="1"/>
  <c r="Q232" i="17" a="1"/>
  <c r="Q232" i="17" s="1"/>
  <c r="R232" i="17" a="1"/>
  <c r="R232" i="17" s="1"/>
  <c r="G232" i="17" a="1"/>
  <c r="G232" i="17" s="1"/>
  <c r="K232" i="17" a="1"/>
  <c r="K232" i="17" s="1"/>
  <c r="T232" i="17" a="1"/>
  <c r="T232" i="17" s="1"/>
  <c r="H232" i="17" a="1"/>
  <c r="H232" i="17" s="1"/>
  <c r="S232" i="17" a="1"/>
  <c r="S232" i="17" s="1"/>
  <c r="L232" i="17" a="1"/>
  <c r="L232" i="17" s="1"/>
  <c r="M232" i="17" a="1"/>
  <c r="M232" i="17" s="1"/>
  <c r="N232" i="17" a="1"/>
  <c r="N232" i="17" s="1"/>
  <c r="E232" i="17" a="1"/>
  <c r="E232" i="17" s="1"/>
  <c r="F232" i="17" a="1"/>
  <c r="F232" i="17" s="1"/>
  <c r="O232" i="17" a="1"/>
  <c r="O232" i="17" s="1"/>
  <c r="B233" i="17"/>
  <c r="G235" i="19" l="1"/>
  <c r="E235" i="19"/>
  <c r="D235" i="19"/>
  <c r="F235" i="19"/>
  <c r="C235" i="19"/>
  <c r="D233" i="17"/>
  <c r="C233" i="17"/>
  <c r="G233" i="17" a="1"/>
  <c r="G233" i="17" s="1"/>
  <c r="M233" i="17" a="1"/>
  <c r="M233" i="17" s="1"/>
  <c r="H233" i="17" a="1"/>
  <c r="H233" i="17" s="1"/>
  <c r="N233" i="17" a="1"/>
  <c r="N233" i="17" s="1"/>
  <c r="T233" i="17" a="1"/>
  <c r="T233" i="17" s="1"/>
  <c r="K233" i="17" a="1"/>
  <c r="K233" i="17" s="1"/>
  <c r="O233" i="17" a="1"/>
  <c r="O233" i="17" s="1"/>
  <c r="L233" i="17" a="1"/>
  <c r="L233" i="17" s="1"/>
  <c r="E233" i="17" a="1"/>
  <c r="E233" i="17" s="1"/>
  <c r="P233" i="17" a="1"/>
  <c r="P233" i="17" s="1"/>
  <c r="Q233" i="17" a="1"/>
  <c r="Q233" i="17" s="1"/>
  <c r="J233" i="17" a="1"/>
  <c r="J233" i="17" s="1"/>
  <c r="S233" i="17" a="1"/>
  <c r="S233" i="17" s="1"/>
  <c r="F233" i="17" a="1"/>
  <c r="F233" i="17" s="1"/>
  <c r="R233" i="17" a="1"/>
  <c r="R233" i="17" s="1"/>
  <c r="I233" i="17" a="1"/>
  <c r="I233" i="17" s="1"/>
  <c r="B234" i="17"/>
  <c r="G236" i="19" l="1"/>
  <c r="E236" i="19"/>
  <c r="D236" i="19"/>
  <c r="C236" i="19"/>
  <c r="F236" i="19"/>
  <c r="D234" i="17"/>
  <c r="C234" i="17"/>
  <c r="K234" i="17" a="1"/>
  <c r="K234" i="17" s="1"/>
  <c r="R234" i="17" a="1"/>
  <c r="R234" i="17" s="1"/>
  <c r="E234" i="17" a="1"/>
  <c r="E234" i="17" s="1"/>
  <c r="F234" i="17" a="1"/>
  <c r="F234" i="17" s="1"/>
  <c r="L234" i="17" a="1"/>
  <c r="L234" i="17" s="1"/>
  <c r="S234" i="17" a="1"/>
  <c r="S234" i="17" s="1"/>
  <c r="N234" i="17" a="1"/>
  <c r="N234" i="17" s="1"/>
  <c r="O234" i="17" a="1"/>
  <c r="O234" i="17" s="1"/>
  <c r="G234" i="17" a="1"/>
  <c r="G234" i="17" s="1"/>
  <c r="P234" i="17" a="1"/>
  <c r="P234" i="17" s="1"/>
  <c r="Q234" i="17" a="1"/>
  <c r="Q234" i="17" s="1"/>
  <c r="H234" i="17" a="1"/>
  <c r="H234" i="17" s="1"/>
  <c r="T234" i="17" a="1"/>
  <c r="T234" i="17" s="1"/>
  <c r="J234" i="17" a="1"/>
  <c r="J234" i="17" s="1"/>
  <c r="M234" i="17" a="1"/>
  <c r="M234" i="17" s="1"/>
  <c r="I234" i="17" a="1"/>
  <c r="I234" i="17" s="1"/>
  <c r="B235" i="17"/>
  <c r="F237" i="19" l="1"/>
  <c r="G237" i="19"/>
  <c r="E237" i="19"/>
  <c r="C237" i="19"/>
  <c r="D237" i="19"/>
  <c r="D235" i="17"/>
  <c r="C235" i="17"/>
  <c r="H235" i="17" a="1"/>
  <c r="H235" i="17" s="1"/>
  <c r="O235" i="17" a="1"/>
  <c r="O235" i="17" s="1"/>
  <c r="P235" i="17" a="1"/>
  <c r="P235" i="17" s="1"/>
  <c r="I235" i="17" a="1"/>
  <c r="I235" i="17" s="1"/>
  <c r="G235" i="17" a="1"/>
  <c r="G235" i="17" s="1"/>
  <c r="R235" i="17" a="1"/>
  <c r="R235" i="17" s="1"/>
  <c r="K235" i="17" a="1"/>
  <c r="K235" i="17" s="1"/>
  <c r="L235" i="17" a="1"/>
  <c r="L235" i="17" s="1"/>
  <c r="T235" i="17" a="1"/>
  <c r="T235" i="17" s="1"/>
  <c r="J235" i="17" a="1"/>
  <c r="J235" i="17" s="1"/>
  <c r="S235" i="17" a="1"/>
  <c r="S235" i="17" s="1"/>
  <c r="F235" i="17" a="1"/>
  <c r="F235" i="17" s="1"/>
  <c r="Q235" i="17" a="1"/>
  <c r="Q235" i="17" s="1"/>
  <c r="E235" i="17" a="1"/>
  <c r="E235" i="17" s="1"/>
  <c r="M235" i="17" a="1"/>
  <c r="M235" i="17" s="1"/>
  <c r="N235" i="17" a="1"/>
  <c r="N235" i="17" s="1"/>
  <c r="B236" i="17"/>
  <c r="C238" i="19" l="1"/>
  <c r="F238" i="19"/>
  <c r="G238" i="19"/>
  <c r="E238" i="19"/>
  <c r="D238" i="19"/>
  <c r="D236" i="17"/>
  <c r="C236" i="17"/>
  <c r="F236" i="17" a="1"/>
  <c r="F236" i="17" s="1"/>
  <c r="T236" i="17" a="1"/>
  <c r="T236" i="17" s="1"/>
  <c r="G236" i="17" a="1"/>
  <c r="G236" i="17" s="1"/>
  <c r="M236" i="17" a="1"/>
  <c r="M236" i="17" s="1"/>
  <c r="N236" i="17" a="1"/>
  <c r="N236" i="17" s="1"/>
  <c r="K236" i="17" a="1"/>
  <c r="K236" i="17" s="1"/>
  <c r="L236" i="17" a="1"/>
  <c r="L236" i="17" s="1"/>
  <c r="O236" i="17" a="1"/>
  <c r="O236" i="17" s="1"/>
  <c r="E236" i="17" a="1"/>
  <c r="E236" i="17" s="1"/>
  <c r="H236" i="17" a="1"/>
  <c r="H236" i="17" s="1"/>
  <c r="I236" i="17" a="1"/>
  <c r="I236" i="17" s="1"/>
  <c r="Q236" i="17" a="1"/>
  <c r="Q236" i="17" s="1"/>
  <c r="R236" i="17" a="1"/>
  <c r="R236" i="17" s="1"/>
  <c r="J236" i="17" a="1"/>
  <c r="J236" i="17" s="1"/>
  <c r="P236" i="17" a="1"/>
  <c r="P236" i="17" s="1"/>
  <c r="S236" i="17" a="1"/>
  <c r="S236" i="17" s="1"/>
  <c r="B237" i="17"/>
  <c r="G239" i="19" l="1"/>
  <c r="F239" i="19"/>
  <c r="D239" i="19"/>
  <c r="C239" i="19"/>
  <c r="E239" i="19"/>
  <c r="D237" i="17"/>
  <c r="C237" i="17"/>
  <c r="J237" i="17" a="1"/>
  <c r="J237" i="17" s="1"/>
  <c r="Q237" i="17" a="1"/>
  <c r="Q237" i="17" s="1"/>
  <c r="R237" i="17" a="1"/>
  <c r="R237" i="17" s="1"/>
  <c r="E237" i="17" a="1"/>
  <c r="E237" i="17" s="1"/>
  <c r="K237" i="17" a="1"/>
  <c r="K237" i="17" s="1"/>
  <c r="S237" i="17" a="1"/>
  <c r="S237" i="17" s="1"/>
  <c r="F237" i="17" a="1"/>
  <c r="F237" i="17" s="1"/>
  <c r="N237" i="17" a="1"/>
  <c r="N237" i="17" s="1"/>
  <c r="H237" i="17" a="1"/>
  <c r="H237" i="17" s="1"/>
  <c r="O237" i="17" a="1"/>
  <c r="O237" i="17" s="1"/>
  <c r="G237" i="17" a="1"/>
  <c r="G237" i="17" s="1"/>
  <c r="P237" i="17" a="1"/>
  <c r="P237" i="17" s="1"/>
  <c r="I237" i="17" a="1"/>
  <c r="I237" i="17" s="1"/>
  <c r="T237" i="17" a="1"/>
  <c r="T237" i="17" s="1"/>
  <c r="L237" i="17" a="1"/>
  <c r="L237" i="17" s="1"/>
  <c r="M237" i="17" a="1"/>
  <c r="M237" i="17" s="1"/>
  <c r="B238" i="17"/>
  <c r="D240" i="19" l="1"/>
  <c r="F240" i="19"/>
  <c r="G240" i="19"/>
  <c r="C240" i="19"/>
  <c r="E240" i="19"/>
  <c r="D238" i="17"/>
  <c r="C238" i="17"/>
  <c r="H238" i="17" a="1"/>
  <c r="H238" i="17" s="1"/>
  <c r="O238" i="17" a="1"/>
  <c r="O238" i="17" s="1"/>
  <c r="G238" i="17" a="1"/>
  <c r="G238" i="17" s="1"/>
  <c r="R238" i="17" a="1"/>
  <c r="R238" i="17" s="1"/>
  <c r="I238" i="17" a="1"/>
  <c r="I238" i="17" s="1"/>
  <c r="K238" i="17" a="1"/>
  <c r="K238" i="17" s="1"/>
  <c r="J238" i="17" a="1"/>
  <c r="J238" i="17" s="1"/>
  <c r="S238" i="17" a="1"/>
  <c r="S238" i="17" s="1"/>
  <c r="L238" i="17" a="1"/>
  <c r="L238" i="17" s="1"/>
  <c r="M238" i="17" a="1"/>
  <c r="M238" i="17" s="1"/>
  <c r="N238" i="17" a="1"/>
  <c r="N238" i="17" s="1"/>
  <c r="P238" i="17" a="1"/>
  <c r="P238" i="17" s="1"/>
  <c r="Q238" i="17" a="1"/>
  <c r="Q238" i="17" s="1"/>
  <c r="E238" i="17" a="1"/>
  <c r="E238" i="17" s="1"/>
  <c r="F238" i="17" a="1"/>
  <c r="F238" i="17" s="1"/>
  <c r="T238" i="17" a="1"/>
  <c r="T238" i="17" s="1"/>
  <c r="B239" i="17"/>
  <c r="G241" i="19" l="1"/>
  <c r="F241" i="19"/>
  <c r="E241" i="19"/>
  <c r="D241" i="19"/>
  <c r="C241" i="19"/>
  <c r="D239" i="17"/>
  <c r="C239" i="17"/>
  <c r="E239" i="17" a="1"/>
  <c r="E239" i="17" s="1"/>
  <c r="L239" i="17" a="1"/>
  <c r="L239" i="17" s="1"/>
  <c r="R239" i="17" a="1"/>
  <c r="R239" i="17" s="1"/>
  <c r="J239" i="17" a="1"/>
  <c r="J239" i="17" s="1"/>
  <c r="K239" i="17" a="1"/>
  <c r="K239" i="17" s="1"/>
  <c r="S239" i="17" a="1"/>
  <c r="S239" i="17" s="1"/>
  <c r="M239" i="17" a="1"/>
  <c r="M239" i="17" s="1"/>
  <c r="T239" i="17" a="1"/>
  <c r="T239" i="17" s="1"/>
  <c r="N239" i="17" a="1"/>
  <c r="N239" i="17" s="1"/>
  <c r="O239" i="17" a="1"/>
  <c r="O239" i="17" s="1"/>
  <c r="P239" i="17" a="1"/>
  <c r="P239" i="17" s="1"/>
  <c r="H239" i="17" a="1"/>
  <c r="H239" i="17" s="1"/>
  <c r="I239" i="17" a="1"/>
  <c r="I239" i="17" s="1"/>
  <c r="Q239" i="17" a="1"/>
  <c r="Q239" i="17" s="1"/>
  <c r="F239" i="17" a="1"/>
  <c r="F239" i="17" s="1"/>
  <c r="G239" i="17" a="1"/>
  <c r="G239" i="17" s="1"/>
  <c r="B240" i="17"/>
  <c r="G242" i="19" l="1"/>
  <c r="F242" i="19"/>
  <c r="E242" i="19"/>
  <c r="D242" i="19"/>
  <c r="C242" i="19"/>
  <c r="C240" i="17"/>
  <c r="D240" i="17"/>
  <c r="J240" i="17" a="1"/>
  <c r="J240" i="17" s="1"/>
  <c r="P240" i="17" a="1"/>
  <c r="P240" i="17" s="1"/>
  <c r="K240" i="17" a="1"/>
  <c r="K240" i="17" s="1"/>
  <c r="T240" i="17" a="1"/>
  <c r="T240" i="17" s="1"/>
  <c r="R240" i="17" a="1"/>
  <c r="R240" i="17" s="1"/>
  <c r="L240" i="17" a="1"/>
  <c r="L240" i="17" s="1"/>
  <c r="S240" i="17" a="1"/>
  <c r="S240" i="17" s="1"/>
  <c r="E240" i="17" a="1"/>
  <c r="E240" i="17" s="1"/>
  <c r="H240" i="17" a="1"/>
  <c r="H240" i="17" s="1"/>
  <c r="I240" i="17" a="1"/>
  <c r="I240" i="17" s="1"/>
  <c r="N240" i="17" a="1"/>
  <c r="N240" i="17" s="1"/>
  <c r="O240" i="17" a="1"/>
  <c r="O240" i="17" s="1"/>
  <c r="F240" i="17" a="1"/>
  <c r="F240" i="17" s="1"/>
  <c r="G240" i="17" a="1"/>
  <c r="G240" i="17" s="1"/>
  <c r="Q240" i="17" a="1"/>
  <c r="Q240" i="17" s="1"/>
  <c r="M240" i="17" a="1"/>
  <c r="M240" i="17" s="1"/>
  <c r="B241" i="17"/>
  <c r="G243" i="19" l="1"/>
  <c r="F243" i="19"/>
  <c r="E243" i="19"/>
  <c r="D243" i="19"/>
  <c r="C243" i="19"/>
  <c r="C241" i="17"/>
  <c r="D241" i="17"/>
  <c r="G241" i="17" a="1"/>
  <c r="G241" i="17" s="1"/>
  <c r="N241" i="17" a="1"/>
  <c r="N241" i="17" s="1"/>
  <c r="I241" i="17" a="1"/>
  <c r="I241" i="17" s="1"/>
  <c r="Q241" i="17" a="1"/>
  <c r="Q241" i="17" s="1"/>
  <c r="J241" i="17" a="1"/>
  <c r="J241" i="17" s="1"/>
  <c r="K241" i="17" a="1"/>
  <c r="K241" i="17" s="1"/>
  <c r="R241" i="17" a="1"/>
  <c r="R241" i="17" s="1"/>
  <c r="S241" i="17" a="1"/>
  <c r="S241" i="17" s="1"/>
  <c r="P241" i="17" a="1"/>
  <c r="P241" i="17" s="1"/>
  <c r="F241" i="17" a="1"/>
  <c r="F241" i="17" s="1"/>
  <c r="E241" i="17" a="1"/>
  <c r="E241" i="17" s="1"/>
  <c r="T241" i="17" a="1"/>
  <c r="T241" i="17" s="1"/>
  <c r="M241" i="17" a="1"/>
  <c r="M241" i="17" s="1"/>
  <c r="H241" i="17" a="1"/>
  <c r="H241" i="17" s="1"/>
  <c r="L241" i="17" a="1"/>
  <c r="L241" i="17" s="1"/>
  <c r="O241" i="17" a="1"/>
  <c r="O241" i="17" s="1"/>
  <c r="B242" i="17"/>
  <c r="E244" i="19" l="1"/>
  <c r="F244" i="19"/>
  <c r="D244" i="19"/>
  <c r="G244" i="19"/>
  <c r="C244" i="19"/>
  <c r="C242" i="17"/>
  <c r="D242" i="17"/>
  <c r="E242" i="17" a="1"/>
  <c r="E242" i="17" s="1"/>
  <c r="M242" i="17" a="1"/>
  <c r="M242" i="17" s="1"/>
  <c r="I242" i="17" a="1"/>
  <c r="I242" i="17" s="1"/>
  <c r="R242" i="17" a="1"/>
  <c r="R242" i="17" s="1"/>
  <c r="J242" i="17" a="1"/>
  <c r="J242" i="17" s="1"/>
  <c r="S242" i="17" a="1"/>
  <c r="S242" i="17" s="1"/>
  <c r="K242" i="17" a="1"/>
  <c r="K242" i="17" s="1"/>
  <c r="T242" i="17" a="1"/>
  <c r="T242" i="17" s="1"/>
  <c r="P242" i="17" a="1"/>
  <c r="P242" i="17" s="1"/>
  <c r="Q242" i="17" a="1"/>
  <c r="Q242" i="17" s="1"/>
  <c r="F242" i="17" a="1"/>
  <c r="F242" i="17" s="1"/>
  <c r="H242" i="17" a="1"/>
  <c r="H242" i="17" s="1"/>
  <c r="N242" i="17" a="1"/>
  <c r="N242" i="17" s="1"/>
  <c r="L242" i="17" a="1"/>
  <c r="L242" i="17" s="1"/>
  <c r="O242" i="17" a="1"/>
  <c r="O242" i="17" s="1"/>
  <c r="G242" i="17" a="1"/>
  <c r="G242" i="17" s="1"/>
  <c r="B243" i="17"/>
  <c r="E245" i="19" l="1"/>
  <c r="F245" i="19"/>
  <c r="D245" i="19"/>
  <c r="G245" i="19"/>
  <c r="C245" i="19"/>
  <c r="D243" i="17"/>
  <c r="C243" i="17"/>
  <c r="N243" i="17" a="1"/>
  <c r="N243" i="17" s="1"/>
  <c r="K243" i="17" a="1"/>
  <c r="K243" i="17" s="1"/>
  <c r="O243" i="17" a="1"/>
  <c r="O243" i="17" s="1"/>
  <c r="L243" i="17" a="1"/>
  <c r="L243" i="17" s="1"/>
  <c r="E243" i="17" a="1"/>
  <c r="E243" i="17" s="1"/>
  <c r="M243" i="17" a="1"/>
  <c r="M243" i="17" s="1"/>
  <c r="P243" i="17" a="1"/>
  <c r="P243" i="17" s="1"/>
  <c r="Q243" i="17" a="1"/>
  <c r="Q243" i="17" s="1"/>
  <c r="S243" i="17" a="1"/>
  <c r="S243" i="17" s="1"/>
  <c r="G243" i="17" a="1"/>
  <c r="G243" i="17" s="1"/>
  <c r="T243" i="17" a="1"/>
  <c r="T243" i="17" s="1"/>
  <c r="H243" i="17" a="1"/>
  <c r="H243" i="17" s="1"/>
  <c r="R243" i="17" a="1"/>
  <c r="R243" i="17" s="1"/>
  <c r="F243" i="17" a="1"/>
  <c r="F243" i="17" s="1"/>
  <c r="I243" i="17" a="1"/>
  <c r="I243" i="17" s="1"/>
  <c r="J243" i="17" a="1"/>
  <c r="J243" i="17" s="1"/>
  <c r="B244" i="17"/>
  <c r="G246" i="19" l="1"/>
  <c r="E246" i="19"/>
  <c r="F246" i="19"/>
  <c r="D246" i="19"/>
  <c r="C246" i="19"/>
  <c r="D244" i="17"/>
  <c r="C244" i="17"/>
  <c r="F244" i="17" a="1"/>
  <c r="F244" i="17" s="1"/>
  <c r="N244" i="17" a="1"/>
  <c r="N244" i="17" s="1"/>
  <c r="E244" i="17" a="1"/>
  <c r="E244" i="17" s="1"/>
  <c r="O244" i="17" a="1"/>
  <c r="O244" i="17" s="1"/>
  <c r="G244" i="17" a="1"/>
  <c r="G244" i="17" s="1"/>
  <c r="Q244" i="17" a="1"/>
  <c r="Q244" i="17" s="1"/>
  <c r="P244" i="17" a="1"/>
  <c r="P244" i="17" s="1"/>
  <c r="H244" i="17" a="1"/>
  <c r="H244" i="17" s="1"/>
  <c r="M244" i="17" a="1"/>
  <c r="M244" i="17" s="1"/>
  <c r="R244" i="17" a="1"/>
  <c r="R244" i="17" s="1"/>
  <c r="S244" i="17" a="1"/>
  <c r="S244" i="17" s="1"/>
  <c r="I244" i="17" a="1"/>
  <c r="I244" i="17" s="1"/>
  <c r="K244" i="17" a="1"/>
  <c r="K244" i="17" s="1"/>
  <c r="L244" i="17" a="1"/>
  <c r="L244" i="17" s="1"/>
  <c r="J244" i="17" a="1"/>
  <c r="J244" i="17" s="1"/>
  <c r="T244" i="17" a="1"/>
  <c r="T244" i="17" s="1"/>
  <c r="B245" i="17"/>
  <c r="G247" i="19" l="1"/>
  <c r="E247" i="19"/>
  <c r="F247" i="19"/>
  <c r="D247" i="19"/>
  <c r="C247" i="19"/>
  <c r="D245" i="17"/>
  <c r="C245" i="17"/>
  <c r="G245" i="17" a="1"/>
  <c r="G245" i="17" s="1"/>
  <c r="O245" i="17" a="1"/>
  <c r="O245" i="17" s="1"/>
  <c r="H245" i="17" a="1"/>
  <c r="H245" i="17" s="1"/>
  <c r="Q245" i="17" a="1"/>
  <c r="Q245" i="17" s="1"/>
  <c r="R245" i="17" a="1"/>
  <c r="R245" i="17" s="1"/>
  <c r="I245" i="17" a="1"/>
  <c r="I245" i="17" s="1"/>
  <c r="S245" i="17" a="1"/>
  <c r="S245" i="17" s="1"/>
  <c r="J245" i="17" a="1"/>
  <c r="J245" i="17" s="1"/>
  <c r="N245" i="17" a="1"/>
  <c r="N245" i="17" s="1"/>
  <c r="P245" i="17" a="1"/>
  <c r="P245" i="17" s="1"/>
  <c r="F245" i="17" a="1"/>
  <c r="F245" i="17" s="1"/>
  <c r="L245" i="17" a="1"/>
  <c r="L245" i="17" s="1"/>
  <c r="T245" i="17" a="1"/>
  <c r="T245" i="17" s="1"/>
  <c r="E245" i="17" a="1"/>
  <c r="E245" i="17" s="1"/>
  <c r="K245" i="17" a="1"/>
  <c r="K245" i="17" s="1"/>
  <c r="M245" i="17" a="1"/>
  <c r="M245" i="17" s="1"/>
  <c r="B246" i="17"/>
  <c r="C248" i="19" l="1"/>
  <c r="G248" i="19"/>
  <c r="E248" i="19"/>
  <c r="F248" i="19"/>
  <c r="D248" i="19"/>
  <c r="D246" i="17"/>
  <c r="C246" i="17"/>
  <c r="P246" i="17" a="1"/>
  <c r="P246" i="17" s="1"/>
  <c r="J246" i="17" a="1"/>
  <c r="J246" i="17" s="1"/>
  <c r="S246" i="17" a="1"/>
  <c r="S246" i="17" s="1"/>
  <c r="K246" i="17" a="1"/>
  <c r="K246" i="17" s="1"/>
  <c r="L246" i="17" a="1"/>
  <c r="L246" i="17" s="1"/>
  <c r="T246" i="17" a="1"/>
  <c r="T246" i="17" s="1"/>
  <c r="N246" i="17" a="1"/>
  <c r="N246" i="17" s="1"/>
  <c r="O246" i="17" a="1"/>
  <c r="O246" i="17" s="1"/>
  <c r="R246" i="17" a="1"/>
  <c r="R246" i="17" s="1"/>
  <c r="H246" i="17" a="1"/>
  <c r="H246" i="17" s="1"/>
  <c r="M246" i="17" a="1"/>
  <c r="M246" i="17" s="1"/>
  <c r="Q246" i="17" a="1"/>
  <c r="Q246" i="17" s="1"/>
  <c r="G246" i="17" a="1"/>
  <c r="G246" i="17" s="1"/>
  <c r="E246" i="17" a="1"/>
  <c r="E246" i="17" s="1"/>
  <c r="F246" i="17" a="1"/>
  <c r="F246" i="17" s="1"/>
  <c r="I246" i="17" a="1"/>
  <c r="I246" i="17" s="1"/>
  <c r="B247" i="17"/>
  <c r="G249" i="19" l="1"/>
  <c r="F249" i="19"/>
  <c r="D249" i="19"/>
  <c r="C249" i="19"/>
  <c r="E249" i="19"/>
  <c r="D247" i="17"/>
  <c r="C247" i="17"/>
  <c r="H247" i="17" a="1"/>
  <c r="H247" i="17" s="1"/>
  <c r="L247" i="17" a="1"/>
  <c r="L247" i="17" s="1"/>
  <c r="M247" i="17" a="1"/>
  <c r="M247" i="17" s="1"/>
  <c r="N247" i="17" a="1"/>
  <c r="N247" i="17" s="1"/>
  <c r="F247" i="17" a="1"/>
  <c r="F247" i="17" s="1"/>
  <c r="O247" i="17" a="1"/>
  <c r="O247" i="17" s="1"/>
  <c r="E247" i="17" a="1"/>
  <c r="E247" i="17" s="1"/>
  <c r="P247" i="17" a="1"/>
  <c r="P247" i="17" s="1"/>
  <c r="Q247" i="17" a="1"/>
  <c r="Q247" i="17" s="1"/>
  <c r="S247" i="17" a="1"/>
  <c r="S247" i="17" s="1"/>
  <c r="R247" i="17" a="1"/>
  <c r="R247" i="17" s="1"/>
  <c r="J247" i="17" a="1"/>
  <c r="J247" i="17" s="1"/>
  <c r="K247" i="17" a="1"/>
  <c r="K247" i="17" s="1"/>
  <c r="T247" i="17" a="1"/>
  <c r="T247" i="17" s="1"/>
  <c r="G247" i="17" a="1"/>
  <c r="G247" i="17" s="1"/>
  <c r="I247" i="17" a="1"/>
  <c r="I247" i="17" s="1"/>
  <c r="D4" i="19" a="1"/>
  <c r="B248" i="17"/>
  <c r="F3" i="16" l="1"/>
  <c r="G3" i="16"/>
  <c r="H3" i="16"/>
  <c r="D248" i="17"/>
  <c r="C248" i="17"/>
  <c r="I248" i="17" a="1"/>
  <c r="I248" i="17" s="1"/>
  <c r="Q248" i="17" a="1"/>
  <c r="Q248" i="17" s="1"/>
  <c r="O248" i="17" a="1"/>
  <c r="O248" i="17" s="1"/>
  <c r="F248" i="17" a="1"/>
  <c r="F248" i="17" s="1"/>
  <c r="R248" i="17" a="1"/>
  <c r="R248" i="17" s="1"/>
  <c r="G248" i="17" a="1"/>
  <c r="G248" i="17" s="1"/>
  <c r="P248" i="17" a="1"/>
  <c r="P248" i="17" s="1"/>
  <c r="H248" i="17" a="1"/>
  <c r="H248" i="17" s="1"/>
  <c r="L248" i="17" a="1"/>
  <c r="L248" i="17" s="1"/>
  <c r="S248" i="17" a="1"/>
  <c r="S248" i="17" s="1"/>
  <c r="K248" i="17" a="1"/>
  <c r="K248" i="17" s="1"/>
  <c r="M248" i="17" a="1"/>
  <c r="M248" i="17" s="1"/>
  <c r="N248" i="17" a="1"/>
  <c r="N248" i="17" s="1"/>
  <c r="E248" i="17" a="1"/>
  <c r="E248" i="17" s="1"/>
  <c r="T248" i="17" a="1"/>
  <c r="T248" i="17" s="1"/>
  <c r="J248" i="17" a="1"/>
  <c r="J248" i="17" s="1"/>
  <c r="D4" i="19"/>
  <c r="E3" i="16" l="1"/>
  <c r="B5" i="17"/>
  <c r="C23" i="18" s="1"/>
  <c r="C22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<sst xmlns="http://schemas.openxmlformats.org/spreadsheetml/2006/main" count="196" uniqueCount="100">
  <si>
    <t>Fund #</t>
  </si>
  <si>
    <t>Fund Name</t>
  </si>
  <si>
    <t>Fidelity Advisor Diversified Stock Fund (O)</t>
  </si>
  <si>
    <t>Harbor Large Cap Value Fund (Institutional)</t>
  </si>
  <si>
    <t>Fidelity Japan Fund</t>
  </si>
  <si>
    <t>Fidelity Select Utilities Portfolio</t>
  </si>
  <si>
    <t>Vanguard Long-Term Investment-Grade Fund (Investor)</t>
  </si>
  <si>
    <t>Fidelity Mortgage Securities Fund (Mortgage Sec)</t>
  </si>
  <si>
    <t>Madison Mosaic Mid-Cap Fund</t>
  </si>
  <si>
    <t>Currency</t>
  </si>
  <si>
    <t>U$</t>
  </si>
  <si>
    <t>Stonebridge Small Cap Growth Fund</t>
    <phoneticPr fontId="0" type="noConversion"/>
  </si>
  <si>
    <t>Code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</si>
  <si>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</si>
  <si>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</si>
  <si>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</si>
  <si>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</si>
  <si>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</si>
  <si>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</si>
  <si>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</si>
  <si>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</si>
  <si>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</si>
  <si>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</si>
  <si>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</si>
  <si>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</si>
  <si>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</si>
  <si>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</si>
  <si>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</si>
  <si>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</si>
  <si>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Benchmark Name</t>
  </si>
  <si>
    <t>T-Bills: US</t>
  </si>
  <si>
    <t>Bonds: US Govt MT</t>
  </si>
  <si>
    <t>Bonds: US Govt LT</t>
  </si>
  <si>
    <t>Bonds: Corporate</t>
  </si>
  <si>
    <t>Bonds: Mortgages</t>
  </si>
  <si>
    <t>Bonds: Global LT</t>
  </si>
  <si>
    <t>Commodities</t>
  </si>
  <si>
    <t>Stocks: U.S. Lg Cap Growth</t>
  </si>
  <si>
    <t>Stocks: U.S. Lg Cap Value</t>
  </si>
  <si>
    <t>Stocks:  U.S. Mid-Cap</t>
  </si>
  <si>
    <t>Stocks: U.S. Small Cap Growth</t>
  </si>
  <si>
    <t>Stocks: U.S. Small Cap Value</t>
  </si>
  <si>
    <t>Stocks: EM</t>
  </si>
  <si>
    <t>Stocks: Europe</t>
  </si>
  <si>
    <t>Stocks: Far East ex Japan</t>
  </si>
  <si>
    <t>Stocks: Japan</t>
  </si>
  <si>
    <t>Market Excess Return</t>
  </si>
  <si>
    <t>Small-Minus-Big</t>
  </si>
  <si>
    <t>High-Minus-Low (Value-Minus-Growth)</t>
  </si>
  <si>
    <t>Momentum</t>
  </si>
  <si>
    <t>Date</t>
  </si>
  <si>
    <t>Rm - Rf</t>
  </si>
  <si>
    <t>SMB</t>
  </si>
  <si>
    <t>HML</t>
  </si>
  <si>
    <t>MOM</t>
  </si>
  <si>
    <t>Start</t>
  </si>
  <si>
    <t>02 - Harbor Large Cap Value Fund (Institutional)</t>
  </si>
  <si>
    <t>Style</t>
  </si>
  <si>
    <t>06 - Vanguard Long-Term Investment-Grade Fund (Investor)</t>
  </si>
  <si>
    <t>Fund</t>
  </si>
  <si>
    <t>Stop</t>
  </si>
  <si>
    <t>x</t>
  </si>
  <si>
    <t>Return</t>
  </si>
  <si>
    <t>Error</t>
  </si>
  <si>
    <t>Go Back to Front Page</t>
  </si>
  <si>
    <t>X Variable 4</t>
  </si>
  <si>
    <t>X Variable 3</t>
  </si>
  <si>
    <t>X Variable 2</t>
  </si>
  <si>
    <t>X Variable 1</t>
  </si>
  <si>
    <t>Intercept</t>
  </si>
  <si>
    <t>Upper 95.0%</t>
  </si>
  <si>
    <t>Lower 95.0%</t>
  </si>
  <si>
    <t>Upper 95%</t>
  </si>
  <si>
    <t>Lower 95%</t>
  </si>
  <si>
    <t>P-value</t>
  </si>
  <si>
    <t>t Stat</t>
  </si>
  <si>
    <t>Standard Error</t>
  </si>
  <si>
    <t>Coefficients</t>
  </si>
  <si>
    <t>Total</t>
  </si>
  <si>
    <t>Residual</t>
  </si>
  <si>
    <t>Regression</t>
  </si>
  <si>
    <t>Significance F</t>
  </si>
  <si>
    <t>MS</t>
  </si>
  <si>
    <t>SS</t>
  </si>
  <si>
    <t>df</t>
  </si>
  <si>
    <t>ANOVA</t>
  </si>
  <si>
    <t>Observations</t>
  </si>
  <si>
    <t>Adjusted R Square</t>
  </si>
  <si>
    <t>R Square</t>
  </si>
  <si>
    <t>Multiple R</t>
  </si>
  <si>
    <t>Regression Statistics</t>
  </si>
  <si>
    <t>SUMMARY OUTPUT</t>
  </si>
  <si>
    <t>Selection</t>
  </si>
  <si>
    <t xml:space="preserve">Fund </t>
  </si>
  <si>
    <t>Guess</t>
  </si>
  <si>
    <t>Far East ex Japan</t>
  </si>
  <si>
    <t>US Growth Stocks</t>
  </si>
  <si>
    <t>Mid Cap &amp; Large Cap Value</t>
  </si>
  <si>
    <t>US  Value Stocks</t>
  </si>
  <si>
    <t>Based on the assumption that seperating the entire data set into two equal periods and monitor on the changes in the fund invested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</si>
</sst>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yy"/>
    <numFmt numFmtId="165" formatCode="0.0000%"/>
    <numFmt numFmtId="166" formatCode="[$-409]d\-mmm\-yyyy;@"/>
    <numFmt numFmtId="167" formatCode="m/d/yy;@"/>
    <numFmt numFmtId="168" formatCode="0.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theme="1"/>
      <name val="Times New Roman"/>
      <family val="1"/>
    </font>
    <font>
      <sz val="10"/>
      <color rgb="FF00B050"/>
      <name val="Times New Roman"/>
      <family val="1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0000FF"/>
      <name val="Times New Roman"/>
      <family val="1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>
      <alignment vertical="center"/>
    </xf>
    <xf numFmtId="0" fontId="9" fillId="0" borderId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1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right" vertical="center" wrapText="1"/>
    </xf>
    <xf numFmtId="0" fontId="2" fillId="0" borderId="0" xfId="0" applyFont="1" applyAlignment="1">
      <alignment horizontal="center" vertical="center"/>
    </xf>
    <xf numFmtId="164" fontId="3" fillId="0" borderId="0" xfId="2" applyNumberFormat="1" applyAlignment="1">
      <alignment horizontal="right" vertical="center"/>
    </xf>
    <xf numFmtId="0" fontId="3" fillId="0" borderId="0" xfId="2" applyAlignment="1">
      <alignment horizontal="center" vertical="center"/>
    </xf>
    <xf numFmtId="0" fontId="3" fillId="0" borderId="0" xfId="2" applyAlignment="1">
      <alignment horizontal="right" vertical="center"/>
    </xf>
    <xf numFmtId="1" fontId="3" fillId="0" borderId="0" xfId="2" applyNumberFormat="1" applyAlignment="1">
      <alignment horizontal="center" vertical="center" wrapText="1"/>
    </xf>
    <xf numFmtId="0" fontId="3" fillId="0" borderId="0" xfId="2" applyAlignment="1">
      <alignment horizontal="right" vertical="center" wrapText="1"/>
    </xf>
    <xf numFmtId="0" fontId="3" fillId="0" borderId="0" xfId="2" applyAlignment="1">
      <alignment horizontal="center" vertical="center" wrapText="1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6" fillId="0" borderId="0" xfId="0" applyNumberFormat="1" applyFont="1" applyAlignment="1">
      <alignment horizontal="center" vertical="center"/>
    </xf>
    <xf numFmtId="165" fontId="6" fillId="0" borderId="0" xfId="1" applyNumberFormat="1" applyFont="1" applyFill="1" applyAlignment="1">
      <alignment horizontal="center" vertical="center"/>
    </xf>
    <xf numFmtId="165" fontId="6" fillId="0" borderId="0" xfId="1" applyNumberFormat="1" applyFont="1" applyAlignment="1">
      <alignment vertical="center"/>
    </xf>
    <xf numFmtId="0" fontId="8" fillId="0" borderId="0" xfId="0" applyFont="1" applyAlignment="1">
      <alignment horizontal="right"/>
    </xf>
    <xf numFmtId="14" fontId="7" fillId="0" borderId="0" xfId="0" applyNumberFormat="1" applyFont="1"/>
    <xf numFmtId="0" fontId="7" fillId="0" borderId="0" xfId="0" applyFont="1"/>
    <xf numFmtId="0" fontId="7" fillId="0" borderId="0" xfId="0" applyFont="1" applyAlignment="1">
      <alignment horizontal="right"/>
    </xf>
    <xf numFmtId="14" fontId="8" fillId="0" borderId="0" xfId="0" applyNumberFormat="1" applyFont="1" applyAlignment="1">
      <alignment horizontal="right"/>
    </xf>
    <xf numFmtId="0" fontId="11" fillId="0" borderId="0" xfId="0" applyFont="1"/>
    <xf numFmtId="0" fontId="4" fillId="0" borderId="0" xfId="0" applyFont="1" applyAlignment="1">
      <alignment horizontal="center" vertical="center" wrapText="1"/>
    </xf>
    <xf numFmtId="166" fontId="12" fillId="0" borderId="0" xfId="0" applyNumberFormat="1" applyFont="1" applyAlignment="1">
      <alignment horizontal="center" vertical="center" wrapText="1"/>
    </xf>
    <xf numFmtId="0" fontId="0" fillId="3" borderId="0" xfId="0" applyFill="1"/>
    <xf numFmtId="0" fontId="0" fillId="2" borderId="0" xfId="0" applyFill="1"/>
    <xf numFmtId="10" fontId="0" fillId="0" borderId="0" xfId="1" applyNumberFormat="1" applyFont="1"/>
    <xf numFmtId="166" fontId="2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0" fillId="4" borderId="0" xfId="0" applyNumberFormat="1" applyFill="1"/>
    <xf numFmtId="0" fontId="2" fillId="0" borderId="0" xfId="0" applyFont="1" applyAlignment="1">
      <alignment horizontal="left" vertical="top"/>
    </xf>
    <xf numFmtId="0" fontId="13" fillId="0" borderId="0" xfId="9"/>
    <xf numFmtId="166" fontId="6" fillId="0" borderId="0" xfId="0" applyNumberFormat="1" applyFont="1" applyAlignment="1">
      <alignment horizontal="center" vertical="center"/>
    </xf>
    <xf numFmtId="167" fontId="0" fillId="0" borderId="0" xfId="0" applyNumberFormat="1"/>
    <xf numFmtId="0" fontId="0" fillId="0" borderId="1" xfId="0" applyBorder="1"/>
    <xf numFmtId="0" fontId="14" fillId="0" borderId="2" xfId="0" applyFont="1" applyBorder="1" applyAlignment="1">
      <alignment horizontal="center"/>
    </xf>
    <xf numFmtId="14" fontId="0" fillId="0" borderId="0" xfId="0" applyNumberFormat="1"/>
    <xf numFmtId="0" fontId="14" fillId="0" borderId="2" xfId="0" applyFont="1" applyBorder="1" applyAlignment="1">
      <alignment horizontal="centerContinuous"/>
    </xf>
    <xf numFmtId="0" fontId="12" fillId="0" borderId="0" xfId="0" applyFont="1" applyAlignment="1">
      <alignment horizontal="center" vertical="center"/>
    </xf>
    <xf numFmtId="168" fontId="4" fillId="0" borderId="0" xfId="0" applyNumberFormat="1" applyFont="1" applyAlignment="1">
      <alignment horizontal="center" vertical="center" wrapText="1"/>
    </xf>
    <xf numFmtId="165" fontId="0" fillId="0" borderId="0" xfId="1" applyNumberFormat="1" applyFont="1"/>
    <xf numFmtId="9" fontId="0" fillId="0" borderId="0" xfId="0" applyNumberFormat="1"/>
    <xf numFmtId="10" fontId="15" fillId="0" borderId="0" xfId="1" applyNumberFormat="1" applyFont="1"/>
    <xf numFmtId="0" fontId="15" fillId="0" borderId="0" xfId="0" applyFont="1"/>
    <xf numFmtId="0" fontId="0" fillId="0" borderId="0" xfId="0" applyAlignment="1">
      <alignment horizontal="center" vertical="center"/>
    </xf>
  </cellXfs>
  <cellStyles count="11">
    <cellStyle name="Comma 2" xfId="5" xr:uid="{00000000-0005-0000-0000-000000000000}"/>
    <cellStyle name="Currency 2" xfId="6" xr:uid="{00000000-0005-0000-0000-000001000000}"/>
    <cellStyle name="Currency 3" xfId="10" xr:uid="{2A25C4A5-B2FD-EF4D-A83B-3AB07B0C7716}"/>
    <cellStyle name="Hyperlink" xfId="9" builtinId="8"/>
    <cellStyle name="Normal" xfId="0" builtinId="0"/>
    <cellStyle name="Normal 2" xfId="7" xr:uid="{00000000-0005-0000-0000-000003000000}"/>
    <cellStyle name="Normal 2 2" xfId="3" xr:uid="{00000000-0005-0000-0000-000004000000}"/>
    <cellStyle name="Normal 3" xfId="4" xr:uid="{00000000-0005-0000-0000-000005000000}"/>
    <cellStyle name="Normal_Returns Benchmarks" xfId="2" xr:uid="{00000000-0005-0000-0000-000006000000}"/>
    <cellStyle name="Percent" xfId="1" builtinId="5"/>
    <cellStyle name="Percent 2" xfId="8" xr:uid="{00000000-0005-0000-0000-000008000000}"/>
  </cellStyles>
  <dxfs count="3"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StyleOverTime!$A$3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75933093109125"/>
          <c:y val="0.12153568514308703"/>
          <c:w val="0.82490555629698825"/>
          <c:h val="0.73862741081646044"/>
        </c:manualLayout>
      </c:layout>
      <c:scatterChart>
        <c:scatterStyle val="lineMarker"/>
        <c:varyColors val="0"/>
        <c:ser>
          <c:idx val="0"/>
          <c:order val="0"/>
          <c:spPr>
            <a:ln w="34925"/>
          </c:spPr>
          <c:marker>
            <c:symbol val="none"/>
          </c:marker>
          <c:xVal>
            <c:numRef>
              <c:f>[0]!StopDate</c:f>
              <c:numCache>
                <c:formatCode>m/d/yy</c:formatCode>
                <c:ptCount val="51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xVal>
          <c:yVal>
            <c:numRef>
              <c:f>[0]!Style</c:f>
              <c:numCache>
                <c:formatCode>General</c:formatCode>
                <c:ptCount val="50"/>
                <c:pt idx="0">
                  <c:v>0.22784460372602688</c:v>
                </c:pt>
                <c:pt idx="1">
                  <c:v>0.2272555909140187</c:v>
                </c:pt>
                <c:pt idx="2">
                  <c:v>0.24221366154787338</c:v>
                </c:pt>
                <c:pt idx="3">
                  <c:v>0.2425626392017084</c:v>
                </c:pt>
                <c:pt idx="4">
                  <c:v>0.25483718684450385</c:v>
                </c:pt>
                <c:pt idx="5">
                  <c:v>0.25021005598163926</c:v>
                </c:pt>
                <c:pt idx="6">
                  <c:v>0.25307828439341029</c:v>
                </c:pt>
                <c:pt idx="7">
                  <c:v>0.25570713589158411</c:v>
                </c:pt>
                <c:pt idx="8">
                  <c:v>0.25834126044145456</c:v>
                </c:pt>
                <c:pt idx="9">
                  <c:v>0.24795680377564211</c:v>
                </c:pt>
                <c:pt idx="10">
                  <c:v>0.25559334863908145</c:v>
                </c:pt>
                <c:pt idx="11">
                  <c:v>0.25631081370113662</c:v>
                </c:pt>
                <c:pt idx="12">
                  <c:v>0.26997480670301643</c:v>
                </c:pt>
                <c:pt idx="13">
                  <c:v>0.27800792190048262</c:v>
                </c:pt>
                <c:pt idx="14">
                  <c:v>0.2746585240956988</c:v>
                </c:pt>
                <c:pt idx="15">
                  <c:v>0.29241126360337943</c:v>
                </c:pt>
                <c:pt idx="16">
                  <c:v>0.28961511620833502</c:v>
                </c:pt>
                <c:pt idx="17">
                  <c:v>0.28163744974089244</c:v>
                </c:pt>
                <c:pt idx="18">
                  <c:v>0.28126686837448489</c:v>
                </c:pt>
                <c:pt idx="19">
                  <c:v>0.28088401122520168</c:v>
                </c:pt>
                <c:pt idx="20">
                  <c:v>0.28884466855690438</c:v>
                </c:pt>
                <c:pt idx="21">
                  <c:v>0.28746173282235277</c:v>
                </c:pt>
                <c:pt idx="22">
                  <c:v>0.28123736159090063</c:v>
                </c:pt>
                <c:pt idx="23">
                  <c:v>0.27472747472617809</c:v>
                </c:pt>
                <c:pt idx="24">
                  <c:v>0.23001065859903957</c:v>
                </c:pt>
                <c:pt idx="25">
                  <c:v>0.23409276093098041</c:v>
                </c:pt>
                <c:pt idx="26">
                  <c:v>0.2344299883046691</c:v>
                </c:pt>
                <c:pt idx="27">
                  <c:v>0.24220513058379101</c:v>
                </c:pt>
                <c:pt idx="28">
                  <c:v>0.37334170685909951</c:v>
                </c:pt>
                <c:pt idx="29">
                  <c:v>0.36971799652342363</c:v>
                </c:pt>
                <c:pt idx="30">
                  <c:v>0.36627676566800615</c:v>
                </c:pt>
                <c:pt idx="31">
                  <c:v>0.35562180613388383</c:v>
                </c:pt>
                <c:pt idx="32">
                  <c:v>0.34185442708782465</c:v>
                </c:pt>
                <c:pt idx="33">
                  <c:v>0.35627560941095615</c:v>
                </c:pt>
                <c:pt idx="34">
                  <c:v>0.35987337506268857</c:v>
                </c:pt>
                <c:pt idx="35">
                  <c:v>0.36810828218790415</c:v>
                </c:pt>
                <c:pt idx="36">
                  <c:v>0.40845675577193141</c:v>
                </c:pt>
                <c:pt idx="37">
                  <c:v>0.4051082156843312</c:v>
                </c:pt>
                <c:pt idx="38">
                  <c:v>0.4020611419885034</c:v>
                </c:pt>
                <c:pt idx="39">
                  <c:v>0.39356302378502916</c:v>
                </c:pt>
                <c:pt idx="40">
                  <c:v>0.49496359673623791</c:v>
                </c:pt>
                <c:pt idx="41">
                  <c:v>0.48513849078363713</c:v>
                </c:pt>
                <c:pt idx="42">
                  <c:v>0.49493195544573187</c:v>
                </c:pt>
                <c:pt idx="43">
                  <c:v>0.50195709477877759</c:v>
                </c:pt>
                <c:pt idx="44">
                  <c:v>0.50973775708346059</c:v>
                </c:pt>
                <c:pt idx="45">
                  <c:v>0.51857210904477302</c:v>
                </c:pt>
                <c:pt idx="46">
                  <c:v>0.51270805237435102</c:v>
                </c:pt>
                <c:pt idx="47">
                  <c:v>0.52375170592293352</c:v>
                </c:pt>
                <c:pt idx="48">
                  <c:v>0.5283618095923559</c:v>
                </c:pt>
                <c:pt idx="49">
                  <c:v>0.54996980134869933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9B-4AFD-9D30-351850F65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43808"/>
        <c:axId val="170009728"/>
      </c:scatterChart>
      <c:valAx>
        <c:axId val="170343808"/>
        <c:scaling>
          <c:orientation val="minMax"/>
          <c:min val="3600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170009728"/>
        <c:crosses val="autoZero"/>
        <c:crossBetween val="midCat"/>
      </c:valAx>
      <c:valAx>
        <c:axId val="17000972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Style</a:t>
                </a:r>
              </a:p>
            </c:rich>
          </c:tx>
          <c:layout>
            <c:manualLayout>
              <c:xMode val="edge"/>
              <c:yMode val="edge"/>
              <c:x val="2.1734774678588909E-2"/>
              <c:y val="0.4356277577198285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1703438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StyleOverTime!$A$3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StyleOverTime!$A$4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0.24249446285457082</c:v>
                </c:pt>
                <c:pt idx="37">
                  <c:v>0.24155321598025439</c:v>
                </c:pt>
                <c:pt idx="38">
                  <c:v>0.23721593457466025</c:v>
                </c:pt>
                <c:pt idx="39">
                  <c:v>0.30394693453948446</c:v>
                </c:pt>
                <c:pt idx="40">
                  <c:v>7.1040695858453351E-2</c:v>
                </c:pt>
                <c:pt idx="41">
                  <c:v>0.16991287474388625</c:v>
                </c:pt>
                <c:pt idx="42">
                  <c:v>0.15914103976628866</c:v>
                </c:pt>
                <c:pt idx="43">
                  <c:v>0.14012801192003879</c:v>
                </c:pt>
                <c:pt idx="44">
                  <c:v>3.3058668792414141E-2</c:v>
                </c:pt>
                <c:pt idx="45">
                  <c:v>0.15171918856662475</c:v>
                </c:pt>
                <c:pt idx="46">
                  <c:v>0.17033172472367855</c:v>
                </c:pt>
                <c:pt idx="47">
                  <c:v>0.14923253863312932</c:v>
                </c:pt>
                <c:pt idx="48">
                  <c:v>0.15958492414905356</c:v>
                </c:pt>
                <c:pt idx="49">
                  <c:v>8.2606674607834316E-2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2-4991-A5B7-C61D1650E3F7}"/>
            </c:ext>
          </c:extLst>
        </c:ser>
        <c:ser>
          <c:idx val="2"/>
          <c:order val="1"/>
          <c:tx>
            <c:strRef>
              <c:f>StyleOverTime!$A$5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StyleOverTime!$B$5:$FY$5</c:f>
              <c:numCache>
                <c:formatCode>General</c:formatCode>
                <c:ptCount val="180"/>
                <c:pt idx="0">
                  <c:v>0.3666343883837519</c:v>
                </c:pt>
                <c:pt idx="1">
                  <c:v>0.37375301028364027</c:v>
                </c:pt>
                <c:pt idx="2">
                  <c:v>0.27223458578892584</c:v>
                </c:pt>
                <c:pt idx="3">
                  <c:v>0.23968701365479769</c:v>
                </c:pt>
                <c:pt idx="4">
                  <c:v>0.32542420118527704</c:v>
                </c:pt>
                <c:pt idx="5">
                  <c:v>0.31524838002261163</c:v>
                </c:pt>
                <c:pt idx="6">
                  <c:v>0.3194554695619316</c:v>
                </c:pt>
                <c:pt idx="7">
                  <c:v>0.30358915353712435</c:v>
                </c:pt>
                <c:pt idx="8">
                  <c:v>0.2769864210122156</c:v>
                </c:pt>
                <c:pt idx="9">
                  <c:v>0.28653710196236643</c:v>
                </c:pt>
                <c:pt idx="10">
                  <c:v>0.35418934602115931</c:v>
                </c:pt>
                <c:pt idx="11">
                  <c:v>0.35939798802606787</c:v>
                </c:pt>
                <c:pt idx="12">
                  <c:v>0.34676673831039079</c:v>
                </c:pt>
                <c:pt idx="13">
                  <c:v>0.32010546060919509</c:v>
                </c:pt>
                <c:pt idx="14">
                  <c:v>0.28287855136413481</c:v>
                </c:pt>
                <c:pt idx="15">
                  <c:v>0.23780940682726964</c:v>
                </c:pt>
                <c:pt idx="16">
                  <c:v>0.24336599337717141</c:v>
                </c:pt>
                <c:pt idx="17">
                  <c:v>0.2071565734896724</c:v>
                </c:pt>
                <c:pt idx="18">
                  <c:v>0.21668332713227442</c:v>
                </c:pt>
                <c:pt idx="19">
                  <c:v>0.22539493692839277</c:v>
                </c:pt>
                <c:pt idx="20">
                  <c:v>0.23894167912488382</c:v>
                </c:pt>
                <c:pt idx="21">
                  <c:v>0.23023566278922675</c:v>
                </c:pt>
                <c:pt idx="22">
                  <c:v>0.19934450174174367</c:v>
                </c:pt>
                <c:pt idx="23">
                  <c:v>0.21390705016775974</c:v>
                </c:pt>
                <c:pt idx="24">
                  <c:v>0.28566647783560167</c:v>
                </c:pt>
                <c:pt idx="25">
                  <c:v>0.28791596794049751</c:v>
                </c:pt>
                <c:pt idx="26">
                  <c:v>0.17378218975040347</c:v>
                </c:pt>
                <c:pt idx="27">
                  <c:v>0.16081137129607626</c:v>
                </c:pt>
                <c:pt idx="28">
                  <c:v>0.23032492682124667</c:v>
                </c:pt>
                <c:pt idx="29">
                  <c:v>0.26933288076797623</c:v>
                </c:pt>
                <c:pt idx="30">
                  <c:v>0.23824785987139882</c:v>
                </c:pt>
                <c:pt idx="31">
                  <c:v>0.22126128290227048</c:v>
                </c:pt>
                <c:pt idx="32">
                  <c:v>0.15999174733165075</c:v>
                </c:pt>
                <c:pt idx="33">
                  <c:v>0.13706369706454757</c:v>
                </c:pt>
                <c:pt idx="34">
                  <c:v>7.0088166011370592E-2</c:v>
                </c:pt>
                <c:pt idx="35">
                  <c:v>6.433547273638282E-2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8.2211631632914534E-2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B2-4991-A5B7-C61D1650E3F7}"/>
            </c:ext>
          </c:extLst>
        </c:ser>
        <c:ser>
          <c:idx val="3"/>
          <c:order val="2"/>
          <c:tx>
            <c:strRef>
              <c:f>StyleOverTime!$A$6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9.3968772669350512E-2</c:v>
                </c:pt>
                <c:pt idx="3">
                  <c:v>0.11439800747971796</c:v>
                </c:pt>
                <c:pt idx="4">
                  <c:v>2.861637491270513E-2</c:v>
                </c:pt>
                <c:pt idx="5">
                  <c:v>2.9891168637664684E-2</c:v>
                </c:pt>
                <c:pt idx="6">
                  <c:v>3.4944556139225959E-2</c:v>
                </c:pt>
                <c:pt idx="7">
                  <c:v>4.4835257938745925E-2</c:v>
                </c:pt>
                <c:pt idx="8">
                  <c:v>5.1881600590254096E-2</c:v>
                </c:pt>
                <c:pt idx="9">
                  <c:v>7.1434423702847902E-2</c:v>
                </c:pt>
                <c:pt idx="10">
                  <c:v>0</c:v>
                </c:pt>
                <c:pt idx="11">
                  <c:v>6.3772000129565989E-3</c:v>
                </c:pt>
                <c:pt idx="12">
                  <c:v>1.4283988633445209E-3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3.0246212850906371E-2</c:v>
                </c:pt>
                <c:pt idx="18">
                  <c:v>2.3898295492848991E-2</c:v>
                </c:pt>
                <c:pt idx="19">
                  <c:v>1.1872722301272691E-2</c:v>
                </c:pt>
                <c:pt idx="20">
                  <c:v>9.4352727121531062E-4</c:v>
                </c:pt>
                <c:pt idx="21">
                  <c:v>7.615829767370616E-3</c:v>
                </c:pt>
                <c:pt idx="22">
                  <c:v>3.5558060852543066E-2</c:v>
                </c:pt>
                <c:pt idx="23">
                  <c:v>2.8410968151077916E-2</c:v>
                </c:pt>
                <c:pt idx="24">
                  <c:v>4.8800492104222479E-2</c:v>
                </c:pt>
                <c:pt idx="25">
                  <c:v>4.5400210947220021E-2</c:v>
                </c:pt>
                <c:pt idx="26">
                  <c:v>0.1752947547189522</c:v>
                </c:pt>
                <c:pt idx="27">
                  <c:v>0.17224578700518658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4.3144852816303661E-2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B2-4991-A5B7-C61D1650E3F7}"/>
            </c:ext>
          </c:extLst>
        </c:ser>
        <c:ser>
          <c:idx val="4"/>
          <c:order val="3"/>
          <c:tx>
            <c:strRef>
              <c:f>StyleOverTime!$A$7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5.7339297664865854E-2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B2-4991-A5B7-C61D1650E3F7}"/>
            </c:ext>
          </c:extLst>
        </c:ser>
        <c:ser>
          <c:idx val="5"/>
          <c:order val="4"/>
          <c:tx>
            <c:strRef>
              <c:f>StyleOverTime!$A$8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0.14755217695894648</c:v>
                </c:pt>
                <c:pt idx="41">
                  <c:v>4.7088122245807544E-2</c:v>
                </c:pt>
                <c:pt idx="42">
                  <c:v>5.2322412735642185E-2</c:v>
                </c:pt>
                <c:pt idx="43">
                  <c:v>6.465790285915364E-2</c:v>
                </c:pt>
                <c:pt idx="44">
                  <c:v>0.10789731707825247</c:v>
                </c:pt>
                <c:pt idx="45">
                  <c:v>3.1855403259303861E-2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7.1487519866123381E-2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B2-4991-A5B7-C61D1650E3F7}"/>
            </c:ext>
          </c:extLst>
        </c:ser>
        <c:ser>
          <c:idx val="6"/>
          <c:order val="5"/>
          <c:tx>
            <c:strRef>
              <c:f>StyleOverTime!$A$9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4.137043743982545E-2</c:v>
                </c:pt>
                <c:pt idx="29">
                  <c:v>0</c:v>
                </c:pt>
                <c:pt idx="30">
                  <c:v>3.7407597528922816E-2</c:v>
                </c:pt>
                <c:pt idx="31">
                  <c:v>6.5326280992033331E-2</c:v>
                </c:pt>
                <c:pt idx="32">
                  <c:v>0.14554315360578324</c:v>
                </c:pt>
                <c:pt idx="33">
                  <c:v>0.16508541988616654</c:v>
                </c:pt>
                <c:pt idx="34">
                  <c:v>0.23515218684032288</c:v>
                </c:pt>
                <c:pt idx="35">
                  <c:v>0.22239065648269077</c:v>
                </c:pt>
                <c:pt idx="36">
                  <c:v>6.4874028669812081E-2</c:v>
                </c:pt>
                <c:pt idx="37">
                  <c:v>6.7234355890936862E-2</c:v>
                </c:pt>
                <c:pt idx="38">
                  <c:v>6.5337241691214409E-2</c:v>
                </c:pt>
                <c:pt idx="39">
                  <c:v>2.0523277180662308E-2</c:v>
                </c:pt>
                <c:pt idx="40">
                  <c:v>1.9244890675719016E-2</c:v>
                </c:pt>
                <c:pt idx="41">
                  <c:v>5.3727039764344085E-2</c:v>
                </c:pt>
                <c:pt idx="42">
                  <c:v>4.9532656798660861E-2</c:v>
                </c:pt>
                <c:pt idx="43">
                  <c:v>5.3470968856695944E-2</c:v>
                </c:pt>
                <c:pt idx="44">
                  <c:v>0.11716367278159012</c:v>
                </c:pt>
                <c:pt idx="45">
                  <c:v>9.40039050436349E-2</c:v>
                </c:pt>
                <c:pt idx="46">
                  <c:v>0.11396480391887669</c:v>
                </c:pt>
                <c:pt idx="47">
                  <c:v>0.12260730381241562</c:v>
                </c:pt>
                <c:pt idx="48">
                  <c:v>0.10817305028453315</c:v>
                </c:pt>
                <c:pt idx="49">
                  <c:v>8.5435106232876715E-2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B2-4991-A5B7-C61D1650E3F7}"/>
            </c:ext>
          </c:extLst>
        </c:ser>
        <c:ser>
          <c:idx val="7"/>
          <c:order val="6"/>
          <c:tx>
            <c:strRef>
              <c:f>StyleOverTime!$A$10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StyleOverTime!$B$10:$FY$10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B2-4991-A5B7-C61D1650E3F7}"/>
            </c:ext>
          </c:extLst>
        </c:ser>
        <c:ser>
          <c:idx val="8"/>
          <c:order val="7"/>
          <c:tx>
            <c:strRef>
              <c:f>StyleOverTime!$A$11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0.15151915182095232</c:v>
                </c:pt>
                <c:pt idx="41">
                  <c:v>0.13564370976464951</c:v>
                </c:pt>
                <c:pt idx="42">
                  <c:v>0.14250566325483516</c:v>
                </c:pt>
                <c:pt idx="43">
                  <c:v>0.14254594895809836</c:v>
                </c:pt>
                <c:pt idx="44">
                  <c:v>0.12839614598824273</c:v>
                </c:pt>
                <c:pt idx="45">
                  <c:v>0.12459689748481405</c:v>
                </c:pt>
                <c:pt idx="46">
                  <c:v>0.12653695439474338</c:v>
                </c:pt>
                <c:pt idx="47">
                  <c:v>0.12403454672165043</c:v>
                </c:pt>
                <c:pt idx="48">
                  <c:v>0.12880684720967422</c:v>
                </c:pt>
                <c:pt idx="49">
                  <c:v>0.1822584435368616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B2-4991-A5B7-C61D1650E3F7}"/>
            </c:ext>
          </c:extLst>
        </c:ser>
        <c:ser>
          <c:idx val="9"/>
          <c:order val="8"/>
          <c:tx>
            <c:strRef>
              <c:f>StyleOverTime!$A$12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StyleOverTime!$B$12:$FY$12</c:f>
              <c:numCache>
                <c:formatCode>General</c:formatCode>
                <c:ptCount val="180"/>
                <c:pt idx="0">
                  <c:v>0.1283379603700868</c:v>
                </c:pt>
                <c:pt idx="1">
                  <c:v>0.15338486671635418</c:v>
                </c:pt>
                <c:pt idx="2">
                  <c:v>0.12960584534025063</c:v>
                </c:pt>
                <c:pt idx="3">
                  <c:v>9.7940670152033255E-2</c:v>
                </c:pt>
                <c:pt idx="4">
                  <c:v>0.1797659699555019</c:v>
                </c:pt>
                <c:pt idx="5">
                  <c:v>0.14788491053271938</c:v>
                </c:pt>
                <c:pt idx="6">
                  <c:v>0.15432142665440934</c:v>
                </c:pt>
                <c:pt idx="7">
                  <c:v>0.17028258625675799</c:v>
                </c:pt>
                <c:pt idx="8">
                  <c:v>0.1760956538796917</c:v>
                </c:pt>
                <c:pt idx="9">
                  <c:v>0.14358180761194944</c:v>
                </c:pt>
                <c:pt idx="10">
                  <c:v>0.2905528015656158</c:v>
                </c:pt>
                <c:pt idx="11">
                  <c:v>0.26321289663078329</c:v>
                </c:pt>
                <c:pt idx="12">
                  <c:v>0.27350541452764837</c:v>
                </c:pt>
                <c:pt idx="13">
                  <c:v>0.26774328271452863</c:v>
                </c:pt>
                <c:pt idx="14">
                  <c:v>0.34342853871018353</c:v>
                </c:pt>
                <c:pt idx="15">
                  <c:v>0.44331385471503976</c:v>
                </c:pt>
                <c:pt idx="16">
                  <c:v>0.43694940480168099</c:v>
                </c:pt>
                <c:pt idx="17">
                  <c:v>0.46529837486102787</c:v>
                </c:pt>
                <c:pt idx="18">
                  <c:v>0.47016198714453289</c:v>
                </c:pt>
                <c:pt idx="19">
                  <c:v>0.47330425579422186</c:v>
                </c:pt>
                <c:pt idx="20">
                  <c:v>0.48257371122799175</c:v>
                </c:pt>
                <c:pt idx="21">
                  <c:v>0.48687598559218687</c:v>
                </c:pt>
                <c:pt idx="22">
                  <c:v>0.52629446007062508</c:v>
                </c:pt>
                <c:pt idx="23">
                  <c:v>0.50377666722881775</c:v>
                </c:pt>
                <c:pt idx="24">
                  <c:v>0.5682731944784416</c:v>
                </c:pt>
                <c:pt idx="25">
                  <c:v>0.56603620037295477</c:v>
                </c:pt>
                <c:pt idx="26">
                  <c:v>0.54500797628263542</c:v>
                </c:pt>
                <c:pt idx="27">
                  <c:v>0.55547432838865396</c:v>
                </c:pt>
                <c:pt idx="28">
                  <c:v>0.55476174648164056</c:v>
                </c:pt>
                <c:pt idx="29">
                  <c:v>0.56218912680686539</c:v>
                </c:pt>
                <c:pt idx="30">
                  <c:v>0.55809590586745939</c:v>
                </c:pt>
                <c:pt idx="31">
                  <c:v>0.55466085300936163</c:v>
                </c:pt>
                <c:pt idx="32">
                  <c:v>0.52281196434581789</c:v>
                </c:pt>
                <c:pt idx="33">
                  <c:v>0.52456169931497743</c:v>
                </c:pt>
                <c:pt idx="34">
                  <c:v>0.52515635087167156</c:v>
                </c:pt>
                <c:pt idx="35">
                  <c:v>0.55130197761418687</c:v>
                </c:pt>
                <c:pt idx="36">
                  <c:v>0.46542105271717343</c:v>
                </c:pt>
                <c:pt idx="37">
                  <c:v>0.45454849625907484</c:v>
                </c:pt>
                <c:pt idx="38">
                  <c:v>0.43976881268818302</c:v>
                </c:pt>
                <c:pt idx="39">
                  <c:v>0.43252069441240776</c:v>
                </c:pt>
                <c:pt idx="40">
                  <c:v>0.38392841257907684</c:v>
                </c:pt>
                <c:pt idx="41">
                  <c:v>0.38414438149433527</c:v>
                </c:pt>
                <c:pt idx="42">
                  <c:v>0.38166148996116722</c:v>
                </c:pt>
                <c:pt idx="43">
                  <c:v>0.38616480158887423</c:v>
                </c:pt>
                <c:pt idx="44">
                  <c:v>0.42746006979708195</c:v>
                </c:pt>
                <c:pt idx="45">
                  <c:v>0.41619363195751402</c:v>
                </c:pt>
                <c:pt idx="46">
                  <c:v>0.39708888250685487</c:v>
                </c:pt>
                <c:pt idx="47">
                  <c:v>0.42361175420365016</c:v>
                </c:pt>
                <c:pt idx="48">
                  <c:v>0.42758033515129729</c:v>
                </c:pt>
                <c:pt idx="49">
                  <c:v>0.39989359555856135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B2-4991-A5B7-C61D1650E3F7}"/>
            </c:ext>
          </c:extLst>
        </c:ser>
        <c:ser>
          <c:idx val="10"/>
          <c:order val="9"/>
          <c:tx>
            <c:strRef>
              <c:f>StyleOverTime!$A$13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B2-4991-A5B7-C61D1650E3F7}"/>
            </c:ext>
          </c:extLst>
        </c:ser>
        <c:ser>
          <c:idx val="11"/>
          <c:order val="10"/>
          <c:tx>
            <c:strRef>
              <c:f>StyleOverTime!$A$14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StyleOverTime!$B$14:$FY$14</c:f>
              <c:numCache>
                <c:formatCode>General</c:formatCode>
                <c:ptCount val="180"/>
                <c:pt idx="0">
                  <c:v>8.217876696499743E-2</c:v>
                </c:pt>
                <c:pt idx="1">
                  <c:v>9.7618530276187637E-2</c:v>
                </c:pt>
                <c:pt idx="2">
                  <c:v>0.10216742928488572</c:v>
                </c:pt>
                <c:pt idx="3">
                  <c:v>8.8694644372579776E-2</c:v>
                </c:pt>
                <c:pt idx="4">
                  <c:v>8.4642513021336976E-2</c:v>
                </c:pt>
                <c:pt idx="5">
                  <c:v>7.5852207052695783E-2</c:v>
                </c:pt>
                <c:pt idx="6">
                  <c:v>8.1867361155495547E-2</c:v>
                </c:pt>
                <c:pt idx="7">
                  <c:v>8.1411409749305219E-2</c:v>
                </c:pt>
                <c:pt idx="8">
                  <c:v>7.5228467671946977E-2</c:v>
                </c:pt>
                <c:pt idx="9">
                  <c:v>0.10170550767778573</c:v>
                </c:pt>
                <c:pt idx="10">
                  <c:v>0.12301859234926592</c:v>
                </c:pt>
                <c:pt idx="11">
                  <c:v>0.14307714321732787</c:v>
                </c:pt>
                <c:pt idx="12">
                  <c:v>0.15381875499778583</c:v>
                </c:pt>
                <c:pt idx="13">
                  <c:v>0.13832334090087878</c:v>
                </c:pt>
                <c:pt idx="14">
                  <c:v>8.5446549826923471E-2</c:v>
                </c:pt>
                <c:pt idx="15">
                  <c:v>6.3648185445496566E-2</c:v>
                </c:pt>
                <c:pt idx="16">
                  <c:v>6.4455581324543279E-2</c:v>
                </c:pt>
                <c:pt idx="17">
                  <c:v>5.3894924035260999E-2</c:v>
                </c:pt>
                <c:pt idx="18">
                  <c:v>5.2366549655765281E-2</c:v>
                </c:pt>
                <c:pt idx="19">
                  <c:v>5.354308967872836E-2</c:v>
                </c:pt>
                <c:pt idx="20">
                  <c:v>5.3251886807790472E-2</c:v>
                </c:pt>
                <c:pt idx="21">
                  <c:v>5.3424764691252118E-2</c:v>
                </c:pt>
                <c:pt idx="22">
                  <c:v>4.4879414399262921E-2</c:v>
                </c:pt>
                <c:pt idx="23">
                  <c:v>4.0748283610688801E-2</c:v>
                </c:pt>
                <c:pt idx="24">
                  <c:v>4.2410572399616826E-2</c:v>
                </c:pt>
                <c:pt idx="25">
                  <c:v>4.4761568469878873E-2</c:v>
                </c:pt>
                <c:pt idx="26">
                  <c:v>3.7414564055055263E-2</c:v>
                </c:pt>
                <c:pt idx="27">
                  <c:v>4.0870161618364251E-2</c:v>
                </c:pt>
                <c:pt idx="28">
                  <c:v>9.7697598130178628E-2</c:v>
                </c:pt>
                <c:pt idx="29">
                  <c:v>0.1016897943612365</c:v>
                </c:pt>
                <c:pt idx="30">
                  <c:v>9.6031821459914748E-2</c:v>
                </c:pt>
                <c:pt idx="31">
                  <c:v>9.257863928616912E-2</c:v>
                </c:pt>
                <c:pt idx="32">
                  <c:v>8.4084063874513545E-2</c:v>
                </c:pt>
                <c:pt idx="33">
                  <c:v>8.4507643565193066E-2</c:v>
                </c:pt>
                <c:pt idx="34">
                  <c:v>8.228500424432042E-2</c:v>
                </c:pt>
                <c:pt idx="35">
                  <c:v>8.5288325831715583E-2</c:v>
                </c:pt>
                <c:pt idx="36">
                  <c:v>8.8932756183300959E-2</c:v>
                </c:pt>
                <c:pt idx="37">
                  <c:v>8.7635735251225214E-2</c:v>
                </c:pt>
                <c:pt idx="38">
                  <c:v>7.2833639893863142E-2</c:v>
                </c:pt>
                <c:pt idx="39">
                  <c:v>6.5031633205801798E-2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B2-4991-A5B7-C61D1650E3F7}"/>
            </c:ext>
          </c:extLst>
        </c:ser>
        <c:ser>
          <c:idx val="12"/>
          <c:order val="11"/>
          <c:tx>
            <c:strRef>
              <c:f>StyleOverTime!$A$15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StyleOverTime!$B$15:$FY$15</c:f>
              <c:numCache>
                <c:formatCode>General</c:formatCode>
                <c:ptCount val="180"/>
                <c:pt idx="0">
                  <c:v>0.26727078826699113</c:v>
                </c:pt>
                <c:pt idx="1">
                  <c:v>0.2236598553827267</c:v>
                </c:pt>
                <c:pt idx="2">
                  <c:v>0.25003934376204312</c:v>
                </c:pt>
                <c:pt idx="3">
                  <c:v>0.32270185282483627</c:v>
                </c:pt>
                <c:pt idx="4">
                  <c:v>0.27754132502017592</c:v>
                </c:pt>
                <c:pt idx="5">
                  <c:v>0.32707642892560873</c:v>
                </c:pt>
                <c:pt idx="6">
                  <c:v>0.31238609522709465</c:v>
                </c:pt>
                <c:pt idx="7">
                  <c:v>0.30209628757895995</c:v>
                </c:pt>
                <c:pt idx="8">
                  <c:v>0.32765916907502551</c:v>
                </c:pt>
                <c:pt idx="9">
                  <c:v>0.30306885968122488</c:v>
                </c:pt>
                <c:pt idx="10">
                  <c:v>0.16316909742778729</c:v>
                </c:pt>
                <c:pt idx="11">
                  <c:v>0.14868132920818528</c:v>
                </c:pt>
                <c:pt idx="12">
                  <c:v>0.17945147723245689</c:v>
                </c:pt>
                <c:pt idx="13">
                  <c:v>0.23844024822526008</c:v>
                </c:pt>
                <c:pt idx="14">
                  <c:v>0.25068504148028908</c:v>
                </c:pt>
                <c:pt idx="15">
                  <c:v>0.23103812999011639</c:v>
                </c:pt>
                <c:pt idx="16">
                  <c:v>0.22772529031914002</c:v>
                </c:pt>
                <c:pt idx="17">
                  <c:v>0.21746433009017083</c:v>
                </c:pt>
                <c:pt idx="18">
                  <c:v>0.2094581922984789</c:v>
                </c:pt>
                <c:pt idx="19">
                  <c:v>0.21029916594881712</c:v>
                </c:pt>
                <c:pt idx="20">
                  <c:v>0.19640075604041218</c:v>
                </c:pt>
                <c:pt idx="21">
                  <c:v>0.19469464641496537</c:v>
                </c:pt>
                <c:pt idx="22">
                  <c:v>0.17963872905593611</c:v>
                </c:pt>
                <c:pt idx="23">
                  <c:v>0.19330007943466057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6.9982848943540968E-2</c:v>
                </c:pt>
                <c:pt idx="37">
                  <c:v>7.7726090496108735E-2</c:v>
                </c:pt>
                <c:pt idx="38">
                  <c:v>9.7990199561824629E-2</c:v>
                </c:pt>
                <c:pt idx="39">
                  <c:v>8.442833637951401E-2</c:v>
                </c:pt>
                <c:pt idx="40">
                  <c:v>0.14200623200496776</c:v>
                </c:pt>
                <c:pt idx="41">
                  <c:v>0.11104811388699022</c:v>
                </c:pt>
                <c:pt idx="42">
                  <c:v>0.1173774043552665</c:v>
                </c:pt>
                <c:pt idx="43">
                  <c:v>0.11658914666637009</c:v>
                </c:pt>
                <c:pt idx="44">
                  <c:v>6.9575369351181152E-2</c:v>
                </c:pt>
                <c:pt idx="45">
                  <c:v>5.959329237185567E-2</c:v>
                </c:pt>
                <c:pt idx="46">
                  <c:v>7.5630781764609592E-2</c:v>
                </c:pt>
                <c:pt idx="47">
                  <c:v>6.7091902365919831E-2</c:v>
                </c:pt>
                <c:pt idx="48">
                  <c:v>6.5679375269582466E-2</c:v>
                </c:pt>
                <c:pt idx="49">
                  <c:v>8.9531696400108371E-2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B2-4991-A5B7-C61D1650E3F7}"/>
            </c:ext>
          </c:extLst>
        </c:ser>
        <c:ser>
          <c:idx val="13"/>
          <c:order val="12"/>
          <c:tx>
            <c:strRef>
              <c:f>StyleOverTime!$A$16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StyleOverTime!$B$16:$FY$16</c:f>
              <c:numCache>
                <c:formatCode>General</c:formatCode>
                <c:ptCount val="180"/>
                <c:pt idx="0">
                  <c:v>0.14199683769877824</c:v>
                </c:pt>
                <c:pt idx="1">
                  <c:v>0.14800656743853402</c:v>
                </c:pt>
                <c:pt idx="2">
                  <c:v>0.13595659963186374</c:v>
                </c:pt>
                <c:pt idx="3">
                  <c:v>0.11171685900019677</c:v>
                </c:pt>
                <c:pt idx="4">
                  <c:v>6.8525714050224576E-2</c:v>
                </c:pt>
                <c:pt idx="5">
                  <c:v>7.3536376303288589E-2</c:v>
                </c:pt>
                <c:pt idx="6">
                  <c:v>7.4675003952351091E-2</c:v>
                </c:pt>
                <c:pt idx="7">
                  <c:v>7.5284034209408768E-2</c:v>
                </c:pt>
                <c:pt idx="8">
                  <c:v>7.440953744688597E-2</c:v>
                </c:pt>
                <c:pt idx="9">
                  <c:v>8.6941497568850959E-2</c:v>
                </c:pt>
                <c:pt idx="10">
                  <c:v>6.0059291264237487E-2</c:v>
                </c:pt>
                <c:pt idx="11">
                  <c:v>6.8224153652569494E-2</c:v>
                </c:pt>
                <c:pt idx="12">
                  <c:v>1.500326574965455E-2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1.4505256296940106E-2</c:v>
                </c:pt>
                <c:pt idx="33">
                  <c:v>1.3824406166379982E-2</c:v>
                </c:pt>
                <c:pt idx="34">
                  <c:v>1.7442753358276577E-2</c:v>
                </c:pt>
                <c:pt idx="35">
                  <c:v>1.9637265796398234E-3</c:v>
                </c:pt>
                <c:pt idx="36">
                  <c:v>9.1962817516963134E-3</c:v>
                </c:pt>
                <c:pt idx="37">
                  <c:v>9.9964302348243099E-3</c:v>
                </c:pt>
                <c:pt idx="38">
                  <c:v>3.7779996497234958E-2</c:v>
                </c:pt>
                <c:pt idx="39">
                  <c:v>5.7100433884783974E-2</c:v>
                </c:pt>
                <c:pt idx="40">
                  <c:v>8.4709440101884054E-2</c:v>
                </c:pt>
                <c:pt idx="41">
                  <c:v>9.8436758099986699E-2</c:v>
                </c:pt>
                <c:pt idx="42">
                  <c:v>9.7460333128139107E-2</c:v>
                </c:pt>
                <c:pt idx="43">
                  <c:v>9.6444219150768548E-2</c:v>
                </c:pt>
                <c:pt idx="44">
                  <c:v>0.1164497562112371</c:v>
                </c:pt>
                <c:pt idx="45">
                  <c:v>0.12203868131625249</c:v>
                </c:pt>
                <c:pt idx="46">
                  <c:v>0.11644785269123649</c:v>
                </c:pt>
                <c:pt idx="47">
                  <c:v>0.11342295426323426</c:v>
                </c:pt>
                <c:pt idx="48">
                  <c:v>0.11017646793585899</c:v>
                </c:pt>
                <c:pt idx="49">
                  <c:v>5.5459647849649837E-2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B2-4991-A5B7-C61D1650E3F7}"/>
            </c:ext>
          </c:extLst>
        </c:ser>
        <c:ser>
          <c:idx val="14"/>
          <c:order val="13"/>
          <c:tx>
            <c:strRef>
              <c:f>StyleOverTime!$A$17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B2-4991-A5B7-C61D1650E3F7}"/>
            </c:ext>
          </c:extLst>
        </c:ser>
        <c:ser>
          <c:idx val="15"/>
          <c:order val="14"/>
          <c:tx>
            <c:strRef>
              <c:f>StyleOverTime!$A$18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StyleOverTime!$B$18:$FY$18</c:f>
              <c:numCache>
                <c:formatCode>General</c:formatCode>
                <c:ptCount val="180"/>
                <c:pt idx="0">
                  <c:v>1.3582258315394087E-2</c:v>
                </c:pt>
                <c:pt idx="1">
                  <c:v>3.5781699025568222E-3</c:v>
                </c:pt>
                <c:pt idx="2">
                  <c:v>1.602842352268008E-2</c:v>
                </c:pt>
                <c:pt idx="3">
                  <c:v>2.4861952515838052E-2</c:v>
                </c:pt>
                <c:pt idx="4">
                  <c:v>3.5484901854778067E-2</c:v>
                </c:pt>
                <c:pt idx="5">
                  <c:v>3.0511528525410898E-2</c:v>
                </c:pt>
                <c:pt idx="6">
                  <c:v>2.2351087309491556E-2</c:v>
                </c:pt>
                <c:pt idx="7">
                  <c:v>2.2502270729697346E-2</c:v>
                </c:pt>
                <c:pt idx="8">
                  <c:v>1.774015032397986E-2</c:v>
                </c:pt>
                <c:pt idx="9">
                  <c:v>6.7318017949742036E-3</c:v>
                </c:pt>
                <c:pt idx="10">
                  <c:v>9.0118713719338824E-3</c:v>
                </c:pt>
                <c:pt idx="11">
                  <c:v>1.1030289252109122E-2</c:v>
                </c:pt>
                <c:pt idx="12">
                  <c:v>3.0026950318718829E-2</c:v>
                </c:pt>
                <c:pt idx="13">
                  <c:v>3.5388667550137073E-2</c:v>
                </c:pt>
                <c:pt idx="14">
                  <c:v>3.7562318618468718E-2</c:v>
                </c:pt>
                <c:pt idx="15">
                  <c:v>2.4191423022077337E-2</c:v>
                </c:pt>
                <c:pt idx="16">
                  <c:v>2.7504730177463958E-2</c:v>
                </c:pt>
                <c:pt idx="17">
                  <c:v>2.5940584672961196E-2</c:v>
                </c:pt>
                <c:pt idx="18">
                  <c:v>2.7432648276099203E-2</c:v>
                </c:pt>
                <c:pt idx="19">
                  <c:v>2.5586829348566889E-2</c:v>
                </c:pt>
                <c:pt idx="20">
                  <c:v>2.7889439527706249E-2</c:v>
                </c:pt>
                <c:pt idx="21">
                  <c:v>2.7154110744997951E-2</c:v>
                </c:pt>
                <c:pt idx="22">
                  <c:v>1.4285833879888798E-2</c:v>
                </c:pt>
                <c:pt idx="23">
                  <c:v>1.9857951406994968E-2</c:v>
                </c:pt>
                <c:pt idx="24">
                  <c:v>5.4850263182117019E-2</c:v>
                </c:pt>
                <c:pt idx="25">
                  <c:v>5.5887052269448186E-2</c:v>
                </c:pt>
                <c:pt idx="26">
                  <c:v>6.850151519295325E-2</c:v>
                </c:pt>
                <c:pt idx="27">
                  <c:v>7.0599351691718576E-2</c:v>
                </c:pt>
                <c:pt idx="28">
                  <c:v>4.5369595609734956E-2</c:v>
                </c:pt>
                <c:pt idx="29">
                  <c:v>4.169854349664557E-2</c:v>
                </c:pt>
                <c:pt idx="30">
                  <c:v>4.170072517891709E-2</c:v>
                </c:pt>
                <c:pt idx="31">
                  <c:v>4.496286623422531E-2</c:v>
                </c:pt>
                <c:pt idx="32">
                  <c:v>4.4372784519733852E-2</c:v>
                </c:pt>
                <c:pt idx="33">
                  <c:v>4.4479051823186955E-2</c:v>
                </c:pt>
                <c:pt idx="34">
                  <c:v>4.5527324824076836E-2</c:v>
                </c:pt>
                <c:pt idx="35">
                  <c:v>5.9171669851402826E-2</c:v>
                </c:pt>
                <c:pt idx="36">
                  <c:v>5.9099568879904911E-2</c:v>
                </c:pt>
                <c:pt idx="37">
                  <c:v>6.1306675887575261E-2</c:v>
                </c:pt>
                <c:pt idx="38">
                  <c:v>4.9075175093019438E-2</c:v>
                </c:pt>
                <c:pt idx="39">
                  <c:v>3.6449690397345212E-2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B2-4991-A5B7-C61D1650E3F7}"/>
            </c:ext>
          </c:extLst>
        </c:ser>
        <c:ser>
          <c:idx val="16"/>
          <c:order val="15"/>
          <c:tx>
            <c:strRef>
              <c:f>StyleOverTime!$A$19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StyleOverTime!$B$19:$FY$19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3.0476695517373274E-2</c:v>
                </c:pt>
                <c:pt idx="29">
                  <c:v>2.5090654567275994E-2</c:v>
                </c:pt>
                <c:pt idx="30">
                  <c:v>2.8517090093386984E-2</c:v>
                </c:pt>
                <c:pt idx="31">
                  <c:v>2.1211077575939905E-2</c:v>
                </c:pt>
                <c:pt idx="32">
                  <c:v>2.8692030025560276E-2</c:v>
                </c:pt>
                <c:pt idx="33">
                  <c:v>3.0478082179548165E-2</c:v>
                </c:pt>
                <c:pt idx="34">
                  <c:v>2.4349213849960583E-2</c:v>
                </c:pt>
                <c:pt idx="35">
                  <c:v>1.5549170903981082E-2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3.3328315947983987E-2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B2-4991-A5B7-C61D1650E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47616"/>
        <c:axId val="170449152"/>
      </c:areaChart>
      <c:dateAx>
        <c:axId val="17044761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0449152"/>
        <c:crosses val="autoZero"/>
        <c:auto val="1"/>
        <c:lblOffset val="100"/>
        <c:baseTimeUnit val="months"/>
      </c:dateAx>
      <c:valAx>
        <c:axId val="170449152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7044761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StyleOverTime!$A$3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StyleOverTime!$A$4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0.24249446285457082</c:v>
                </c:pt>
                <c:pt idx="37">
                  <c:v>0.24155321598025439</c:v>
                </c:pt>
                <c:pt idx="38">
                  <c:v>0.23721593457466025</c:v>
                </c:pt>
                <c:pt idx="39">
                  <c:v>0.30394693453948446</c:v>
                </c:pt>
                <c:pt idx="40">
                  <c:v>7.1040695858453351E-2</c:v>
                </c:pt>
                <c:pt idx="41">
                  <c:v>0.16991287474388625</c:v>
                </c:pt>
                <c:pt idx="42">
                  <c:v>0.15914103976628866</c:v>
                </c:pt>
                <c:pt idx="43">
                  <c:v>0.14012801192003879</c:v>
                </c:pt>
                <c:pt idx="44">
                  <c:v>3.3058668792414141E-2</c:v>
                </c:pt>
                <c:pt idx="45">
                  <c:v>0.15171918856662475</c:v>
                </c:pt>
                <c:pt idx="46">
                  <c:v>0.17033172472367855</c:v>
                </c:pt>
                <c:pt idx="47">
                  <c:v>0.14923253863312932</c:v>
                </c:pt>
                <c:pt idx="48">
                  <c:v>0.15958492414905356</c:v>
                </c:pt>
                <c:pt idx="49">
                  <c:v>8.2606674607834316E-2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6-4C76-A8F9-3B6EAD25CB45}"/>
            </c:ext>
          </c:extLst>
        </c:ser>
        <c:ser>
          <c:idx val="2"/>
          <c:order val="1"/>
          <c:tx>
            <c:strRef>
              <c:f>StyleOverTime!$A$5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StyleOverTime!$B$5:$FY$5</c:f>
              <c:numCache>
                <c:formatCode>General</c:formatCode>
                <c:ptCount val="180"/>
                <c:pt idx="0">
                  <c:v>0.3666343883837519</c:v>
                </c:pt>
                <c:pt idx="1">
                  <c:v>0.37375301028364027</c:v>
                </c:pt>
                <c:pt idx="2">
                  <c:v>0.27223458578892584</c:v>
                </c:pt>
                <c:pt idx="3">
                  <c:v>0.23968701365479769</c:v>
                </c:pt>
                <c:pt idx="4">
                  <c:v>0.32542420118527704</c:v>
                </c:pt>
                <c:pt idx="5">
                  <c:v>0.31524838002261163</c:v>
                </c:pt>
                <c:pt idx="6">
                  <c:v>0.3194554695619316</c:v>
                </c:pt>
                <c:pt idx="7">
                  <c:v>0.30358915353712435</c:v>
                </c:pt>
                <c:pt idx="8">
                  <c:v>0.2769864210122156</c:v>
                </c:pt>
                <c:pt idx="9">
                  <c:v>0.28653710196236643</c:v>
                </c:pt>
                <c:pt idx="10">
                  <c:v>0.35418934602115931</c:v>
                </c:pt>
                <c:pt idx="11">
                  <c:v>0.35939798802606787</c:v>
                </c:pt>
                <c:pt idx="12">
                  <c:v>0.34676673831039079</c:v>
                </c:pt>
                <c:pt idx="13">
                  <c:v>0.32010546060919509</c:v>
                </c:pt>
                <c:pt idx="14">
                  <c:v>0.28287855136413481</c:v>
                </c:pt>
                <c:pt idx="15">
                  <c:v>0.23780940682726964</c:v>
                </c:pt>
                <c:pt idx="16">
                  <c:v>0.24336599337717141</c:v>
                </c:pt>
                <c:pt idx="17">
                  <c:v>0.2071565734896724</c:v>
                </c:pt>
                <c:pt idx="18">
                  <c:v>0.21668332713227442</c:v>
                </c:pt>
                <c:pt idx="19">
                  <c:v>0.22539493692839277</c:v>
                </c:pt>
                <c:pt idx="20">
                  <c:v>0.23894167912488382</c:v>
                </c:pt>
                <c:pt idx="21">
                  <c:v>0.23023566278922675</c:v>
                </c:pt>
                <c:pt idx="22">
                  <c:v>0.19934450174174367</c:v>
                </c:pt>
                <c:pt idx="23">
                  <c:v>0.21390705016775974</c:v>
                </c:pt>
                <c:pt idx="24">
                  <c:v>0.28566647783560167</c:v>
                </c:pt>
                <c:pt idx="25">
                  <c:v>0.28791596794049751</c:v>
                </c:pt>
                <c:pt idx="26">
                  <c:v>0.17378218975040347</c:v>
                </c:pt>
                <c:pt idx="27">
                  <c:v>0.16081137129607626</c:v>
                </c:pt>
                <c:pt idx="28">
                  <c:v>0.23032492682124667</c:v>
                </c:pt>
                <c:pt idx="29">
                  <c:v>0.26933288076797623</c:v>
                </c:pt>
                <c:pt idx="30">
                  <c:v>0.23824785987139882</c:v>
                </c:pt>
                <c:pt idx="31">
                  <c:v>0.22126128290227048</c:v>
                </c:pt>
                <c:pt idx="32">
                  <c:v>0.15999174733165075</c:v>
                </c:pt>
                <c:pt idx="33">
                  <c:v>0.13706369706454757</c:v>
                </c:pt>
                <c:pt idx="34">
                  <c:v>7.0088166011370592E-2</c:v>
                </c:pt>
                <c:pt idx="35">
                  <c:v>6.433547273638282E-2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8.2211631632914534E-2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6-4C76-A8F9-3B6EAD25CB45}"/>
            </c:ext>
          </c:extLst>
        </c:ser>
        <c:ser>
          <c:idx val="3"/>
          <c:order val="2"/>
          <c:tx>
            <c:strRef>
              <c:f>StyleOverTime!$A$6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9.3968772669350512E-2</c:v>
                </c:pt>
                <c:pt idx="3">
                  <c:v>0.11439800747971796</c:v>
                </c:pt>
                <c:pt idx="4">
                  <c:v>2.861637491270513E-2</c:v>
                </c:pt>
                <c:pt idx="5">
                  <c:v>2.9891168637664684E-2</c:v>
                </c:pt>
                <c:pt idx="6">
                  <c:v>3.4944556139225959E-2</c:v>
                </c:pt>
                <c:pt idx="7">
                  <c:v>4.4835257938745925E-2</c:v>
                </c:pt>
                <c:pt idx="8">
                  <c:v>5.1881600590254096E-2</c:v>
                </c:pt>
                <c:pt idx="9">
                  <c:v>7.1434423702847902E-2</c:v>
                </c:pt>
                <c:pt idx="10">
                  <c:v>0</c:v>
                </c:pt>
                <c:pt idx="11">
                  <c:v>6.3772000129565989E-3</c:v>
                </c:pt>
                <c:pt idx="12">
                  <c:v>1.4283988633445209E-3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3.0246212850906371E-2</c:v>
                </c:pt>
                <c:pt idx="18">
                  <c:v>2.3898295492848991E-2</c:v>
                </c:pt>
                <c:pt idx="19">
                  <c:v>1.1872722301272691E-2</c:v>
                </c:pt>
                <c:pt idx="20">
                  <c:v>9.4352727121531062E-4</c:v>
                </c:pt>
                <c:pt idx="21">
                  <c:v>7.615829767370616E-3</c:v>
                </c:pt>
                <c:pt idx="22">
                  <c:v>3.5558060852543066E-2</c:v>
                </c:pt>
                <c:pt idx="23">
                  <c:v>2.8410968151077916E-2</c:v>
                </c:pt>
                <c:pt idx="24">
                  <c:v>4.8800492104222479E-2</c:v>
                </c:pt>
                <c:pt idx="25">
                  <c:v>4.5400210947220021E-2</c:v>
                </c:pt>
                <c:pt idx="26">
                  <c:v>0.1752947547189522</c:v>
                </c:pt>
                <c:pt idx="27">
                  <c:v>0.17224578700518658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4.3144852816303661E-2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76-4C76-A8F9-3B6EAD25CB45}"/>
            </c:ext>
          </c:extLst>
        </c:ser>
        <c:ser>
          <c:idx val="4"/>
          <c:order val="3"/>
          <c:tx>
            <c:strRef>
              <c:f>StyleOverTime!$A$7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5.7339297664865854E-2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76-4C76-A8F9-3B6EAD25CB45}"/>
            </c:ext>
          </c:extLst>
        </c:ser>
        <c:ser>
          <c:idx val="5"/>
          <c:order val="4"/>
          <c:tx>
            <c:strRef>
              <c:f>StyleOverTime!$A$8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0.14755217695894648</c:v>
                </c:pt>
                <c:pt idx="41">
                  <c:v>4.7088122245807544E-2</c:v>
                </c:pt>
                <c:pt idx="42">
                  <c:v>5.2322412735642185E-2</c:v>
                </c:pt>
                <c:pt idx="43">
                  <c:v>6.465790285915364E-2</c:v>
                </c:pt>
                <c:pt idx="44">
                  <c:v>0.10789731707825247</c:v>
                </c:pt>
                <c:pt idx="45">
                  <c:v>3.1855403259303861E-2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7.1487519866123381E-2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76-4C76-A8F9-3B6EAD25CB45}"/>
            </c:ext>
          </c:extLst>
        </c:ser>
        <c:ser>
          <c:idx val="6"/>
          <c:order val="5"/>
          <c:tx>
            <c:strRef>
              <c:f>StyleOverTime!$A$9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4.137043743982545E-2</c:v>
                </c:pt>
                <c:pt idx="29">
                  <c:v>0</c:v>
                </c:pt>
                <c:pt idx="30">
                  <c:v>3.7407597528922816E-2</c:v>
                </c:pt>
                <c:pt idx="31">
                  <c:v>6.5326280992033331E-2</c:v>
                </c:pt>
                <c:pt idx="32">
                  <c:v>0.14554315360578324</c:v>
                </c:pt>
                <c:pt idx="33">
                  <c:v>0.16508541988616654</c:v>
                </c:pt>
                <c:pt idx="34">
                  <c:v>0.23515218684032288</c:v>
                </c:pt>
                <c:pt idx="35">
                  <c:v>0.22239065648269077</c:v>
                </c:pt>
                <c:pt idx="36">
                  <c:v>6.4874028669812081E-2</c:v>
                </c:pt>
                <c:pt idx="37">
                  <c:v>6.7234355890936862E-2</c:v>
                </c:pt>
                <c:pt idx="38">
                  <c:v>6.5337241691214409E-2</c:v>
                </c:pt>
                <c:pt idx="39">
                  <c:v>2.0523277180662308E-2</c:v>
                </c:pt>
                <c:pt idx="40">
                  <c:v>1.9244890675719016E-2</c:v>
                </c:pt>
                <c:pt idx="41">
                  <c:v>5.3727039764344085E-2</c:v>
                </c:pt>
                <c:pt idx="42">
                  <c:v>4.9532656798660861E-2</c:v>
                </c:pt>
                <c:pt idx="43">
                  <c:v>5.3470968856695944E-2</c:v>
                </c:pt>
                <c:pt idx="44">
                  <c:v>0.11716367278159012</c:v>
                </c:pt>
                <c:pt idx="45">
                  <c:v>9.40039050436349E-2</c:v>
                </c:pt>
                <c:pt idx="46">
                  <c:v>0.11396480391887669</c:v>
                </c:pt>
                <c:pt idx="47">
                  <c:v>0.12260730381241562</c:v>
                </c:pt>
                <c:pt idx="48">
                  <c:v>0.10817305028453315</c:v>
                </c:pt>
                <c:pt idx="49">
                  <c:v>8.5435106232876715E-2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76-4C76-A8F9-3B6EAD25CB45}"/>
            </c:ext>
          </c:extLst>
        </c:ser>
        <c:ser>
          <c:idx val="7"/>
          <c:order val="6"/>
          <c:tx>
            <c:strRef>
              <c:f>StyleOverTime!$A$10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StyleOverTime!$B$10:$FY$10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76-4C76-A8F9-3B6EAD25CB45}"/>
            </c:ext>
          </c:extLst>
        </c:ser>
        <c:ser>
          <c:idx val="8"/>
          <c:order val="7"/>
          <c:tx>
            <c:strRef>
              <c:f>StyleOverTime!$A$11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0.15151915182095232</c:v>
                </c:pt>
                <c:pt idx="41">
                  <c:v>0.13564370976464951</c:v>
                </c:pt>
                <c:pt idx="42">
                  <c:v>0.14250566325483516</c:v>
                </c:pt>
                <c:pt idx="43">
                  <c:v>0.14254594895809836</c:v>
                </c:pt>
                <c:pt idx="44">
                  <c:v>0.12839614598824273</c:v>
                </c:pt>
                <c:pt idx="45">
                  <c:v>0.12459689748481405</c:v>
                </c:pt>
                <c:pt idx="46">
                  <c:v>0.12653695439474338</c:v>
                </c:pt>
                <c:pt idx="47">
                  <c:v>0.12403454672165043</c:v>
                </c:pt>
                <c:pt idx="48">
                  <c:v>0.12880684720967422</c:v>
                </c:pt>
                <c:pt idx="49">
                  <c:v>0.1822584435368616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76-4C76-A8F9-3B6EAD25CB45}"/>
            </c:ext>
          </c:extLst>
        </c:ser>
        <c:ser>
          <c:idx val="9"/>
          <c:order val="8"/>
          <c:tx>
            <c:strRef>
              <c:f>StyleOverTime!$A$12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StyleOverTime!$B$12:$FY$12</c:f>
              <c:numCache>
                <c:formatCode>General</c:formatCode>
                <c:ptCount val="180"/>
                <c:pt idx="0">
                  <c:v>0.1283379603700868</c:v>
                </c:pt>
                <c:pt idx="1">
                  <c:v>0.15338486671635418</c:v>
                </c:pt>
                <c:pt idx="2">
                  <c:v>0.12960584534025063</c:v>
                </c:pt>
                <c:pt idx="3">
                  <c:v>9.7940670152033255E-2</c:v>
                </c:pt>
                <c:pt idx="4">
                  <c:v>0.1797659699555019</c:v>
                </c:pt>
                <c:pt idx="5">
                  <c:v>0.14788491053271938</c:v>
                </c:pt>
                <c:pt idx="6">
                  <c:v>0.15432142665440934</c:v>
                </c:pt>
                <c:pt idx="7">
                  <c:v>0.17028258625675799</c:v>
                </c:pt>
                <c:pt idx="8">
                  <c:v>0.1760956538796917</c:v>
                </c:pt>
                <c:pt idx="9">
                  <c:v>0.14358180761194944</c:v>
                </c:pt>
                <c:pt idx="10">
                  <c:v>0.2905528015656158</c:v>
                </c:pt>
                <c:pt idx="11">
                  <c:v>0.26321289663078329</c:v>
                </c:pt>
                <c:pt idx="12">
                  <c:v>0.27350541452764837</c:v>
                </c:pt>
                <c:pt idx="13">
                  <c:v>0.26774328271452863</c:v>
                </c:pt>
                <c:pt idx="14">
                  <c:v>0.34342853871018353</c:v>
                </c:pt>
                <c:pt idx="15">
                  <c:v>0.44331385471503976</c:v>
                </c:pt>
                <c:pt idx="16">
                  <c:v>0.43694940480168099</c:v>
                </c:pt>
                <c:pt idx="17">
                  <c:v>0.46529837486102787</c:v>
                </c:pt>
                <c:pt idx="18">
                  <c:v>0.47016198714453289</c:v>
                </c:pt>
                <c:pt idx="19">
                  <c:v>0.47330425579422186</c:v>
                </c:pt>
                <c:pt idx="20">
                  <c:v>0.48257371122799175</c:v>
                </c:pt>
                <c:pt idx="21">
                  <c:v>0.48687598559218687</c:v>
                </c:pt>
                <c:pt idx="22">
                  <c:v>0.52629446007062508</c:v>
                </c:pt>
                <c:pt idx="23">
                  <c:v>0.50377666722881775</c:v>
                </c:pt>
                <c:pt idx="24">
                  <c:v>0.5682731944784416</c:v>
                </c:pt>
                <c:pt idx="25">
                  <c:v>0.56603620037295477</c:v>
                </c:pt>
                <c:pt idx="26">
                  <c:v>0.54500797628263542</c:v>
                </c:pt>
                <c:pt idx="27">
                  <c:v>0.55547432838865396</c:v>
                </c:pt>
                <c:pt idx="28">
                  <c:v>0.55476174648164056</c:v>
                </c:pt>
                <c:pt idx="29">
                  <c:v>0.56218912680686539</c:v>
                </c:pt>
                <c:pt idx="30">
                  <c:v>0.55809590586745939</c:v>
                </c:pt>
                <c:pt idx="31">
                  <c:v>0.55466085300936163</c:v>
                </c:pt>
                <c:pt idx="32">
                  <c:v>0.52281196434581789</c:v>
                </c:pt>
                <c:pt idx="33">
                  <c:v>0.52456169931497743</c:v>
                </c:pt>
                <c:pt idx="34">
                  <c:v>0.52515635087167156</c:v>
                </c:pt>
                <c:pt idx="35">
                  <c:v>0.55130197761418687</c:v>
                </c:pt>
                <c:pt idx="36">
                  <c:v>0.46542105271717343</c:v>
                </c:pt>
                <c:pt idx="37">
                  <c:v>0.45454849625907484</c:v>
                </c:pt>
                <c:pt idx="38">
                  <c:v>0.43976881268818302</c:v>
                </c:pt>
                <c:pt idx="39">
                  <c:v>0.43252069441240776</c:v>
                </c:pt>
                <c:pt idx="40">
                  <c:v>0.38392841257907684</c:v>
                </c:pt>
                <c:pt idx="41">
                  <c:v>0.38414438149433527</c:v>
                </c:pt>
                <c:pt idx="42">
                  <c:v>0.38166148996116722</c:v>
                </c:pt>
                <c:pt idx="43">
                  <c:v>0.38616480158887423</c:v>
                </c:pt>
                <c:pt idx="44">
                  <c:v>0.42746006979708195</c:v>
                </c:pt>
                <c:pt idx="45">
                  <c:v>0.41619363195751402</c:v>
                </c:pt>
                <c:pt idx="46">
                  <c:v>0.39708888250685487</c:v>
                </c:pt>
                <c:pt idx="47">
                  <c:v>0.42361175420365016</c:v>
                </c:pt>
                <c:pt idx="48">
                  <c:v>0.42758033515129729</c:v>
                </c:pt>
                <c:pt idx="49">
                  <c:v>0.39989359555856135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76-4C76-A8F9-3B6EAD25CB45}"/>
            </c:ext>
          </c:extLst>
        </c:ser>
        <c:ser>
          <c:idx val="10"/>
          <c:order val="9"/>
          <c:tx>
            <c:strRef>
              <c:f>StyleOverTime!$A$13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76-4C76-A8F9-3B6EAD25CB45}"/>
            </c:ext>
          </c:extLst>
        </c:ser>
        <c:ser>
          <c:idx val="11"/>
          <c:order val="10"/>
          <c:tx>
            <c:strRef>
              <c:f>StyleOverTime!$A$14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StyleOverTime!$B$14:$FY$14</c:f>
              <c:numCache>
                <c:formatCode>General</c:formatCode>
                <c:ptCount val="180"/>
                <c:pt idx="0">
                  <c:v>8.217876696499743E-2</c:v>
                </c:pt>
                <c:pt idx="1">
                  <c:v>9.7618530276187637E-2</c:v>
                </c:pt>
                <c:pt idx="2">
                  <c:v>0.10216742928488572</c:v>
                </c:pt>
                <c:pt idx="3">
                  <c:v>8.8694644372579776E-2</c:v>
                </c:pt>
                <c:pt idx="4">
                  <c:v>8.4642513021336976E-2</c:v>
                </c:pt>
                <c:pt idx="5">
                  <c:v>7.5852207052695783E-2</c:v>
                </c:pt>
                <c:pt idx="6">
                  <c:v>8.1867361155495547E-2</c:v>
                </c:pt>
                <c:pt idx="7">
                  <c:v>8.1411409749305219E-2</c:v>
                </c:pt>
                <c:pt idx="8">
                  <c:v>7.5228467671946977E-2</c:v>
                </c:pt>
                <c:pt idx="9">
                  <c:v>0.10170550767778573</c:v>
                </c:pt>
                <c:pt idx="10">
                  <c:v>0.12301859234926592</c:v>
                </c:pt>
                <c:pt idx="11">
                  <c:v>0.14307714321732787</c:v>
                </c:pt>
                <c:pt idx="12">
                  <c:v>0.15381875499778583</c:v>
                </c:pt>
                <c:pt idx="13">
                  <c:v>0.13832334090087878</c:v>
                </c:pt>
                <c:pt idx="14">
                  <c:v>8.5446549826923471E-2</c:v>
                </c:pt>
                <c:pt idx="15">
                  <c:v>6.3648185445496566E-2</c:v>
                </c:pt>
                <c:pt idx="16">
                  <c:v>6.4455581324543279E-2</c:v>
                </c:pt>
                <c:pt idx="17">
                  <c:v>5.3894924035260999E-2</c:v>
                </c:pt>
                <c:pt idx="18">
                  <c:v>5.2366549655765281E-2</c:v>
                </c:pt>
                <c:pt idx="19">
                  <c:v>5.354308967872836E-2</c:v>
                </c:pt>
                <c:pt idx="20">
                  <c:v>5.3251886807790472E-2</c:v>
                </c:pt>
                <c:pt idx="21">
                  <c:v>5.3424764691252118E-2</c:v>
                </c:pt>
                <c:pt idx="22">
                  <c:v>4.4879414399262921E-2</c:v>
                </c:pt>
                <c:pt idx="23">
                  <c:v>4.0748283610688801E-2</c:v>
                </c:pt>
                <c:pt idx="24">
                  <c:v>4.2410572399616826E-2</c:v>
                </c:pt>
                <c:pt idx="25">
                  <c:v>4.4761568469878873E-2</c:v>
                </c:pt>
                <c:pt idx="26">
                  <c:v>3.7414564055055263E-2</c:v>
                </c:pt>
                <c:pt idx="27">
                  <c:v>4.0870161618364251E-2</c:v>
                </c:pt>
                <c:pt idx="28">
                  <c:v>9.7697598130178628E-2</c:v>
                </c:pt>
                <c:pt idx="29">
                  <c:v>0.1016897943612365</c:v>
                </c:pt>
                <c:pt idx="30">
                  <c:v>9.6031821459914748E-2</c:v>
                </c:pt>
                <c:pt idx="31">
                  <c:v>9.257863928616912E-2</c:v>
                </c:pt>
                <c:pt idx="32">
                  <c:v>8.4084063874513545E-2</c:v>
                </c:pt>
                <c:pt idx="33">
                  <c:v>8.4507643565193066E-2</c:v>
                </c:pt>
                <c:pt idx="34">
                  <c:v>8.228500424432042E-2</c:v>
                </c:pt>
                <c:pt idx="35">
                  <c:v>8.5288325831715583E-2</c:v>
                </c:pt>
                <c:pt idx="36">
                  <c:v>8.8932756183300959E-2</c:v>
                </c:pt>
                <c:pt idx="37">
                  <c:v>8.7635735251225214E-2</c:v>
                </c:pt>
                <c:pt idx="38">
                  <c:v>7.2833639893863142E-2</c:v>
                </c:pt>
                <c:pt idx="39">
                  <c:v>6.5031633205801798E-2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76-4C76-A8F9-3B6EAD25CB45}"/>
            </c:ext>
          </c:extLst>
        </c:ser>
        <c:ser>
          <c:idx val="12"/>
          <c:order val="11"/>
          <c:tx>
            <c:strRef>
              <c:f>StyleOverTime!$A$15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StyleOverTime!$B$15:$FY$15</c:f>
              <c:numCache>
                <c:formatCode>General</c:formatCode>
                <c:ptCount val="180"/>
                <c:pt idx="0">
                  <c:v>0.26727078826699113</c:v>
                </c:pt>
                <c:pt idx="1">
                  <c:v>0.2236598553827267</c:v>
                </c:pt>
                <c:pt idx="2">
                  <c:v>0.25003934376204312</c:v>
                </c:pt>
                <c:pt idx="3">
                  <c:v>0.32270185282483627</c:v>
                </c:pt>
                <c:pt idx="4">
                  <c:v>0.27754132502017592</c:v>
                </c:pt>
                <c:pt idx="5">
                  <c:v>0.32707642892560873</c:v>
                </c:pt>
                <c:pt idx="6">
                  <c:v>0.31238609522709465</c:v>
                </c:pt>
                <c:pt idx="7">
                  <c:v>0.30209628757895995</c:v>
                </c:pt>
                <c:pt idx="8">
                  <c:v>0.32765916907502551</c:v>
                </c:pt>
                <c:pt idx="9">
                  <c:v>0.30306885968122488</c:v>
                </c:pt>
                <c:pt idx="10">
                  <c:v>0.16316909742778729</c:v>
                </c:pt>
                <c:pt idx="11">
                  <c:v>0.14868132920818528</c:v>
                </c:pt>
                <c:pt idx="12">
                  <c:v>0.17945147723245689</c:v>
                </c:pt>
                <c:pt idx="13">
                  <c:v>0.23844024822526008</c:v>
                </c:pt>
                <c:pt idx="14">
                  <c:v>0.25068504148028908</c:v>
                </c:pt>
                <c:pt idx="15">
                  <c:v>0.23103812999011639</c:v>
                </c:pt>
                <c:pt idx="16">
                  <c:v>0.22772529031914002</c:v>
                </c:pt>
                <c:pt idx="17">
                  <c:v>0.21746433009017083</c:v>
                </c:pt>
                <c:pt idx="18">
                  <c:v>0.2094581922984789</c:v>
                </c:pt>
                <c:pt idx="19">
                  <c:v>0.21029916594881712</c:v>
                </c:pt>
                <c:pt idx="20">
                  <c:v>0.19640075604041218</c:v>
                </c:pt>
                <c:pt idx="21">
                  <c:v>0.19469464641496537</c:v>
                </c:pt>
                <c:pt idx="22">
                  <c:v>0.17963872905593611</c:v>
                </c:pt>
                <c:pt idx="23">
                  <c:v>0.19330007943466057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6.9982848943540968E-2</c:v>
                </c:pt>
                <c:pt idx="37">
                  <c:v>7.7726090496108735E-2</c:v>
                </c:pt>
                <c:pt idx="38">
                  <c:v>9.7990199561824629E-2</c:v>
                </c:pt>
                <c:pt idx="39">
                  <c:v>8.442833637951401E-2</c:v>
                </c:pt>
                <c:pt idx="40">
                  <c:v>0.14200623200496776</c:v>
                </c:pt>
                <c:pt idx="41">
                  <c:v>0.11104811388699022</c:v>
                </c:pt>
                <c:pt idx="42">
                  <c:v>0.1173774043552665</c:v>
                </c:pt>
                <c:pt idx="43">
                  <c:v>0.11658914666637009</c:v>
                </c:pt>
                <c:pt idx="44">
                  <c:v>6.9575369351181152E-2</c:v>
                </c:pt>
                <c:pt idx="45">
                  <c:v>5.959329237185567E-2</c:v>
                </c:pt>
                <c:pt idx="46">
                  <c:v>7.5630781764609592E-2</c:v>
                </c:pt>
                <c:pt idx="47">
                  <c:v>6.7091902365919831E-2</c:v>
                </c:pt>
                <c:pt idx="48">
                  <c:v>6.5679375269582466E-2</c:v>
                </c:pt>
                <c:pt idx="49">
                  <c:v>8.9531696400108371E-2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76-4C76-A8F9-3B6EAD25CB45}"/>
            </c:ext>
          </c:extLst>
        </c:ser>
        <c:ser>
          <c:idx val="13"/>
          <c:order val="12"/>
          <c:tx>
            <c:strRef>
              <c:f>StyleOverTime!$A$16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StyleOverTime!$B$16:$FY$16</c:f>
              <c:numCache>
                <c:formatCode>General</c:formatCode>
                <c:ptCount val="180"/>
                <c:pt idx="0">
                  <c:v>0.14199683769877824</c:v>
                </c:pt>
                <c:pt idx="1">
                  <c:v>0.14800656743853402</c:v>
                </c:pt>
                <c:pt idx="2">
                  <c:v>0.13595659963186374</c:v>
                </c:pt>
                <c:pt idx="3">
                  <c:v>0.11171685900019677</c:v>
                </c:pt>
                <c:pt idx="4">
                  <c:v>6.8525714050224576E-2</c:v>
                </c:pt>
                <c:pt idx="5">
                  <c:v>7.3536376303288589E-2</c:v>
                </c:pt>
                <c:pt idx="6">
                  <c:v>7.4675003952351091E-2</c:v>
                </c:pt>
                <c:pt idx="7">
                  <c:v>7.5284034209408768E-2</c:v>
                </c:pt>
                <c:pt idx="8">
                  <c:v>7.440953744688597E-2</c:v>
                </c:pt>
                <c:pt idx="9">
                  <c:v>8.6941497568850959E-2</c:v>
                </c:pt>
                <c:pt idx="10">
                  <c:v>6.0059291264237487E-2</c:v>
                </c:pt>
                <c:pt idx="11">
                  <c:v>6.8224153652569494E-2</c:v>
                </c:pt>
                <c:pt idx="12">
                  <c:v>1.500326574965455E-2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1.4505256296940106E-2</c:v>
                </c:pt>
                <c:pt idx="33">
                  <c:v>1.3824406166379982E-2</c:v>
                </c:pt>
                <c:pt idx="34">
                  <c:v>1.7442753358276577E-2</c:v>
                </c:pt>
                <c:pt idx="35">
                  <c:v>1.9637265796398234E-3</c:v>
                </c:pt>
                <c:pt idx="36">
                  <c:v>9.1962817516963134E-3</c:v>
                </c:pt>
                <c:pt idx="37">
                  <c:v>9.9964302348243099E-3</c:v>
                </c:pt>
                <c:pt idx="38">
                  <c:v>3.7779996497234958E-2</c:v>
                </c:pt>
                <c:pt idx="39">
                  <c:v>5.7100433884783974E-2</c:v>
                </c:pt>
                <c:pt idx="40">
                  <c:v>8.4709440101884054E-2</c:v>
                </c:pt>
                <c:pt idx="41">
                  <c:v>9.8436758099986699E-2</c:v>
                </c:pt>
                <c:pt idx="42">
                  <c:v>9.7460333128139107E-2</c:v>
                </c:pt>
                <c:pt idx="43">
                  <c:v>9.6444219150768548E-2</c:v>
                </c:pt>
                <c:pt idx="44">
                  <c:v>0.1164497562112371</c:v>
                </c:pt>
                <c:pt idx="45">
                  <c:v>0.12203868131625249</c:v>
                </c:pt>
                <c:pt idx="46">
                  <c:v>0.11644785269123649</c:v>
                </c:pt>
                <c:pt idx="47">
                  <c:v>0.11342295426323426</c:v>
                </c:pt>
                <c:pt idx="48">
                  <c:v>0.11017646793585899</c:v>
                </c:pt>
                <c:pt idx="49">
                  <c:v>5.5459647849649837E-2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76-4C76-A8F9-3B6EAD25CB45}"/>
            </c:ext>
          </c:extLst>
        </c:ser>
        <c:ser>
          <c:idx val="14"/>
          <c:order val="13"/>
          <c:tx>
            <c:strRef>
              <c:f>StyleOverTime!$A$17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76-4C76-A8F9-3B6EAD25CB45}"/>
            </c:ext>
          </c:extLst>
        </c:ser>
        <c:ser>
          <c:idx val="15"/>
          <c:order val="14"/>
          <c:tx>
            <c:strRef>
              <c:f>StyleOverTime!$A$18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StyleOverTime!$B$18:$FY$18</c:f>
              <c:numCache>
                <c:formatCode>General</c:formatCode>
                <c:ptCount val="180"/>
                <c:pt idx="0">
                  <c:v>1.3582258315394087E-2</c:v>
                </c:pt>
                <c:pt idx="1">
                  <c:v>3.5781699025568222E-3</c:v>
                </c:pt>
                <c:pt idx="2">
                  <c:v>1.602842352268008E-2</c:v>
                </c:pt>
                <c:pt idx="3">
                  <c:v>2.4861952515838052E-2</c:v>
                </c:pt>
                <c:pt idx="4">
                  <c:v>3.5484901854778067E-2</c:v>
                </c:pt>
                <c:pt idx="5">
                  <c:v>3.0511528525410898E-2</c:v>
                </c:pt>
                <c:pt idx="6">
                  <c:v>2.2351087309491556E-2</c:v>
                </c:pt>
                <c:pt idx="7">
                  <c:v>2.2502270729697346E-2</c:v>
                </c:pt>
                <c:pt idx="8">
                  <c:v>1.774015032397986E-2</c:v>
                </c:pt>
                <c:pt idx="9">
                  <c:v>6.7318017949742036E-3</c:v>
                </c:pt>
                <c:pt idx="10">
                  <c:v>9.0118713719338824E-3</c:v>
                </c:pt>
                <c:pt idx="11">
                  <c:v>1.1030289252109122E-2</c:v>
                </c:pt>
                <c:pt idx="12">
                  <c:v>3.0026950318718829E-2</c:v>
                </c:pt>
                <c:pt idx="13">
                  <c:v>3.5388667550137073E-2</c:v>
                </c:pt>
                <c:pt idx="14">
                  <c:v>3.7562318618468718E-2</c:v>
                </c:pt>
                <c:pt idx="15">
                  <c:v>2.4191423022077337E-2</c:v>
                </c:pt>
                <c:pt idx="16">
                  <c:v>2.7504730177463958E-2</c:v>
                </c:pt>
                <c:pt idx="17">
                  <c:v>2.5940584672961196E-2</c:v>
                </c:pt>
                <c:pt idx="18">
                  <c:v>2.7432648276099203E-2</c:v>
                </c:pt>
                <c:pt idx="19">
                  <c:v>2.5586829348566889E-2</c:v>
                </c:pt>
                <c:pt idx="20">
                  <c:v>2.7889439527706249E-2</c:v>
                </c:pt>
                <c:pt idx="21">
                  <c:v>2.7154110744997951E-2</c:v>
                </c:pt>
                <c:pt idx="22">
                  <c:v>1.4285833879888798E-2</c:v>
                </c:pt>
                <c:pt idx="23">
                  <c:v>1.9857951406994968E-2</c:v>
                </c:pt>
                <c:pt idx="24">
                  <c:v>5.4850263182117019E-2</c:v>
                </c:pt>
                <c:pt idx="25">
                  <c:v>5.5887052269448186E-2</c:v>
                </c:pt>
                <c:pt idx="26">
                  <c:v>6.850151519295325E-2</c:v>
                </c:pt>
                <c:pt idx="27">
                  <c:v>7.0599351691718576E-2</c:v>
                </c:pt>
                <c:pt idx="28">
                  <c:v>4.5369595609734956E-2</c:v>
                </c:pt>
                <c:pt idx="29">
                  <c:v>4.169854349664557E-2</c:v>
                </c:pt>
                <c:pt idx="30">
                  <c:v>4.170072517891709E-2</c:v>
                </c:pt>
                <c:pt idx="31">
                  <c:v>4.496286623422531E-2</c:v>
                </c:pt>
                <c:pt idx="32">
                  <c:v>4.4372784519733852E-2</c:v>
                </c:pt>
                <c:pt idx="33">
                  <c:v>4.4479051823186955E-2</c:v>
                </c:pt>
                <c:pt idx="34">
                  <c:v>4.5527324824076836E-2</c:v>
                </c:pt>
                <c:pt idx="35">
                  <c:v>5.9171669851402826E-2</c:v>
                </c:pt>
                <c:pt idx="36">
                  <c:v>5.9099568879904911E-2</c:v>
                </c:pt>
                <c:pt idx="37">
                  <c:v>6.1306675887575261E-2</c:v>
                </c:pt>
                <c:pt idx="38">
                  <c:v>4.9075175093019438E-2</c:v>
                </c:pt>
                <c:pt idx="39">
                  <c:v>3.6449690397345212E-2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B76-4C76-A8F9-3B6EAD25CB45}"/>
            </c:ext>
          </c:extLst>
        </c:ser>
        <c:ser>
          <c:idx val="16"/>
          <c:order val="15"/>
          <c:tx>
            <c:strRef>
              <c:f>StyleOverTime!$A$19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StyleOverTime!$B$19:$FY$19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3.0476695517373274E-2</c:v>
                </c:pt>
                <c:pt idx="29">
                  <c:v>2.5090654567275994E-2</c:v>
                </c:pt>
                <c:pt idx="30">
                  <c:v>2.8517090093386984E-2</c:v>
                </c:pt>
                <c:pt idx="31">
                  <c:v>2.1211077575939905E-2</c:v>
                </c:pt>
                <c:pt idx="32">
                  <c:v>2.8692030025560276E-2</c:v>
                </c:pt>
                <c:pt idx="33">
                  <c:v>3.0478082179548165E-2</c:v>
                </c:pt>
                <c:pt idx="34">
                  <c:v>2.4349213849960583E-2</c:v>
                </c:pt>
                <c:pt idx="35">
                  <c:v>1.5549170903981082E-2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3.3328315947983987E-2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76-4C76-A8F9-3B6EAD25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44224"/>
        <c:axId val="170645760"/>
      </c:areaChart>
      <c:lineChart>
        <c:grouping val="standard"/>
        <c:varyColors val="0"/>
        <c:ser>
          <c:idx val="0"/>
          <c:order val="16"/>
          <c:tx>
            <c:strRef>
              <c:f>StyleOverTime!$A$21</c:f>
              <c:strCache>
                <c:ptCount val="1"/>
                <c:pt idx="0">
                  <c:v>Style</c:v>
                </c:pt>
              </c:strCache>
            </c:strRef>
          </c:tx>
          <c:spPr>
            <a:ln w="38100" cmpd="dbl">
              <a:solidFill>
                <a:schemeClr val="bg1"/>
              </a:solidFill>
            </a:ln>
          </c:spPr>
          <c:marker>
            <c:symbol val="none"/>
          </c:marker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StyleOverTime!$B$21:$FY$21</c:f>
              <c:numCache>
                <c:formatCode>General</c:formatCode>
                <c:ptCount val="180"/>
                <c:pt idx="0">
                  <c:v>0.22784460372602688</c:v>
                </c:pt>
                <c:pt idx="1">
                  <c:v>0.2272555909140187</c:v>
                </c:pt>
                <c:pt idx="2">
                  <c:v>0.24221366154787338</c:v>
                </c:pt>
                <c:pt idx="3">
                  <c:v>0.2425626392017084</c:v>
                </c:pt>
                <c:pt idx="4">
                  <c:v>0.25483718684450385</c:v>
                </c:pt>
                <c:pt idx="5">
                  <c:v>0.25021005598163926</c:v>
                </c:pt>
                <c:pt idx="6">
                  <c:v>0.25307828439341029</c:v>
                </c:pt>
                <c:pt idx="7">
                  <c:v>0.25570713589158411</c:v>
                </c:pt>
                <c:pt idx="8">
                  <c:v>0.25834126044145456</c:v>
                </c:pt>
                <c:pt idx="9">
                  <c:v>0.24795680377564211</c:v>
                </c:pt>
                <c:pt idx="10">
                  <c:v>0.25559334863908145</c:v>
                </c:pt>
                <c:pt idx="11">
                  <c:v>0.25631081370113662</c:v>
                </c:pt>
                <c:pt idx="12">
                  <c:v>0.26997480670301643</c:v>
                </c:pt>
                <c:pt idx="13">
                  <c:v>0.27800792190048262</c:v>
                </c:pt>
                <c:pt idx="14">
                  <c:v>0.2746585240956988</c:v>
                </c:pt>
                <c:pt idx="15">
                  <c:v>0.29241126360337943</c:v>
                </c:pt>
                <c:pt idx="16">
                  <c:v>0.28961511620833502</c:v>
                </c:pt>
                <c:pt idx="17">
                  <c:v>0.28163744974089244</c:v>
                </c:pt>
                <c:pt idx="18">
                  <c:v>0.28126686837448489</c:v>
                </c:pt>
                <c:pt idx="19">
                  <c:v>0.28088401122520168</c:v>
                </c:pt>
                <c:pt idx="20">
                  <c:v>0.28884466855690438</c:v>
                </c:pt>
                <c:pt idx="21">
                  <c:v>0.28746173282235277</c:v>
                </c:pt>
                <c:pt idx="22">
                  <c:v>0.28123736159090063</c:v>
                </c:pt>
                <c:pt idx="23">
                  <c:v>0.27472747472617809</c:v>
                </c:pt>
                <c:pt idx="24">
                  <c:v>0.23001065859903957</c:v>
                </c:pt>
                <c:pt idx="25">
                  <c:v>0.23409276093098041</c:v>
                </c:pt>
                <c:pt idx="26">
                  <c:v>0.2344299883046691</c:v>
                </c:pt>
                <c:pt idx="27">
                  <c:v>0.24220513058379101</c:v>
                </c:pt>
                <c:pt idx="28">
                  <c:v>0.37334170685909951</c:v>
                </c:pt>
                <c:pt idx="29">
                  <c:v>0.36971799652342363</c:v>
                </c:pt>
                <c:pt idx="30">
                  <c:v>0.36627676566800615</c:v>
                </c:pt>
                <c:pt idx="31">
                  <c:v>0.35562180613388383</c:v>
                </c:pt>
                <c:pt idx="32">
                  <c:v>0.34185442708782465</c:v>
                </c:pt>
                <c:pt idx="33">
                  <c:v>0.35627560941095615</c:v>
                </c:pt>
                <c:pt idx="34">
                  <c:v>0.35987337506268857</c:v>
                </c:pt>
                <c:pt idx="35">
                  <c:v>0.36810828218790415</c:v>
                </c:pt>
                <c:pt idx="36">
                  <c:v>0.40845675577193141</c:v>
                </c:pt>
                <c:pt idx="37">
                  <c:v>0.4051082156843312</c:v>
                </c:pt>
                <c:pt idx="38">
                  <c:v>0.4020611419885034</c:v>
                </c:pt>
                <c:pt idx="39">
                  <c:v>0.39356302378502916</c:v>
                </c:pt>
                <c:pt idx="40">
                  <c:v>0.49496359673623791</c:v>
                </c:pt>
                <c:pt idx="41">
                  <c:v>0.48513849078363713</c:v>
                </c:pt>
                <c:pt idx="42">
                  <c:v>0.49493195544573187</c:v>
                </c:pt>
                <c:pt idx="43">
                  <c:v>0.50195709477877759</c:v>
                </c:pt>
                <c:pt idx="44">
                  <c:v>0.50973775708346059</c:v>
                </c:pt>
                <c:pt idx="45">
                  <c:v>0.51857210904477302</c:v>
                </c:pt>
                <c:pt idx="46">
                  <c:v>0.51270805237435102</c:v>
                </c:pt>
                <c:pt idx="47">
                  <c:v>0.52375170592293352</c:v>
                </c:pt>
                <c:pt idx="48">
                  <c:v>0.5283618095923559</c:v>
                </c:pt>
                <c:pt idx="49">
                  <c:v>0.54996980134869933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B76-4C76-A8F9-3B6EAD25C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22816"/>
        <c:axId val="170721280"/>
      </c:lineChart>
      <c:dateAx>
        <c:axId val="1706442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0645760"/>
        <c:crosses val="autoZero"/>
        <c:auto val="1"/>
        <c:lblOffset val="100"/>
        <c:baseTimeUnit val="months"/>
      </c:dateAx>
      <c:valAx>
        <c:axId val="170645760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70644224"/>
        <c:crosses val="autoZero"/>
        <c:crossBetween val="between"/>
      </c:valAx>
      <c:valAx>
        <c:axId val="170721280"/>
        <c:scaling>
          <c:orientation val="minMax"/>
          <c:max val="1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70722816"/>
        <c:crosses val="max"/>
        <c:crossBetween val="between"/>
      </c:valAx>
      <c:dateAx>
        <c:axId val="17072281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70721280"/>
        <c:crosses val="autoZero"/>
        <c:auto val="1"/>
        <c:lblOffset val="100"/>
        <c:baseTimeUnit val="months"/>
      </c:date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StyleOverTime!$A$3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StyleOverTime!$A$4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0.24249446285457082</c:v>
                </c:pt>
                <c:pt idx="37">
                  <c:v>0.24155321598025439</c:v>
                </c:pt>
                <c:pt idx="38">
                  <c:v>0.23721593457466025</c:v>
                </c:pt>
                <c:pt idx="39">
                  <c:v>0.30394693453948446</c:v>
                </c:pt>
                <c:pt idx="40">
                  <c:v>7.1040695858453351E-2</c:v>
                </c:pt>
                <c:pt idx="41">
                  <c:v>0.16991287474388625</c:v>
                </c:pt>
                <c:pt idx="42">
                  <c:v>0.15914103976628866</c:v>
                </c:pt>
                <c:pt idx="43">
                  <c:v>0.14012801192003879</c:v>
                </c:pt>
                <c:pt idx="44">
                  <c:v>3.3058668792414141E-2</c:v>
                </c:pt>
                <c:pt idx="45">
                  <c:v>0.15171918856662475</c:v>
                </c:pt>
                <c:pt idx="46">
                  <c:v>0.17033172472367855</c:v>
                </c:pt>
                <c:pt idx="47">
                  <c:v>0.14923253863312932</c:v>
                </c:pt>
                <c:pt idx="48">
                  <c:v>0.15958492414905356</c:v>
                </c:pt>
                <c:pt idx="49">
                  <c:v>8.2606674607834316E-2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D-4DFD-AEF5-FB1A56E75864}"/>
            </c:ext>
          </c:extLst>
        </c:ser>
        <c:ser>
          <c:idx val="2"/>
          <c:order val="1"/>
          <c:tx>
            <c:strRef>
              <c:f>StyleOverTime!$A$5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StyleOverTime!$B$5:$FY$5</c:f>
              <c:numCache>
                <c:formatCode>General</c:formatCode>
                <c:ptCount val="180"/>
                <c:pt idx="0">
                  <c:v>0.3666343883837519</c:v>
                </c:pt>
                <c:pt idx="1">
                  <c:v>0.37375301028364027</c:v>
                </c:pt>
                <c:pt idx="2">
                  <c:v>0.27223458578892584</c:v>
                </c:pt>
                <c:pt idx="3">
                  <c:v>0.23968701365479769</c:v>
                </c:pt>
                <c:pt idx="4">
                  <c:v>0.32542420118527704</c:v>
                </c:pt>
                <c:pt idx="5">
                  <c:v>0.31524838002261163</c:v>
                </c:pt>
                <c:pt idx="6">
                  <c:v>0.3194554695619316</c:v>
                </c:pt>
                <c:pt idx="7">
                  <c:v>0.30358915353712435</c:v>
                </c:pt>
                <c:pt idx="8">
                  <c:v>0.2769864210122156</c:v>
                </c:pt>
                <c:pt idx="9">
                  <c:v>0.28653710196236643</c:v>
                </c:pt>
                <c:pt idx="10">
                  <c:v>0.35418934602115931</c:v>
                </c:pt>
                <c:pt idx="11">
                  <c:v>0.35939798802606787</c:v>
                </c:pt>
                <c:pt idx="12">
                  <c:v>0.34676673831039079</c:v>
                </c:pt>
                <c:pt idx="13">
                  <c:v>0.32010546060919509</c:v>
                </c:pt>
                <c:pt idx="14">
                  <c:v>0.28287855136413481</c:v>
                </c:pt>
                <c:pt idx="15">
                  <c:v>0.23780940682726964</c:v>
                </c:pt>
                <c:pt idx="16">
                  <c:v>0.24336599337717141</c:v>
                </c:pt>
                <c:pt idx="17">
                  <c:v>0.2071565734896724</c:v>
                </c:pt>
                <c:pt idx="18">
                  <c:v>0.21668332713227442</c:v>
                </c:pt>
                <c:pt idx="19">
                  <c:v>0.22539493692839277</c:v>
                </c:pt>
                <c:pt idx="20">
                  <c:v>0.23894167912488382</c:v>
                </c:pt>
                <c:pt idx="21">
                  <c:v>0.23023566278922675</c:v>
                </c:pt>
                <c:pt idx="22">
                  <c:v>0.19934450174174367</c:v>
                </c:pt>
                <c:pt idx="23">
                  <c:v>0.21390705016775974</c:v>
                </c:pt>
                <c:pt idx="24">
                  <c:v>0.28566647783560167</c:v>
                </c:pt>
                <c:pt idx="25">
                  <c:v>0.28791596794049751</c:v>
                </c:pt>
                <c:pt idx="26">
                  <c:v>0.17378218975040347</c:v>
                </c:pt>
                <c:pt idx="27">
                  <c:v>0.16081137129607626</c:v>
                </c:pt>
                <c:pt idx="28">
                  <c:v>0.23032492682124667</c:v>
                </c:pt>
                <c:pt idx="29">
                  <c:v>0.26933288076797623</c:v>
                </c:pt>
                <c:pt idx="30">
                  <c:v>0.23824785987139882</c:v>
                </c:pt>
                <c:pt idx="31">
                  <c:v>0.22126128290227048</c:v>
                </c:pt>
                <c:pt idx="32">
                  <c:v>0.15999174733165075</c:v>
                </c:pt>
                <c:pt idx="33">
                  <c:v>0.13706369706454757</c:v>
                </c:pt>
                <c:pt idx="34">
                  <c:v>7.0088166011370592E-2</c:v>
                </c:pt>
                <c:pt idx="35">
                  <c:v>6.433547273638282E-2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8.2211631632914534E-2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AD-4DFD-AEF5-FB1A56E75864}"/>
            </c:ext>
          </c:extLst>
        </c:ser>
        <c:ser>
          <c:idx val="3"/>
          <c:order val="2"/>
          <c:tx>
            <c:strRef>
              <c:f>StyleOverTime!$A$6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9.3968772669350512E-2</c:v>
                </c:pt>
                <c:pt idx="3">
                  <c:v>0.11439800747971796</c:v>
                </c:pt>
                <c:pt idx="4">
                  <c:v>2.861637491270513E-2</c:v>
                </c:pt>
                <c:pt idx="5">
                  <c:v>2.9891168637664684E-2</c:v>
                </c:pt>
                <c:pt idx="6">
                  <c:v>3.4944556139225959E-2</c:v>
                </c:pt>
                <c:pt idx="7">
                  <c:v>4.4835257938745925E-2</c:v>
                </c:pt>
                <c:pt idx="8">
                  <c:v>5.1881600590254096E-2</c:v>
                </c:pt>
                <c:pt idx="9">
                  <c:v>7.1434423702847902E-2</c:v>
                </c:pt>
                <c:pt idx="10">
                  <c:v>0</c:v>
                </c:pt>
                <c:pt idx="11">
                  <c:v>6.3772000129565989E-3</c:v>
                </c:pt>
                <c:pt idx="12">
                  <c:v>1.4283988633445209E-3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3.0246212850906371E-2</c:v>
                </c:pt>
                <c:pt idx="18">
                  <c:v>2.3898295492848991E-2</c:v>
                </c:pt>
                <c:pt idx="19">
                  <c:v>1.1872722301272691E-2</c:v>
                </c:pt>
                <c:pt idx="20">
                  <c:v>9.4352727121531062E-4</c:v>
                </c:pt>
                <c:pt idx="21">
                  <c:v>7.615829767370616E-3</c:v>
                </c:pt>
                <c:pt idx="22">
                  <c:v>3.5558060852543066E-2</c:v>
                </c:pt>
                <c:pt idx="23">
                  <c:v>2.8410968151077916E-2</c:v>
                </c:pt>
                <c:pt idx="24">
                  <c:v>4.8800492104222479E-2</c:v>
                </c:pt>
                <c:pt idx="25">
                  <c:v>4.5400210947220021E-2</c:v>
                </c:pt>
                <c:pt idx="26">
                  <c:v>0.1752947547189522</c:v>
                </c:pt>
                <c:pt idx="27">
                  <c:v>0.17224578700518658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4.3144852816303661E-2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AD-4DFD-AEF5-FB1A56E75864}"/>
            </c:ext>
          </c:extLst>
        </c:ser>
        <c:ser>
          <c:idx val="4"/>
          <c:order val="3"/>
          <c:tx>
            <c:strRef>
              <c:f>StyleOverTime!$A$7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5.7339297664865854E-2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AD-4DFD-AEF5-FB1A56E75864}"/>
            </c:ext>
          </c:extLst>
        </c:ser>
        <c:ser>
          <c:idx val="5"/>
          <c:order val="4"/>
          <c:tx>
            <c:strRef>
              <c:f>StyleOverTime!$A$8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0.14755217695894648</c:v>
                </c:pt>
                <c:pt idx="41">
                  <c:v>4.7088122245807544E-2</c:v>
                </c:pt>
                <c:pt idx="42">
                  <c:v>5.2322412735642185E-2</c:v>
                </c:pt>
                <c:pt idx="43">
                  <c:v>6.465790285915364E-2</c:v>
                </c:pt>
                <c:pt idx="44">
                  <c:v>0.10789731707825247</c:v>
                </c:pt>
                <c:pt idx="45">
                  <c:v>3.1855403259303861E-2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7.1487519866123381E-2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AD-4DFD-AEF5-FB1A56E75864}"/>
            </c:ext>
          </c:extLst>
        </c:ser>
        <c:ser>
          <c:idx val="6"/>
          <c:order val="5"/>
          <c:tx>
            <c:strRef>
              <c:f>StyleOverTime!$A$9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4.137043743982545E-2</c:v>
                </c:pt>
                <c:pt idx="29">
                  <c:v>0</c:v>
                </c:pt>
                <c:pt idx="30">
                  <c:v>3.7407597528922816E-2</c:v>
                </c:pt>
                <c:pt idx="31">
                  <c:v>6.5326280992033331E-2</c:v>
                </c:pt>
                <c:pt idx="32">
                  <c:v>0.14554315360578324</c:v>
                </c:pt>
                <c:pt idx="33">
                  <c:v>0.16508541988616654</c:v>
                </c:pt>
                <c:pt idx="34">
                  <c:v>0.23515218684032288</c:v>
                </c:pt>
                <c:pt idx="35">
                  <c:v>0.22239065648269077</c:v>
                </c:pt>
                <c:pt idx="36">
                  <c:v>6.4874028669812081E-2</c:v>
                </c:pt>
                <c:pt idx="37">
                  <c:v>6.7234355890936862E-2</c:v>
                </c:pt>
                <c:pt idx="38">
                  <c:v>6.5337241691214409E-2</c:v>
                </c:pt>
                <c:pt idx="39">
                  <c:v>2.0523277180662308E-2</c:v>
                </c:pt>
                <c:pt idx="40">
                  <c:v>1.9244890675719016E-2</c:v>
                </c:pt>
                <c:pt idx="41">
                  <c:v>5.3727039764344085E-2</c:v>
                </c:pt>
                <c:pt idx="42">
                  <c:v>4.9532656798660861E-2</c:v>
                </c:pt>
                <c:pt idx="43">
                  <c:v>5.3470968856695944E-2</c:v>
                </c:pt>
                <c:pt idx="44">
                  <c:v>0.11716367278159012</c:v>
                </c:pt>
                <c:pt idx="45">
                  <c:v>9.40039050436349E-2</c:v>
                </c:pt>
                <c:pt idx="46">
                  <c:v>0.11396480391887669</c:v>
                </c:pt>
                <c:pt idx="47">
                  <c:v>0.12260730381241562</c:v>
                </c:pt>
                <c:pt idx="48">
                  <c:v>0.10817305028453315</c:v>
                </c:pt>
                <c:pt idx="49">
                  <c:v>8.5435106232876715E-2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AD-4DFD-AEF5-FB1A56E75864}"/>
            </c:ext>
          </c:extLst>
        </c:ser>
        <c:ser>
          <c:idx val="7"/>
          <c:order val="6"/>
          <c:tx>
            <c:strRef>
              <c:f>StyleOverTime!$A$10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StyleOverTime!$B$10:$FY$10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AD-4DFD-AEF5-FB1A56E75864}"/>
            </c:ext>
          </c:extLst>
        </c:ser>
        <c:ser>
          <c:idx val="8"/>
          <c:order val="7"/>
          <c:tx>
            <c:strRef>
              <c:f>StyleOverTime!$A$11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0.15151915182095232</c:v>
                </c:pt>
                <c:pt idx="41">
                  <c:v>0.13564370976464951</c:v>
                </c:pt>
                <c:pt idx="42">
                  <c:v>0.14250566325483516</c:v>
                </c:pt>
                <c:pt idx="43">
                  <c:v>0.14254594895809836</c:v>
                </c:pt>
                <c:pt idx="44">
                  <c:v>0.12839614598824273</c:v>
                </c:pt>
                <c:pt idx="45">
                  <c:v>0.12459689748481405</c:v>
                </c:pt>
                <c:pt idx="46">
                  <c:v>0.12653695439474338</c:v>
                </c:pt>
                <c:pt idx="47">
                  <c:v>0.12403454672165043</c:v>
                </c:pt>
                <c:pt idx="48">
                  <c:v>0.12880684720967422</c:v>
                </c:pt>
                <c:pt idx="49">
                  <c:v>0.1822584435368616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AD-4DFD-AEF5-FB1A56E75864}"/>
            </c:ext>
          </c:extLst>
        </c:ser>
        <c:ser>
          <c:idx val="9"/>
          <c:order val="8"/>
          <c:tx>
            <c:strRef>
              <c:f>StyleOverTime!$A$12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StyleOverTime!$B$12:$FY$12</c:f>
              <c:numCache>
                <c:formatCode>General</c:formatCode>
                <c:ptCount val="180"/>
                <c:pt idx="0">
                  <c:v>0.1283379603700868</c:v>
                </c:pt>
                <c:pt idx="1">
                  <c:v>0.15338486671635418</c:v>
                </c:pt>
                <c:pt idx="2">
                  <c:v>0.12960584534025063</c:v>
                </c:pt>
                <c:pt idx="3">
                  <c:v>9.7940670152033255E-2</c:v>
                </c:pt>
                <c:pt idx="4">
                  <c:v>0.1797659699555019</c:v>
                </c:pt>
                <c:pt idx="5">
                  <c:v>0.14788491053271938</c:v>
                </c:pt>
                <c:pt idx="6">
                  <c:v>0.15432142665440934</c:v>
                </c:pt>
                <c:pt idx="7">
                  <c:v>0.17028258625675799</c:v>
                </c:pt>
                <c:pt idx="8">
                  <c:v>0.1760956538796917</c:v>
                </c:pt>
                <c:pt idx="9">
                  <c:v>0.14358180761194944</c:v>
                </c:pt>
                <c:pt idx="10">
                  <c:v>0.2905528015656158</c:v>
                </c:pt>
                <c:pt idx="11">
                  <c:v>0.26321289663078329</c:v>
                </c:pt>
                <c:pt idx="12">
                  <c:v>0.27350541452764837</c:v>
                </c:pt>
                <c:pt idx="13">
                  <c:v>0.26774328271452863</c:v>
                </c:pt>
                <c:pt idx="14">
                  <c:v>0.34342853871018353</c:v>
                </c:pt>
                <c:pt idx="15">
                  <c:v>0.44331385471503976</c:v>
                </c:pt>
                <c:pt idx="16">
                  <c:v>0.43694940480168099</c:v>
                </c:pt>
                <c:pt idx="17">
                  <c:v>0.46529837486102787</c:v>
                </c:pt>
                <c:pt idx="18">
                  <c:v>0.47016198714453289</c:v>
                </c:pt>
                <c:pt idx="19">
                  <c:v>0.47330425579422186</c:v>
                </c:pt>
                <c:pt idx="20">
                  <c:v>0.48257371122799175</c:v>
                </c:pt>
                <c:pt idx="21">
                  <c:v>0.48687598559218687</c:v>
                </c:pt>
                <c:pt idx="22">
                  <c:v>0.52629446007062508</c:v>
                </c:pt>
                <c:pt idx="23">
                  <c:v>0.50377666722881775</c:v>
                </c:pt>
                <c:pt idx="24">
                  <c:v>0.5682731944784416</c:v>
                </c:pt>
                <c:pt idx="25">
                  <c:v>0.56603620037295477</c:v>
                </c:pt>
                <c:pt idx="26">
                  <c:v>0.54500797628263542</c:v>
                </c:pt>
                <c:pt idx="27">
                  <c:v>0.55547432838865396</c:v>
                </c:pt>
                <c:pt idx="28">
                  <c:v>0.55476174648164056</c:v>
                </c:pt>
                <c:pt idx="29">
                  <c:v>0.56218912680686539</c:v>
                </c:pt>
                <c:pt idx="30">
                  <c:v>0.55809590586745939</c:v>
                </c:pt>
                <c:pt idx="31">
                  <c:v>0.55466085300936163</c:v>
                </c:pt>
                <c:pt idx="32">
                  <c:v>0.52281196434581789</c:v>
                </c:pt>
                <c:pt idx="33">
                  <c:v>0.52456169931497743</c:v>
                </c:pt>
                <c:pt idx="34">
                  <c:v>0.52515635087167156</c:v>
                </c:pt>
                <c:pt idx="35">
                  <c:v>0.55130197761418687</c:v>
                </c:pt>
                <c:pt idx="36">
                  <c:v>0.46542105271717343</c:v>
                </c:pt>
                <c:pt idx="37">
                  <c:v>0.45454849625907484</c:v>
                </c:pt>
                <c:pt idx="38">
                  <c:v>0.43976881268818302</c:v>
                </c:pt>
                <c:pt idx="39">
                  <c:v>0.43252069441240776</c:v>
                </c:pt>
                <c:pt idx="40">
                  <c:v>0.38392841257907684</c:v>
                </c:pt>
                <c:pt idx="41">
                  <c:v>0.38414438149433527</c:v>
                </c:pt>
                <c:pt idx="42">
                  <c:v>0.38166148996116722</c:v>
                </c:pt>
                <c:pt idx="43">
                  <c:v>0.38616480158887423</c:v>
                </c:pt>
                <c:pt idx="44">
                  <c:v>0.42746006979708195</c:v>
                </c:pt>
                <c:pt idx="45">
                  <c:v>0.41619363195751402</c:v>
                </c:pt>
                <c:pt idx="46">
                  <c:v>0.39708888250685487</c:v>
                </c:pt>
                <c:pt idx="47">
                  <c:v>0.42361175420365016</c:v>
                </c:pt>
                <c:pt idx="48">
                  <c:v>0.42758033515129729</c:v>
                </c:pt>
                <c:pt idx="49">
                  <c:v>0.39989359555856135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AD-4DFD-AEF5-FB1A56E75864}"/>
            </c:ext>
          </c:extLst>
        </c:ser>
        <c:ser>
          <c:idx val="10"/>
          <c:order val="9"/>
          <c:tx>
            <c:strRef>
              <c:f>StyleOverTime!$A$13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AD-4DFD-AEF5-FB1A56E75864}"/>
            </c:ext>
          </c:extLst>
        </c:ser>
        <c:ser>
          <c:idx val="11"/>
          <c:order val="10"/>
          <c:tx>
            <c:strRef>
              <c:f>StyleOverTime!$A$14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StyleOverTime!$B$14:$FY$14</c:f>
              <c:numCache>
                <c:formatCode>General</c:formatCode>
                <c:ptCount val="180"/>
                <c:pt idx="0">
                  <c:v>8.217876696499743E-2</c:v>
                </c:pt>
                <c:pt idx="1">
                  <c:v>9.7618530276187637E-2</c:v>
                </c:pt>
                <c:pt idx="2">
                  <c:v>0.10216742928488572</c:v>
                </c:pt>
                <c:pt idx="3">
                  <c:v>8.8694644372579776E-2</c:v>
                </c:pt>
                <c:pt idx="4">
                  <c:v>8.4642513021336976E-2</c:v>
                </c:pt>
                <c:pt idx="5">
                  <c:v>7.5852207052695783E-2</c:v>
                </c:pt>
                <c:pt idx="6">
                  <c:v>8.1867361155495547E-2</c:v>
                </c:pt>
                <c:pt idx="7">
                  <c:v>8.1411409749305219E-2</c:v>
                </c:pt>
                <c:pt idx="8">
                  <c:v>7.5228467671946977E-2</c:v>
                </c:pt>
                <c:pt idx="9">
                  <c:v>0.10170550767778573</c:v>
                </c:pt>
                <c:pt idx="10">
                  <c:v>0.12301859234926592</c:v>
                </c:pt>
                <c:pt idx="11">
                  <c:v>0.14307714321732787</c:v>
                </c:pt>
                <c:pt idx="12">
                  <c:v>0.15381875499778583</c:v>
                </c:pt>
                <c:pt idx="13">
                  <c:v>0.13832334090087878</c:v>
                </c:pt>
                <c:pt idx="14">
                  <c:v>8.5446549826923471E-2</c:v>
                </c:pt>
                <c:pt idx="15">
                  <c:v>6.3648185445496566E-2</c:v>
                </c:pt>
                <c:pt idx="16">
                  <c:v>6.4455581324543279E-2</c:v>
                </c:pt>
                <c:pt idx="17">
                  <c:v>5.3894924035260999E-2</c:v>
                </c:pt>
                <c:pt idx="18">
                  <c:v>5.2366549655765281E-2</c:v>
                </c:pt>
                <c:pt idx="19">
                  <c:v>5.354308967872836E-2</c:v>
                </c:pt>
                <c:pt idx="20">
                  <c:v>5.3251886807790472E-2</c:v>
                </c:pt>
                <c:pt idx="21">
                  <c:v>5.3424764691252118E-2</c:v>
                </c:pt>
                <c:pt idx="22">
                  <c:v>4.4879414399262921E-2</c:v>
                </c:pt>
                <c:pt idx="23">
                  <c:v>4.0748283610688801E-2</c:v>
                </c:pt>
                <c:pt idx="24">
                  <c:v>4.2410572399616826E-2</c:v>
                </c:pt>
                <c:pt idx="25">
                  <c:v>4.4761568469878873E-2</c:v>
                </c:pt>
                <c:pt idx="26">
                  <c:v>3.7414564055055263E-2</c:v>
                </c:pt>
                <c:pt idx="27">
                  <c:v>4.0870161618364251E-2</c:v>
                </c:pt>
                <c:pt idx="28">
                  <c:v>9.7697598130178628E-2</c:v>
                </c:pt>
                <c:pt idx="29">
                  <c:v>0.1016897943612365</c:v>
                </c:pt>
                <c:pt idx="30">
                  <c:v>9.6031821459914748E-2</c:v>
                </c:pt>
                <c:pt idx="31">
                  <c:v>9.257863928616912E-2</c:v>
                </c:pt>
                <c:pt idx="32">
                  <c:v>8.4084063874513545E-2</c:v>
                </c:pt>
                <c:pt idx="33">
                  <c:v>8.4507643565193066E-2</c:v>
                </c:pt>
                <c:pt idx="34">
                  <c:v>8.228500424432042E-2</c:v>
                </c:pt>
                <c:pt idx="35">
                  <c:v>8.5288325831715583E-2</c:v>
                </c:pt>
                <c:pt idx="36">
                  <c:v>8.8932756183300959E-2</c:v>
                </c:pt>
                <c:pt idx="37">
                  <c:v>8.7635735251225214E-2</c:v>
                </c:pt>
                <c:pt idx="38">
                  <c:v>7.2833639893863142E-2</c:v>
                </c:pt>
                <c:pt idx="39">
                  <c:v>6.5031633205801798E-2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AD-4DFD-AEF5-FB1A56E75864}"/>
            </c:ext>
          </c:extLst>
        </c:ser>
        <c:ser>
          <c:idx val="12"/>
          <c:order val="11"/>
          <c:tx>
            <c:strRef>
              <c:f>StyleOverTime!$A$15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StyleOverTime!$B$15:$FY$15</c:f>
              <c:numCache>
                <c:formatCode>General</c:formatCode>
                <c:ptCount val="180"/>
                <c:pt idx="0">
                  <c:v>0.26727078826699113</c:v>
                </c:pt>
                <c:pt idx="1">
                  <c:v>0.2236598553827267</c:v>
                </c:pt>
                <c:pt idx="2">
                  <c:v>0.25003934376204312</c:v>
                </c:pt>
                <c:pt idx="3">
                  <c:v>0.32270185282483627</c:v>
                </c:pt>
                <c:pt idx="4">
                  <c:v>0.27754132502017592</c:v>
                </c:pt>
                <c:pt idx="5">
                  <c:v>0.32707642892560873</c:v>
                </c:pt>
                <c:pt idx="6">
                  <c:v>0.31238609522709465</c:v>
                </c:pt>
                <c:pt idx="7">
                  <c:v>0.30209628757895995</c:v>
                </c:pt>
                <c:pt idx="8">
                  <c:v>0.32765916907502551</c:v>
                </c:pt>
                <c:pt idx="9">
                  <c:v>0.30306885968122488</c:v>
                </c:pt>
                <c:pt idx="10">
                  <c:v>0.16316909742778729</c:v>
                </c:pt>
                <c:pt idx="11">
                  <c:v>0.14868132920818528</c:v>
                </c:pt>
                <c:pt idx="12">
                  <c:v>0.17945147723245689</c:v>
                </c:pt>
                <c:pt idx="13">
                  <c:v>0.23844024822526008</c:v>
                </c:pt>
                <c:pt idx="14">
                  <c:v>0.25068504148028908</c:v>
                </c:pt>
                <c:pt idx="15">
                  <c:v>0.23103812999011639</c:v>
                </c:pt>
                <c:pt idx="16">
                  <c:v>0.22772529031914002</c:v>
                </c:pt>
                <c:pt idx="17">
                  <c:v>0.21746433009017083</c:v>
                </c:pt>
                <c:pt idx="18">
                  <c:v>0.2094581922984789</c:v>
                </c:pt>
                <c:pt idx="19">
                  <c:v>0.21029916594881712</c:v>
                </c:pt>
                <c:pt idx="20">
                  <c:v>0.19640075604041218</c:v>
                </c:pt>
                <c:pt idx="21">
                  <c:v>0.19469464641496537</c:v>
                </c:pt>
                <c:pt idx="22">
                  <c:v>0.17963872905593611</c:v>
                </c:pt>
                <c:pt idx="23">
                  <c:v>0.19330007943466057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6.9982848943540968E-2</c:v>
                </c:pt>
                <c:pt idx="37">
                  <c:v>7.7726090496108735E-2</c:v>
                </c:pt>
                <c:pt idx="38">
                  <c:v>9.7990199561824629E-2</c:v>
                </c:pt>
                <c:pt idx="39">
                  <c:v>8.442833637951401E-2</c:v>
                </c:pt>
                <c:pt idx="40">
                  <c:v>0.14200623200496776</c:v>
                </c:pt>
                <c:pt idx="41">
                  <c:v>0.11104811388699022</c:v>
                </c:pt>
                <c:pt idx="42">
                  <c:v>0.1173774043552665</c:v>
                </c:pt>
                <c:pt idx="43">
                  <c:v>0.11658914666637009</c:v>
                </c:pt>
                <c:pt idx="44">
                  <c:v>6.9575369351181152E-2</c:v>
                </c:pt>
                <c:pt idx="45">
                  <c:v>5.959329237185567E-2</c:v>
                </c:pt>
                <c:pt idx="46">
                  <c:v>7.5630781764609592E-2</c:v>
                </c:pt>
                <c:pt idx="47">
                  <c:v>6.7091902365919831E-2</c:v>
                </c:pt>
                <c:pt idx="48">
                  <c:v>6.5679375269582466E-2</c:v>
                </c:pt>
                <c:pt idx="49">
                  <c:v>8.9531696400108371E-2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AD-4DFD-AEF5-FB1A56E75864}"/>
            </c:ext>
          </c:extLst>
        </c:ser>
        <c:ser>
          <c:idx val="13"/>
          <c:order val="12"/>
          <c:tx>
            <c:strRef>
              <c:f>StyleOverTime!$A$16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StyleOverTime!$B$16:$FY$16</c:f>
              <c:numCache>
                <c:formatCode>General</c:formatCode>
                <c:ptCount val="180"/>
                <c:pt idx="0">
                  <c:v>0.14199683769877824</c:v>
                </c:pt>
                <c:pt idx="1">
                  <c:v>0.14800656743853402</c:v>
                </c:pt>
                <c:pt idx="2">
                  <c:v>0.13595659963186374</c:v>
                </c:pt>
                <c:pt idx="3">
                  <c:v>0.11171685900019677</c:v>
                </c:pt>
                <c:pt idx="4">
                  <c:v>6.8525714050224576E-2</c:v>
                </c:pt>
                <c:pt idx="5">
                  <c:v>7.3536376303288589E-2</c:v>
                </c:pt>
                <c:pt idx="6">
                  <c:v>7.4675003952351091E-2</c:v>
                </c:pt>
                <c:pt idx="7">
                  <c:v>7.5284034209408768E-2</c:v>
                </c:pt>
                <c:pt idx="8">
                  <c:v>7.440953744688597E-2</c:v>
                </c:pt>
                <c:pt idx="9">
                  <c:v>8.6941497568850959E-2</c:v>
                </c:pt>
                <c:pt idx="10">
                  <c:v>6.0059291264237487E-2</c:v>
                </c:pt>
                <c:pt idx="11">
                  <c:v>6.8224153652569494E-2</c:v>
                </c:pt>
                <c:pt idx="12">
                  <c:v>1.500326574965455E-2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1.4505256296940106E-2</c:v>
                </c:pt>
                <c:pt idx="33">
                  <c:v>1.3824406166379982E-2</c:v>
                </c:pt>
                <c:pt idx="34">
                  <c:v>1.7442753358276577E-2</c:v>
                </c:pt>
                <c:pt idx="35">
                  <c:v>1.9637265796398234E-3</c:v>
                </c:pt>
                <c:pt idx="36">
                  <c:v>9.1962817516963134E-3</c:v>
                </c:pt>
                <c:pt idx="37">
                  <c:v>9.9964302348243099E-3</c:v>
                </c:pt>
                <c:pt idx="38">
                  <c:v>3.7779996497234958E-2</c:v>
                </c:pt>
                <c:pt idx="39">
                  <c:v>5.7100433884783974E-2</c:v>
                </c:pt>
                <c:pt idx="40">
                  <c:v>8.4709440101884054E-2</c:v>
                </c:pt>
                <c:pt idx="41">
                  <c:v>9.8436758099986699E-2</c:v>
                </c:pt>
                <c:pt idx="42">
                  <c:v>9.7460333128139107E-2</c:v>
                </c:pt>
                <c:pt idx="43">
                  <c:v>9.6444219150768548E-2</c:v>
                </c:pt>
                <c:pt idx="44">
                  <c:v>0.1164497562112371</c:v>
                </c:pt>
                <c:pt idx="45">
                  <c:v>0.12203868131625249</c:v>
                </c:pt>
                <c:pt idx="46">
                  <c:v>0.11644785269123649</c:v>
                </c:pt>
                <c:pt idx="47">
                  <c:v>0.11342295426323426</c:v>
                </c:pt>
                <c:pt idx="48">
                  <c:v>0.11017646793585899</c:v>
                </c:pt>
                <c:pt idx="49">
                  <c:v>5.5459647849649837E-2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AD-4DFD-AEF5-FB1A56E75864}"/>
            </c:ext>
          </c:extLst>
        </c:ser>
        <c:ser>
          <c:idx val="14"/>
          <c:order val="13"/>
          <c:tx>
            <c:strRef>
              <c:f>StyleOverTime!$A$17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AD-4DFD-AEF5-FB1A56E75864}"/>
            </c:ext>
          </c:extLst>
        </c:ser>
        <c:ser>
          <c:idx val="15"/>
          <c:order val="14"/>
          <c:tx>
            <c:strRef>
              <c:f>StyleOverTime!$A$18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StyleOverTime!$B$18:$FY$18</c:f>
              <c:numCache>
                <c:formatCode>General</c:formatCode>
                <c:ptCount val="180"/>
                <c:pt idx="0">
                  <c:v>1.3582258315394087E-2</c:v>
                </c:pt>
                <c:pt idx="1">
                  <c:v>3.5781699025568222E-3</c:v>
                </c:pt>
                <c:pt idx="2">
                  <c:v>1.602842352268008E-2</c:v>
                </c:pt>
                <c:pt idx="3">
                  <c:v>2.4861952515838052E-2</c:v>
                </c:pt>
                <c:pt idx="4">
                  <c:v>3.5484901854778067E-2</c:v>
                </c:pt>
                <c:pt idx="5">
                  <c:v>3.0511528525410898E-2</c:v>
                </c:pt>
                <c:pt idx="6">
                  <c:v>2.2351087309491556E-2</c:v>
                </c:pt>
                <c:pt idx="7">
                  <c:v>2.2502270729697346E-2</c:v>
                </c:pt>
                <c:pt idx="8">
                  <c:v>1.774015032397986E-2</c:v>
                </c:pt>
                <c:pt idx="9">
                  <c:v>6.7318017949742036E-3</c:v>
                </c:pt>
                <c:pt idx="10">
                  <c:v>9.0118713719338824E-3</c:v>
                </c:pt>
                <c:pt idx="11">
                  <c:v>1.1030289252109122E-2</c:v>
                </c:pt>
                <c:pt idx="12">
                  <c:v>3.0026950318718829E-2</c:v>
                </c:pt>
                <c:pt idx="13">
                  <c:v>3.5388667550137073E-2</c:v>
                </c:pt>
                <c:pt idx="14">
                  <c:v>3.7562318618468718E-2</c:v>
                </c:pt>
                <c:pt idx="15">
                  <c:v>2.4191423022077337E-2</c:v>
                </c:pt>
                <c:pt idx="16">
                  <c:v>2.7504730177463958E-2</c:v>
                </c:pt>
                <c:pt idx="17">
                  <c:v>2.5940584672961196E-2</c:v>
                </c:pt>
                <c:pt idx="18">
                  <c:v>2.7432648276099203E-2</c:v>
                </c:pt>
                <c:pt idx="19">
                  <c:v>2.5586829348566889E-2</c:v>
                </c:pt>
                <c:pt idx="20">
                  <c:v>2.7889439527706249E-2</c:v>
                </c:pt>
                <c:pt idx="21">
                  <c:v>2.7154110744997951E-2</c:v>
                </c:pt>
                <c:pt idx="22">
                  <c:v>1.4285833879888798E-2</c:v>
                </c:pt>
                <c:pt idx="23">
                  <c:v>1.9857951406994968E-2</c:v>
                </c:pt>
                <c:pt idx="24">
                  <c:v>5.4850263182117019E-2</c:v>
                </c:pt>
                <c:pt idx="25">
                  <c:v>5.5887052269448186E-2</c:v>
                </c:pt>
                <c:pt idx="26">
                  <c:v>6.850151519295325E-2</c:v>
                </c:pt>
                <c:pt idx="27">
                  <c:v>7.0599351691718576E-2</c:v>
                </c:pt>
                <c:pt idx="28">
                  <c:v>4.5369595609734956E-2</c:v>
                </c:pt>
                <c:pt idx="29">
                  <c:v>4.169854349664557E-2</c:v>
                </c:pt>
                <c:pt idx="30">
                  <c:v>4.170072517891709E-2</c:v>
                </c:pt>
                <c:pt idx="31">
                  <c:v>4.496286623422531E-2</c:v>
                </c:pt>
                <c:pt idx="32">
                  <c:v>4.4372784519733852E-2</c:v>
                </c:pt>
                <c:pt idx="33">
                  <c:v>4.4479051823186955E-2</c:v>
                </c:pt>
                <c:pt idx="34">
                  <c:v>4.5527324824076836E-2</c:v>
                </c:pt>
                <c:pt idx="35">
                  <c:v>5.9171669851402826E-2</c:v>
                </c:pt>
                <c:pt idx="36">
                  <c:v>5.9099568879904911E-2</c:v>
                </c:pt>
                <c:pt idx="37">
                  <c:v>6.1306675887575261E-2</c:v>
                </c:pt>
                <c:pt idx="38">
                  <c:v>4.9075175093019438E-2</c:v>
                </c:pt>
                <c:pt idx="39">
                  <c:v>3.6449690397345212E-2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AD-4DFD-AEF5-FB1A56E75864}"/>
            </c:ext>
          </c:extLst>
        </c:ser>
        <c:ser>
          <c:idx val="16"/>
          <c:order val="15"/>
          <c:tx>
            <c:strRef>
              <c:f>StyleOverTime!$A$19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StyleOverTime!$B$2:$FY$2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</c:numCache>
            </c:numRef>
          </c:cat>
          <c:val>
            <c:numRef>
              <c:f>StyleOverTime!$B$19:$FY$19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3.0476695517373274E-2</c:v>
                </c:pt>
                <c:pt idx="29">
                  <c:v>2.5090654567275994E-2</c:v>
                </c:pt>
                <c:pt idx="30">
                  <c:v>2.8517090093386984E-2</c:v>
                </c:pt>
                <c:pt idx="31">
                  <c:v>2.1211077575939905E-2</c:v>
                </c:pt>
                <c:pt idx="32">
                  <c:v>2.8692030025560276E-2</c:v>
                </c:pt>
                <c:pt idx="33">
                  <c:v>3.0478082179548165E-2</c:v>
                </c:pt>
                <c:pt idx="34">
                  <c:v>2.4349213849960583E-2</c:v>
                </c:pt>
                <c:pt idx="35">
                  <c:v>1.5549170903981082E-2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3.3328315947983987E-2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AD-4DFD-AEF5-FB1A56E75864}"/>
            </c:ext>
          </c:extLst>
        </c:ser>
        <c:ser>
          <c:idx val="0"/>
          <c:order val="16"/>
          <c:tx>
            <c:v>"Style"</c:v>
          </c:tx>
          <c:spPr>
            <a:ln w="25400">
              <a:noFill/>
            </a:ln>
          </c:spPr>
          <c:val>
            <c:numRef>
              <c:f>StyleOverTime!$B$21:$FY$21</c:f>
              <c:numCache>
                <c:formatCode>General</c:formatCode>
                <c:ptCount val="180"/>
                <c:pt idx="0">
                  <c:v>0.22784460372602688</c:v>
                </c:pt>
                <c:pt idx="1">
                  <c:v>0.2272555909140187</c:v>
                </c:pt>
                <c:pt idx="2">
                  <c:v>0.24221366154787338</c:v>
                </c:pt>
                <c:pt idx="3">
                  <c:v>0.2425626392017084</c:v>
                </c:pt>
                <c:pt idx="4">
                  <c:v>0.25483718684450385</c:v>
                </c:pt>
                <c:pt idx="5">
                  <c:v>0.25021005598163926</c:v>
                </c:pt>
                <c:pt idx="6">
                  <c:v>0.25307828439341029</c:v>
                </c:pt>
                <c:pt idx="7">
                  <c:v>0.25570713589158411</c:v>
                </c:pt>
                <c:pt idx="8">
                  <c:v>0.25834126044145456</c:v>
                </c:pt>
                <c:pt idx="9">
                  <c:v>0.24795680377564211</c:v>
                </c:pt>
                <c:pt idx="10">
                  <c:v>0.25559334863908145</c:v>
                </c:pt>
                <c:pt idx="11">
                  <c:v>0.25631081370113662</c:v>
                </c:pt>
                <c:pt idx="12">
                  <c:v>0.26997480670301643</c:v>
                </c:pt>
                <c:pt idx="13">
                  <c:v>0.27800792190048262</c:v>
                </c:pt>
                <c:pt idx="14">
                  <c:v>0.2746585240956988</c:v>
                </c:pt>
                <c:pt idx="15">
                  <c:v>0.29241126360337943</c:v>
                </c:pt>
                <c:pt idx="16">
                  <c:v>0.28961511620833502</c:v>
                </c:pt>
                <c:pt idx="17">
                  <c:v>0.28163744974089244</c:v>
                </c:pt>
                <c:pt idx="18">
                  <c:v>0.28126686837448489</c:v>
                </c:pt>
                <c:pt idx="19">
                  <c:v>0.28088401122520168</c:v>
                </c:pt>
                <c:pt idx="20">
                  <c:v>0.28884466855690438</c:v>
                </c:pt>
                <c:pt idx="21">
                  <c:v>0.28746173282235277</c:v>
                </c:pt>
                <c:pt idx="22">
                  <c:v>0.28123736159090063</c:v>
                </c:pt>
                <c:pt idx="23">
                  <c:v>0.27472747472617809</c:v>
                </c:pt>
                <c:pt idx="24">
                  <c:v>0.23001065859903957</c:v>
                </c:pt>
                <c:pt idx="25">
                  <c:v>0.23409276093098041</c:v>
                </c:pt>
                <c:pt idx="26">
                  <c:v>0.2344299883046691</c:v>
                </c:pt>
                <c:pt idx="27">
                  <c:v>0.24220513058379101</c:v>
                </c:pt>
                <c:pt idx="28">
                  <c:v>0.37334170685909951</c:v>
                </c:pt>
                <c:pt idx="29">
                  <c:v>0.36971799652342363</c:v>
                </c:pt>
                <c:pt idx="30">
                  <c:v>0.36627676566800615</c:v>
                </c:pt>
                <c:pt idx="31">
                  <c:v>0.35562180613388383</c:v>
                </c:pt>
                <c:pt idx="32">
                  <c:v>0.34185442708782465</c:v>
                </c:pt>
                <c:pt idx="33">
                  <c:v>0.35627560941095615</c:v>
                </c:pt>
                <c:pt idx="34">
                  <c:v>0.35987337506268857</c:v>
                </c:pt>
                <c:pt idx="35">
                  <c:v>0.36810828218790415</c:v>
                </c:pt>
                <c:pt idx="36">
                  <c:v>0.40845675577193141</c:v>
                </c:pt>
                <c:pt idx="37">
                  <c:v>0.4051082156843312</c:v>
                </c:pt>
                <c:pt idx="38">
                  <c:v>0.4020611419885034</c:v>
                </c:pt>
                <c:pt idx="39">
                  <c:v>0.39356302378502916</c:v>
                </c:pt>
                <c:pt idx="40">
                  <c:v>0.49496359673623791</c:v>
                </c:pt>
                <c:pt idx="41">
                  <c:v>0.48513849078363713</c:v>
                </c:pt>
                <c:pt idx="42">
                  <c:v>0.49493195544573187</c:v>
                </c:pt>
                <c:pt idx="43">
                  <c:v>0.50195709477877759</c:v>
                </c:pt>
                <c:pt idx="44">
                  <c:v>0.50973775708346059</c:v>
                </c:pt>
                <c:pt idx="45">
                  <c:v>0.51857210904477302</c:v>
                </c:pt>
                <c:pt idx="46">
                  <c:v>0.51270805237435102</c:v>
                </c:pt>
                <c:pt idx="47">
                  <c:v>0.52375170592293352</c:v>
                </c:pt>
                <c:pt idx="48">
                  <c:v>0.5283618095923559</c:v>
                </c:pt>
                <c:pt idx="49">
                  <c:v>0.54996980134869933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AD-4DFD-AEF5-FB1A56E75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87040"/>
        <c:axId val="170888576"/>
      </c:areaChart>
      <c:dateAx>
        <c:axId val="17088704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0888576"/>
        <c:crosses val="autoZero"/>
        <c:auto val="1"/>
        <c:lblOffset val="100"/>
        <c:baseTimeUnit val="months"/>
      </c:dateAx>
      <c:valAx>
        <c:axId val="1708885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088704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TimeVanguardInvGrade!$A$3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75933093109125"/>
          <c:y val="0.12153568514308703"/>
          <c:w val="0.82490555629698825"/>
          <c:h val="0.73862741081646044"/>
        </c:manualLayout>
      </c:layout>
      <c:scatterChart>
        <c:scatterStyle val="lineMarker"/>
        <c:varyColors val="0"/>
        <c:ser>
          <c:idx val="0"/>
          <c:order val="0"/>
          <c:spPr>
            <a:ln w="34925"/>
          </c:spPr>
          <c:marker>
            <c:symbol val="none"/>
          </c:marker>
          <c:xVal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xVal>
          <c:yVal>
            <c:numRef>
              <c:f>TimeVanguardInvGrade!$B$21:$FY$21</c:f>
              <c:numCache>
                <c:formatCode>General</c:formatCode>
                <c:ptCount val="180"/>
                <c:pt idx="0">
                  <c:v>0.92970619620200445</c:v>
                </c:pt>
                <c:pt idx="1">
                  <c:v>0.92759534283772949</c:v>
                </c:pt>
                <c:pt idx="2">
                  <c:v>0.92997536145004678</c:v>
                </c:pt>
                <c:pt idx="3">
                  <c:v>0.92057268906517331</c:v>
                </c:pt>
                <c:pt idx="4">
                  <c:v>0.91795131924589402</c:v>
                </c:pt>
                <c:pt idx="5">
                  <c:v>0.91955319143708758</c:v>
                </c:pt>
                <c:pt idx="6">
                  <c:v>0.92018318253471088</c:v>
                </c:pt>
                <c:pt idx="7">
                  <c:v>0.91830557636173915</c:v>
                </c:pt>
                <c:pt idx="8">
                  <c:v>0.91854815424872982</c:v>
                </c:pt>
                <c:pt idx="9">
                  <c:v>0.91514399665279023</c:v>
                </c:pt>
                <c:pt idx="10">
                  <c:v>0.91500835150195903</c:v>
                </c:pt>
                <c:pt idx="11">
                  <c:v>0.9154564447783855</c:v>
                </c:pt>
                <c:pt idx="12">
                  <c:v>0.91599165648485714</c:v>
                </c:pt>
                <c:pt idx="13">
                  <c:v>0.91526324017415073</c:v>
                </c:pt>
                <c:pt idx="14">
                  <c:v>0.91030476047871367</c:v>
                </c:pt>
                <c:pt idx="15">
                  <c:v>0.90991852051788591</c:v>
                </c:pt>
                <c:pt idx="16">
                  <c:v>0.91144895060482012</c:v>
                </c:pt>
                <c:pt idx="17">
                  <c:v>0.89642309175196655</c:v>
                </c:pt>
                <c:pt idx="18">
                  <c:v>0.89893610562644</c:v>
                </c:pt>
                <c:pt idx="19">
                  <c:v>0.89854520521022863</c:v>
                </c:pt>
                <c:pt idx="20">
                  <c:v>0.89822078599565514</c:v>
                </c:pt>
                <c:pt idx="21">
                  <c:v>0.89752261660938248</c:v>
                </c:pt>
                <c:pt idx="22">
                  <c:v>0.89715723452256724</c:v>
                </c:pt>
                <c:pt idx="23">
                  <c:v>0.89446915159236484</c:v>
                </c:pt>
                <c:pt idx="24">
                  <c:v>0.89345556822471572</c:v>
                </c:pt>
                <c:pt idx="25">
                  <c:v>0.89150689200132882</c:v>
                </c:pt>
                <c:pt idx="26">
                  <c:v>0.88147785602160478</c:v>
                </c:pt>
                <c:pt idx="27">
                  <c:v>0.87931231618080874</c:v>
                </c:pt>
                <c:pt idx="28">
                  <c:v>0.87953799702042523</c:v>
                </c:pt>
                <c:pt idx="29">
                  <c:v>0.87875483599144899</c:v>
                </c:pt>
                <c:pt idx="30">
                  <c:v>0.8777892114646717</c:v>
                </c:pt>
                <c:pt idx="31">
                  <c:v>0.88219070226748098</c:v>
                </c:pt>
                <c:pt idx="32">
                  <c:v>0.88139942994851395</c:v>
                </c:pt>
                <c:pt idx="33">
                  <c:v>0.87428082174163857</c:v>
                </c:pt>
                <c:pt idx="34">
                  <c:v>0.88118522512761921</c:v>
                </c:pt>
                <c:pt idx="35">
                  <c:v>0.88221266122632447</c:v>
                </c:pt>
                <c:pt idx="36">
                  <c:v>0.8876278051186175</c:v>
                </c:pt>
                <c:pt idx="37">
                  <c:v>0.88591765112303766</c:v>
                </c:pt>
                <c:pt idx="38">
                  <c:v>0.88457127797667567</c:v>
                </c:pt>
                <c:pt idx="39">
                  <c:v>0.88561418316986051</c:v>
                </c:pt>
                <c:pt idx="40">
                  <c:v>0.88536607925687882</c:v>
                </c:pt>
                <c:pt idx="41">
                  <c:v>0.88494460339255288</c:v>
                </c:pt>
                <c:pt idx="42">
                  <c:v>0.88330340119261086</c:v>
                </c:pt>
                <c:pt idx="43">
                  <c:v>0.87389969574706905</c:v>
                </c:pt>
                <c:pt idx="44">
                  <c:v>0.86707704054793766</c:v>
                </c:pt>
                <c:pt idx="45">
                  <c:v>0.86719015951714495</c:v>
                </c:pt>
                <c:pt idx="46">
                  <c:v>0.85827810015572037</c:v>
                </c:pt>
                <c:pt idx="47">
                  <c:v>0.85564787683569365</c:v>
                </c:pt>
                <c:pt idx="48">
                  <c:v>0.86288982772136213</c:v>
                </c:pt>
                <c:pt idx="49">
                  <c:v>0.86331493800133419</c:v>
                </c:pt>
                <c:pt idx="50">
                  <c:v>0.86397035951098655</c:v>
                </c:pt>
                <c:pt idx="51">
                  <c:v>0.86699634134476133</c:v>
                </c:pt>
                <c:pt idx="52">
                  <c:v>0.86555159409513782</c:v>
                </c:pt>
                <c:pt idx="53">
                  <c:v>0.87255174392688051</c:v>
                </c:pt>
                <c:pt idx="54">
                  <c:v>0.87282751357990784</c:v>
                </c:pt>
                <c:pt idx="55">
                  <c:v>0.88926260867225193</c:v>
                </c:pt>
                <c:pt idx="56">
                  <c:v>0.88950372751886164</c:v>
                </c:pt>
                <c:pt idx="57">
                  <c:v>0.8923029616268815</c:v>
                </c:pt>
                <c:pt idx="58">
                  <c:v>0.8958943432251969</c:v>
                </c:pt>
                <c:pt idx="59">
                  <c:v>0.89837585003183917</c:v>
                </c:pt>
                <c:pt idx="60">
                  <c:v>0.92148600933809188</c:v>
                </c:pt>
                <c:pt idx="61">
                  <c:v>0.9224673836444246</c:v>
                </c:pt>
                <c:pt idx="62">
                  <c:v>0.91999567364099011</c:v>
                </c:pt>
                <c:pt idx="63">
                  <c:v>0.92313613843470244</c:v>
                </c:pt>
                <c:pt idx="64">
                  <c:v>0.93110328316012947</c:v>
                </c:pt>
                <c:pt idx="65">
                  <c:v>0.93071847087912596</c:v>
                </c:pt>
                <c:pt idx="66">
                  <c:v>0.93194077397867348</c:v>
                </c:pt>
                <c:pt idx="67">
                  <c:v>0.93153420456084335</c:v>
                </c:pt>
                <c:pt idx="68">
                  <c:v>0.93241500898536256</c:v>
                </c:pt>
                <c:pt idx="69">
                  <c:v>0.93251632100265691</c:v>
                </c:pt>
                <c:pt idx="70">
                  <c:v>0.93258498388184352</c:v>
                </c:pt>
                <c:pt idx="71">
                  <c:v>0.93311304080590152</c:v>
                </c:pt>
                <c:pt idx="72">
                  <c:v>0.93271746959618052</c:v>
                </c:pt>
                <c:pt idx="73">
                  <c:v>0.93276262337812632</c:v>
                </c:pt>
                <c:pt idx="74">
                  <c:v>0.94003966700862274</c:v>
                </c:pt>
                <c:pt idx="75">
                  <c:v>0.94232470343664598</c:v>
                </c:pt>
                <c:pt idx="76">
                  <c:v>0.94220773643574407</c:v>
                </c:pt>
                <c:pt idx="77">
                  <c:v>0.94353282477543166</c:v>
                </c:pt>
                <c:pt idx="78">
                  <c:v>0.94339572303032537</c:v>
                </c:pt>
                <c:pt idx="79">
                  <c:v>0.94309877856246382</c:v>
                </c:pt>
                <c:pt idx="80">
                  <c:v>0.94532246741865311</c:v>
                </c:pt>
                <c:pt idx="81">
                  <c:v>0.94697011500936867</c:v>
                </c:pt>
                <c:pt idx="82">
                  <c:v>0.94787696276689282</c:v>
                </c:pt>
                <c:pt idx="83">
                  <c:v>0.94817604585323367</c:v>
                </c:pt>
                <c:pt idx="84">
                  <c:v>0.94803049043433796</c:v>
                </c:pt>
                <c:pt idx="85">
                  <c:v>0.95195567093340738</c:v>
                </c:pt>
                <c:pt idx="86">
                  <c:v>0.94855891348197574</c:v>
                </c:pt>
                <c:pt idx="87">
                  <c:v>0.94756805273645739</c:v>
                </c:pt>
                <c:pt idx="88">
                  <c:v>0.94728743977264918</c:v>
                </c:pt>
                <c:pt idx="89">
                  <c:v>0.94772265045326587</c:v>
                </c:pt>
                <c:pt idx="90">
                  <c:v>0.94751532911043956</c:v>
                </c:pt>
                <c:pt idx="91">
                  <c:v>0.9475618641020489</c:v>
                </c:pt>
                <c:pt idx="92">
                  <c:v>0.94650583821535161</c:v>
                </c:pt>
                <c:pt idx="93">
                  <c:v>0.94790412154119219</c:v>
                </c:pt>
                <c:pt idx="94">
                  <c:v>0.94576504389414173</c:v>
                </c:pt>
                <c:pt idx="95">
                  <c:v>0.94886507261126218</c:v>
                </c:pt>
                <c:pt idx="96">
                  <c:v>0.94826095828569257</c:v>
                </c:pt>
                <c:pt idx="97">
                  <c:v>0.94917503158291183</c:v>
                </c:pt>
                <c:pt idx="98">
                  <c:v>0.94952090184265958</c:v>
                </c:pt>
                <c:pt idx="99">
                  <c:v>0.94545661921168767</c:v>
                </c:pt>
                <c:pt idx="100">
                  <c:v>0.94523913639408563</c:v>
                </c:pt>
                <c:pt idx="101">
                  <c:v>0.94870071915635579</c:v>
                </c:pt>
                <c:pt idx="102">
                  <c:v>0.94892399735209376</c:v>
                </c:pt>
                <c:pt idx="103">
                  <c:v>0.95189295394161821</c:v>
                </c:pt>
                <c:pt idx="104">
                  <c:v>0.94914462965382529</c:v>
                </c:pt>
                <c:pt idx="105">
                  <c:v>0.94983097303415709</c:v>
                </c:pt>
                <c:pt idx="106">
                  <c:v>0.95247723443385035</c:v>
                </c:pt>
                <c:pt idx="107">
                  <c:v>0.9512898792736777</c:v>
                </c:pt>
                <c:pt idx="108">
                  <c:v>0.94986643431138895</c:v>
                </c:pt>
                <c:pt idx="109">
                  <c:v>0.94396825958305608</c:v>
                </c:pt>
                <c:pt idx="110">
                  <c:v>0.94372189322357158</c:v>
                </c:pt>
                <c:pt idx="111">
                  <c:v>0.94131769134617749</c:v>
                </c:pt>
                <c:pt idx="112">
                  <c:v>0.9392067403437816</c:v>
                </c:pt>
                <c:pt idx="113">
                  <c:v>0.93569991574943501</c:v>
                </c:pt>
                <c:pt idx="114">
                  <c:v>0.93526096197520281</c:v>
                </c:pt>
                <c:pt idx="115">
                  <c:v>0.90911760586585688</c:v>
                </c:pt>
                <c:pt idx="116">
                  <c:v>0.90849851093418799</c:v>
                </c:pt>
                <c:pt idx="117">
                  <c:v>0.88566238023876243</c:v>
                </c:pt>
                <c:pt idx="118">
                  <c:v>0.89437280350866621</c:v>
                </c:pt>
                <c:pt idx="119">
                  <c:v>0.9069865081080265</c:v>
                </c:pt>
                <c:pt idx="120">
                  <c:v>0.89366856905486591</c:v>
                </c:pt>
                <c:pt idx="121">
                  <c:v>0.89737320877726456</c:v>
                </c:pt>
                <c:pt idx="122">
                  <c:v>0.89843363580941737</c:v>
                </c:pt>
                <c:pt idx="123">
                  <c:v>0.87743515711064335</c:v>
                </c:pt>
                <c:pt idx="124">
                  <c:v>0.87004968309012465</c:v>
                </c:pt>
                <c:pt idx="125">
                  <c:v>0.8538851434701199</c:v>
                </c:pt>
                <c:pt idx="126">
                  <c:v>0.84785743490524235</c:v>
                </c:pt>
                <c:pt idx="127">
                  <c:v>0.84248719306860576</c:v>
                </c:pt>
                <c:pt idx="128">
                  <c:v>0.84079113498159608</c:v>
                </c:pt>
                <c:pt idx="129">
                  <c:v>0.84098684382292033</c:v>
                </c:pt>
                <c:pt idx="130">
                  <c:v>0.84042374758203509</c:v>
                </c:pt>
                <c:pt idx="131">
                  <c:v>0.84003092547687086</c:v>
                </c:pt>
                <c:pt idx="132">
                  <c:v>0.84133757262943998</c:v>
                </c:pt>
                <c:pt idx="133">
                  <c:v>0.84259091578343037</c:v>
                </c:pt>
                <c:pt idx="134">
                  <c:v>0.84202184058154472</c:v>
                </c:pt>
                <c:pt idx="135">
                  <c:v>0.84144227602389066</c:v>
                </c:pt>
                <c:pt idx="136">
                  <c:v>0.84017854965093164</c:v>
                </c:pt>
                <c:pt idx="137">
                  <c:v>0.839177108369069</c:v>
                </c:pt>
                <c:pt idx="138">
                  <c:v>0.84050311806789602</c:v>
                </c:pt>
                <c:pt idx="139">
                  <c:v>0.84087225176110314</c:v>
                </c:pt>
                <c:pt idx="140">
                  <c:v>0.8410841362526934</c:v>
                </c:pt>
                <c:pt idx="141">
                  <c:v>0.84084420334915577</c:v>
                </c:pt>
                <c:pt idx="142">
                  <c:v>0.83969283089252822</c:v>
                </c:pt>
                <c:pt idx="143">
                  <c:v>0.84052894903372266</c:v>
                </c:pt>
                <c:pt idx="144">
                  <c:v>0.83987321808387394</c:v>
                </c:pt>
                <c:pt idx="145">
                  <c:v>0.8427345569419773</c:v>
                </c:pt>
                <c:pt idx="146">
                  <c:v>0.84366239105103968</c:v>
                </c:pt>
                <c:pt idx="147">
                  <c:v>0.84606793993370766</c:v>
                </c:pt>
                <c:pt idx="148">
                  <c:v>0.84905599255117581</c:v>
                </c:pt>
                <c:pt idx="149">
                  <c:v>0.84959963788847259</c:v>
                </c:pt>
                <c:pt idx="150">
                  <c:v>0.84957052764138385</c:v>
                </c:pt>
                <c:pt idx="151">
                  <c:v>0.85104240704316847</c:v>
                </c:pt>
                <c:pt idx="152">
                  <c:v>0.84711095255543423</c:v>
                </c:pt>
                <c:pt idx="153">
                  <c:v>0.8494366252266472</c:v>
                </c:pt>
                <c:pt idx="154">
                  <c:v>0.84160627870541671</c:v>
                </c:pt>
                <c:pt idx="155">
                  <c:v>0.83375009369757347</c:v>
                </c:pt>
                <c:pt idx="156">
                  <c:v>0.83680159834795853</c:v>
                </c:pt>
                <c:pt idx="157">
                  <c:v>0.83692781067228683</c:v>
                </c:pt>
                <c:pt idx="158">
                  <c:v>0.83562999910444979</c:v>
                </c:pt>
                <c:pt idx="159">
                  <c:v>0.83889938334040126</c:v>
                </c:pt>
                <c:pt idx="160">
                  <c:v>0.83958902863417495</c:v>
                </c:pt>
                <c:pt idx="161">
                  <c:v>0.83967686039597944</c:v>
                </c:pt>
                <c:pt idx="162">
                  <c:v>0.84136946688245384</c:v>
                </c:pt>
                <c:pt idx="163">
                  <c:v>0.83893732817110434</c:v>
                </c:pt>
                <c:pt idx="164">
                  <c:v>0.83936060197277629</c:v>
                </c:pt>
                <c:pt idx="165">
                  <c:v>0.84093507512751986</c:v>
                </c:pt>
                <c:pt idx="166">
                  <c:v>0.83860247631575668</c:v>
                </c:pt>
                <c:pt idx="167">
                  <c:v>0.83608954441507111</c:v>
                </c:pt>
                <c:pt idx="168">
                  <c:v>0.83439656505991122</c:v>
                </c:pt>
                <c:pt idx="169">
                  <c:v>0.83590631890317257</c:v>
                </c:pt>
                <c:pt idx="170">
                  <c:v>0.83866877086776792</c:v>
                </c:pt>
                <c:pt idx="171">
                  <c:v>0.83820038955740084</c:v>
                </c:pt>
                <c:pt idx="172">
                  <c:v>0.8404519056497175</c:v>
                </c:pt>
                <c:pt idx="173">
                  <c:v>0.84574689405926118</c:v>
                </c:pt>
                <c:pt idx="174">
                  <c:v>0.84861965240970805</c:v>
                </c:pt>
                <c:pt idx="175">
                  <c:v>0.84867906184185815</c:v>
                </c:pt>
                <c:pt idx="176">
                  <c:v>0.84949995536890954</c:v>
                </c:pt>
                <c:pt idx="177">
                  <c:v>0.84062907534189213</c:v>
                </c:pt>
                <c:pt idx="178">
                  <c:v>0.8213762994324223</c:v>
                </c:pt>
                <c:pt idx="179">
                  <c:v>0.80851804817071171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6C-4BC3-ABCD-58281209A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52608"/>
        <c:axId val="169654144"/>
      </c:scatterChart>
      <c:valAx>
        <c:axId val="169652608"/>
        <c:scaling>
          <c:orientation val="minMax"/>
          <c:min val="3600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169654144"/>
        <c:crosses val="autoZero"/>
        <c:crossBetween val="midCat"/>
      </c:valAx>
      <c:valAx>
        <c:axId val="169654144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TimeVanguardInvGrade!$B$21:$FY$21</c:f>
              <c:strCache>
                <c:ptCount val="180"/>
                <c:pt idx="0">
                  <c:v>0.929706196</c:v>
                </c:pt>
                <c:pt idx="1">
                  <c:v>0.927595343</c:v>
                </c:pt>
                <c:pt idx="2">
                  <c:v>0.929975361</c:v>
                </c:pt>
                <c:pt idx="3">
                  <c:v>0.920572689</c:v>
                </c:pt>
                <c:pt idx="4">
                  <c:v>0.917951319</c:v>
                </c:pt>
                <c:pt idx="5">
                  <c:v>0.919553191</c:v>
                </c:pt>
                <c:pt idx="6">
                  <c:v>0.920183183</c:v>
                </c:pt>
                <c:pt idx="7">
                  <c:v>0.918305576</c:v>
                </c:pt>
                <c:pt idx="8">
                  <c:v>0.918548154</c:v>
                </c:pt>
                <c:pt idx="9">
                  <c:v>0.915143997</c:v>
                </c:pt>
                <c:pt idx="10">
                  <c:v>0.915008352</c:v>
                </c:pt>
                <c:pt idx="11">
                  <c:v>0.915456445</c:v>
                </c:pt>
                <c:pt idx="12">
                  <c:v>0.915991656</c:v>
                </c:pt>
                <c:pt idx="13">
                  <c:v>0.91526324</c:v>
                </c:pt>
                <c:pt idx="14">
                  <c:v>0.91030476</c:v>
                </c:pt>
                <c:pt idx="15">
                  <c:v>0.909918521</c:v>
                </c:pt>
                <c:pt idx="16">
                  <c:v>0.911448951</c:v>
                </c:pt>
                <c:pt idx="17">
                  <c:v>0.896423092</c:v>
                </c:pt>
                <c:pt idx="18">
                  <c:v>0.898936106</c:v>
                </c:pt>
                <c:pt idx="19">
                  <c:v>0.898545205</c:v>
                </c:pt>
                <c:pt idx="20">
                  <c:v>0.898220786</c:v>
                </c:pt>
                <c:pt idx="21">
                  <c:v>0.897522617</c:v>
                </c:pt>
                <c:pt idx="22">
                  <c:v>0.897157235</c:v>
                </c:pt>
                <c:pt idx="23">
                  <c:v>0.894469152</c:v>
                </c:pt>
                <c:pt idx="24">
                  <c:v>0.893455568</c:v>
                </c:pt>
                <c:pt idx="25">
                  <c:v>0.891506892</c:v>
                </c:pt>
                <c:pt idx="26">
                  <c:v>0.881477856</c:v>
                </c:pt>
                <c:pt idx="27">
                  <c:v>0.879312316</c:v>
                </c:pt>
                <c:pt idx="28">
                  <c:v>0.879537997</c:v>
                </c:pt>
                <c:pt idx="29">
                  <c:v>0.878754836</c:v>
                </c:pt>
                <c:pt idx="30">
                  <c:v>0.877789211</c:v>
                </c:pt>
                <c:pt idx="31">
                  <c:v>0.882190702</c:v>
                </c:pt>
                <c:pt idx="32">
                  <c:v>0.88139943</c:v>
                </c:pt>
                <c:pt idx="33">
                  <c:v>0.874280822</c:v>
                </c:pt>
                <c:pt idx="34">
                  <c:v>0.881185225</c:v>
                </c:pt>
                <c:pt idx="35">
                  <c:v>0.882212661</c:v>
                </c:pt>
                <c:pt idx="36">
                  <c:v>0.887627805</c:v>
                </c:pt>
                <c:pt idx="37">
                  <c:v>0.885917651</c:v>
                </c:pt>
                <c:pt idx="38">
                  <c:v>0.884571278</c:v>
                </c:pt>
                <c:pt idx="39">
                  <c:v>0.885614183</c:v>
                </c:pt>
                <c:pt idx="40">
                  <c:v>0.885366079</c:v>
                </c:pt>
                <c:pt idx="41">
                  <c:v>0.884944603</c:v>
                </c:pt>
                <c:pt idx="42">
                  <c:v>0.883303401</c:v>
                </c:pt>
                <c:pt idx="43">
                  <c:v>0.873899696</c:v>
                </c:pt>
                <c:pt idx="44">
                  <c:v>0.867077041</c:v>
                </c:pt>
                <c:pt idx="45">
                  <c:v>0.86719016</c:v>
                </c:pt>
                <c:pt idx="46">
                  <c:v>0.8582781</c:v>
                </c:pt>
                <c:pt idx="47">
                  <c:v>0.855647877</c:v>
                </c:pt>
                <c:pt idx="48">
                  <c:v>0.862889828</c:v>
                </c:pt>
                <c:pt idx="49">
                  <c:v>0.863314938</c:v>
                </c:pt>
                <c:pt idx="50">
                  <c:v>0.86397036</c:v>
                </c:pt>
                <c:pt idx="51">
                  <c:v>0.866996341</c:v>
                </c:pt>
                <c:pt idx="52">
                  <c:v>0.865551594</c:v>
                </c:pt>
                <c:pt idx="53">
                  <c:v>0.872551744</c:v>
                </c:pt>
                <c:pt idx="54">
                  <c:v>0.872827514</c:v>
                </c:pt>
                <c:pt idx="55">
                  <c:v>0.889262609</c:v>
                </c:pt>
                <c:pt idx="56">
                  <c:v>0.889503728</c:v>
                </c:pt>
                <c:pt idx="57">
                  <c:v>0.892302962</c:v>
                </c:pt>
                <c:pt idx="58">
                  <c:v>0.895894343</c:v>
                </c:pt>
                <c:pt idx="59">
                  <c:v>0.89837585</c:v>
                </c:pt>
                <c:pt idx="60">
                  <c:v>0.921486009</c:v>
                </c:pt>
                <c:pt idx="61">
                  <c:v>0.922467384</c:v>
                </c:pt>
                <c:pt idx="62">
                  <c:v>0.919995674</c:v>
                </c:pt>
                <c:pt idx="63">
                  <c:v>0.923136138</c:v>
                </c:pt>
                <c:pt idx="64">
                  <c:v>0.931103283</c:v>
                </c:pt>
                <c:pt idx="65">
                  <c:v>0.930718471</c:v>
                </c:pt>
                <c:pt idx="66">
                  <c:v>0.931940774</c:v>
                </c:pt>
                <c:pt idx="67">
                  <c:v>0.931534205</c:v>
                </c:pt>
                <c:pt idx="68">
                  <c:v>0.932415009</c:v>
                </c:pt>
                <c:pt idx="69">
                  <c:v>0.932516321</c:v>
                </c:pt>
                <c:pt idx="70">
                  <c:v>0.932584984</c:v>
                </c:pt>
                <c:pt idx="71">
                  <c:v>0.933113041</c:v>
                </c:pt>
                <c:pt idx="72">
                  <c:v>0.93271747</c:v>
                </c:pt>
                <c:pt idx="73">
                  <c:v>0.932762623</c:v>
                </c:pt>
                <c:pt idx="74">
                  <c:v>0.940039667</c:v>
                </c:pt>
                <c:pt idx="75">
                  <c:v>0.942324703</c:v>
                </c:pt>
                <c:pt idx="76">
                  <c:v>0.942207736</c:v>
                </c:pt>
                <c:pt idx="77">
                  <c:v>0.943532825</c:v>
                </c:pt>
                <c:pt idx="78">
                  <c:v>0.943395723</c:v>
                </c:pt>
                <c:pt idx="79">
                  <c:v>0.943098779</c:v>
                </c:pt>
                <c:pt idx="80">
                  <c:v>0.945322467</c:v>
                </c:pt>
                <c:pt idx="81">
                  <c:v>0.946970115</c:v>
                </c:pt>
                <c:pt idx="82">
                  <c:v>0.947876963</c:v>
                </c:pt>
                <c:pt idx="83">
                  <c:v>0.948176046</c:v>
                </c:pt>
                <c:pt idx="84">
                  <c:v>0.94803049</c:v>
                </c:pt>
                <c:pt idx="85">
                  <c:v>0.951955671</c:v>
                </c:pt>
                <c:pt idx="86">
                  <c:v>0.948558913</c:v>
                </c:pt>
                <c:pt idx="87">
                  <c:v>0.947568053</c:v>
                </c:pt>
                <c:pt idx="88">
                  <c:v>0.94728744</c:v>
                </c:pt>
                <c:pt idx="89">
                  <c:v>0.94772265</c:v>
                </c:pt>
                <c:pt idx="90">
                  <c:v>0.947515329</c:v>
                </c:pt>
                <c:pt idx="91">
                  <c:v>0.947561864</c:v>
                </c:pt>
                <c:pt idx="92">
                  <c:v>0.946505838</c:v>
                </c:pt>
                <c:pt idx="93">
                  <c:v>0.947904122</c:v>
                </c:pt>
                <c:pt idx="94">
                  <c:v>0.945765044</c:v>
                </c:pt>
                <c:pt idx="95">
                  <c:v>0.948865073</c:v>
                </c:pt>
                <c:pt idx="96">
                  <c:v>0.948260958</c:v>
                </c:pt>
                <c:pt idx="97">
                  <c:v>0.949175032</c:v>
                </c:pt>
                <c:pt idx="98">
                  <c:v>0.949520902</c:v>
                </c:pt>
                <c:pt idx="99">
                  <c:v>0.945456619</c:v>
                </c:pt>
                <c:pt idx="100">
                  <c:v>0.945239136</c:v>
                </c:pt>
                <c:pt idx="101">
                  <c:v>0.948700719</c:v>
                </c:pt>
                <c:pt idx="102">
                  <c:v>0.948923997</c:v>
                </c:pt>
                <c:pt idx="103">
                  <c:v>0.951892954</c:v>
                </c:pt>
                <c:pt idx="104">
                  <c:v>0.94914463</c:v>
                </c:pt>
                <c:pt idx="105">
                  <c:v>0.949830973</c:v>
                </c:pt>
                <c:pt idx="106">
                  <c:v>0.952477234</c:v>
                </c:pt>
                <c:pt idx="107">
                  <c:v>0.951289879</c:v>
                </c:pt>
                <c:pt idx="108">
                  <c:v>0.949866434</c:v>
                </c:pt>
                <c:pt idx="109">
                  <c:v>0.94396826</c:v>
                </c:pt>
                <c:pt idx="110">
                  <c:v>0.943721893</c:v>
                </c:pt>
                <c:pt idx="111">
                  <c:v>0.941317691</c:v>
                </c:pt>
                <c:pt idx="112">
                  <c:v>0.93920674</c:v>
                </c:pt>
                <c:pt idx="113">
                  <c:v>0.935699916</c:v>
                </c:pt>
                <c:pt idx="114">
                  <c:v>0.935260962</c:v>
                </c:pt>
                <c:pt idx="115">
                  <c:v>0.909117606</c:v>
                </c:pt>
                <c:pt idx="116">
                  <c:v>0.908498511</c:v>
                </c:pt>
                <c:pt idx="117">
                  <c:v>0.88566238</c:v>
                </c:pt>
                <c:pt idx="118">
                  <c:v>0.894372804</c:v>
                </c:pt>
                <c:pt idx="119">
                  <c:v>0.906986508</c:v>
                </c:pt>
                <c:pt idx="120">
                  <c:v>0.893668569</c:v>
                </c:pt>
                <c:pt idx="121">
                  <c:v>0.897373209</c:v>
                </c:pt>
                <c:pt idx="122">
                  <c:v>0.898433636</c:v>
                </c:pt>
                <c:pt idx="123">
                  <c:v>0.877435157</c:v>
                </c:pt>
                <c:pt idx="124">
                  <c:v>0.870049683</c:v>
                </c:pt>
                <c:pt idx="125">
                  <c:v>0.853885143</c:v>
                </c:pt>
                <c:pt idx="126">
                  <c:v>0.847857435</c:v>
                </c:pt>
                <c:pt idx="127">
                  <c:v>0.842487193</c:v>
                </c:pt>
                <c:pt idx="128">
                  <c:v>0.840791135</c:v>
                </c:pt>
                <c:pt idx="129">
                  <c:v>0.840986844</c:v>
                </c:pt>
                <c:pt idx="130">
                  <c:v>0.840423748</c:v>
                </c:pt>
                <c:pt idx="131">
                  <c:v>0.840030925</c:v>
                </c:pt>
                <c:pt idx="132">
                  <c:v>0.841337573</c:v>
                </c:pt>
                <c:pt idx="133">
                  <c:v>0.842590916</c:v>
                </c:pt>
                <c:pt idx="134">
                  <c:v>0.842021841</c:v>
                </c:pt>
                <c:pt idx="135">
                  <c:v>0.841442276</c:v>
                </c:pt>
                <c:pt idx="136">
                  <c:v>0.84017855</c:v>
                </c:pt>
                <c:pt idx="137">
                  <c:v>0.839177108</c:v>
                </c:pt>
                <c:pt idx="138">
                  <c:v>0.840503118</c:v>
                </c:pt>
                <c:pt idx="139">
                  <c:v>0.840872252</c:v>
                </c:pt>
                <c:pt idx="140">
                  <c:v>0.841084136</c:v>
                </c:pt>
                <c:pt idx="141">
                  <c:v>0.840844203</c:v>
                </c:pt>
                <c:pt idx="142">
                  <c:v>0.839692831</c:v>
                </c:pt>
                <c:pt idx="143">
                  <c:v>0.840528949</c:v>
                </c:pt>
                <c:pt idx="144">
                  <c:v>0.839873218</c:v>
                </c:pt>
                <c:pt idx="145">
                  <c:v>0.842734557</c:v>
                </c:pt>
                <c:pt idx="146">
                  <c:v>0.843662391</c:v>
                </c:pt>
                <c:pt idx="147">
                  <c:v>0.84606794</c:v>
                </c:pt>
                <c:pt idx="148">
                  <c:v>0.849055993</c:v>
                </c:pt>
                <c:pt idx="149">
                  <c:v>0.849599638</c:v>
                </c:pt>
                <c:pt idx="150">
                  <c:v>0.849570528</c:v>
                </c:pt>
                <c:pt idx="151">
                  <c:v>0.851042407</c:v>
                </c:pt>
                <c:pt idx="152">
                  <c:v>0.847110953</c:v>
                </c:pt>
                <c:pt idx="153">
                  <c:v>0.849436625</c:v>
                </c:pt>
                <c:pt idx="154">
                  <c:v>0.841606279</c:v>
                </c:pt>
                <c:pt idx="155">
                  <c:v>0.833750094</c:v>
                </c:pt>
                <c:pt idx="156">
                  <c:v>0.836801598</c:v>
                </c:pt>
                <c:pt idx="157">
                  <c:v>0.836927811</c:v>
                </c:pt>
                <c:pt idx="158">
                  <c:v>0.835629999</c:v>
                </c:pt>
                <c:pt idx="159">
                  <c:v>0.838899383</c:v>
                </c:pt>
                <c:pt idx="160">
                  <c:v>0.839589029</c:v>
                </c:pt>
                <c:pt idx="161">
                  <c:v>0.83967686</c:v>
                </c:pt>
                <c:pt idx="162">
                  <c:v>0.841369467</c:v>
                </c:pt>
                <c:pt idx="163">
                  <c:v>0.838937328</c:v>
                </c:pt>
                <c:pt idx="164">
                  <c:v>0.839360602</c:v>
                </c:pt>
                <c:pt idx="165">
                  <c:v>0.840935075</c:v>
                </c:pt>
                <c:pt idx="166">
                  <c:v>0.838602476</c:v>
                </c:pt>
                <c:pt idx="167">
                  <c:v>0.836089544</c:v>
                </c:pt>
                <c:pt idx="168">
                  <c:v>0.834396565</c:v>
                </c:pt>
                <c:pt idx="169">
                  <c:v>0.835906319</c:v>
                </c:pt>
                <c:pt idx="170">
                  <c:v>0.838668771</c:v>
                </c:pt>
                <c:pt idx="171">
                  <c:v>0.83820039</c:v>
                </c:pt>
                <c:pt idx="172">
                  <c:v>0.840451906</c:v>
                </c:pt>
                <c:pt idx="173">
                  <c:v>0.845746894</c:v>
                </c:pt>
                <c:pt idx="174">
                  <c:v>0.848619652</c:v>
                </c:pt>
                <c:pt idx="175">
                  <c:v>0.848679062</c:v>
                </c:pt>
                <c:pt idx="176">
                  <c:v>0.849499955</c:v>
                </c:pt>
                <c:pt idx="177">
                  <c:v>0.840629075</c:v>
                </c:pt>
                <c:pt idx="178">
                  <c:v>0.821376299</c:v>
                </c:pt>
                <c:pt idx="179">
                  <c:v>0.808518048</c:v>
                </c:pt>
              </c:strCache>
            </c:strRef>
          </c:tx>
          <c:layout>
            <c:manualLayout>
              <c:xMode val="edge"/>
              <c:yMode val="edge"/>
              <c:x val="2.1734774678588909E-2"/>
              <c:y val="0.4356277577198285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169652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TimeVanguardInvGrade!$A$3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TimeVanguardInvGrade!$A$4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DA-4172-9B98-D04B4760AD78}"/>
            </c:ext>
          </c:extLst>
        </c:ser>
        <c:ser>
          <c:idx val="2"/>
          <c:order val="1"/>
          <c:tx>
            <c:strRef>
              <c:f>TimeVanguardInvGrade!$A$5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TimeVanguardInvGrade!$B$5:$FY$5</c:f>
              <c:numCache>
                <c:formatCode>General</c:formatCode>
                <c:ptCount val="180"/>
                <c:pt idx="0">
                  <c:v>3.0398099828980625E-2</c:v>
                </c:pt>
                <c:pt idx="1">
                  <c:v>1.9194719169282653E-2</c:v>
                </c:pt>
                <c:pt idx="2">
                  <c:v>8.8766666442773607E-3</c:v>
                </c:pt>
                <c:pt idx="3">
                  <c:v>5.254615184638714E-2</c:v>
                </c:pt>
                <c:pt idx="4">
                  <c:v>5.904274486646114E-2</c:v>
                </c:pt>
                <c:pt idx="5">
                  <c:v>5.4700176813526923E-2</c:v>
                </c:pt>
                <c:pt idx="6">
                  <c:v>4.9334100597364754E-2</c:v>
                </c:pt>
                <c:pt idx="7">
                  <c:v>4.8373933461500457E-2</c:v>
                </c:pt>
                <c:pt idx="8">
                  <c:v>4.973854163582174E-2</c:v>
                </c:pt>
                <c:pt idx="9">
                  <c:v>4.452565480586803E-2</c:v>
                </c:pt>
                <c:pt idx="10">
                  <c:v>4.3307689699301433E-2</c:v>
                </c:pt>
                <c:pt idx="11">
                  <c:v>3.6969009219517006E-2</c:v>
                </c:pt>
                <c:pt idx="12">
                  <c:v>4.5403468386607727E-2</c:v>
                </c:pt>
                <c:pt idx="13">
                  <c:v>5.0356619595176358E-2</c:v>
                </c:pt>
                <c:pt idx="14">
                  <c:v>7.2861269977855705E-2</c:v>
                </c:pt>
                <c:pt idx="15">
                  <c:v>6.8330961872398663E-2</c:v>
                </c:pt>
                <c:pt idx="16">
                  <c:v>5.4013274577772462E-2</c:v>
                </c:pt>
                <c:pt idx="17">
                  <c:v>3.7850517667682909E-2</c:v>
                </c:pt>
                <c:pt idx="18">
                  <c:v>1.9502396039284369E-2</c:v>
                </c:pt>
                <c:pt idx="19">
                  <c:v>1.9005896603828957E-2</c:v>
                </c:pt>
                <c:pt idx="20">
                  <c:v>2.5119270677649744E-2</c:v>
                </c:pt>
                <c:pt idx="21">
                  <c:v>2.2550471838438085E-2</c:v>
                </c:pt>
                <c:pt idx="22">
                  <c:v>1.4786799233632384E-2</c:v>
                </c:pt>
                <c:pt idx="23">
                  <c:v>1.5307316306953183E-2</c:v>
                </c:pt>
                <c:pt idx="24">
                  <c:v>8.7282791226332146E-3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-4.1118808877249613E-7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DA-4172-9B98-D04B4760AD78}"/>
            </c:ext>
          </c:extLst>
        </c:ser>
        <c:ser>
          <c:idx val="3"/>
          <c:order val="2"/>
          <c:tx>
            <c:strRef>
              <c:f>TimeVanguardInvGrade!$A$6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TimeVanguardInvGrade!$B$6:$FY$6</c:f>
              <c:numCache>
                <c:formatCode>General</c:formatCode>
                <c:ptCount val="180"/>
                <c:pt idx="0">
                  <c:v>0.39259817258984625</c:v>
                </c:pt>
                <c:pt idx="1">
                  <c:v>0.38060948182167864</c:v>
                </c:pt>
                <c:pt idx="2">
                  <c:v>0.35509425152026652</c:v>
                </c:pt>
                <c:pt idx="3">
                  <c:v>0.36027730814747888</c:v>
                </c:pt>
                <c:pt idx="4">
                  <c:v>0.35797863344271519</c:v>
                </c:pt>
                <c:pt idx="5">
                  <c:v>0.34306178935931986</c:v>
                </c:pt>
                <c:pt idx="6">
                  <c:v>0.32495745425370404</c:v>
                </c:pt>
                <c:pt idx="7">
                  <c:v>0.35613673776777222</c:v>
                </c:pt>
                <c:pt idx="8">
                  <c:v>0.35384546004421641</c:v>
                </c:pt>
                <c:pt idx="9">
                  <c:v>0.35489806760542902</c:v>
                </c:pt>
                <c:pt idx="10">
                  <c:v>0.34934694026849</c:v>
                </c:pt>
                <c:pt idx="11">
                  <c:v>0.33830511224513876</c:v>
                </c:pt>
                <c:pt idx="12">
                  <c:v>0.34716276200438156</c:v>
                </c:pt>
                <c:pt idx="13">
                  <c:v>0.33937816782421815</c:v>
                </c:pt>
                <c:pt idx="14">
                  <c:v>0.32742049257008826</c:v>
                </c:pt>
                <c:pt idx="15">
                  <c:v>0.31207905989535373</c:v>
                </c:pt>
                <c:pt idx="16">
                  <c:v>0.32160922713980705</c:v>
                </c:pt>
                <c:pt idx="17">
                  <c:v>0.33014350296400086</c:v>
                </c:pt>
                <c:pt idx="18">
                  <c:v>0.33500734894567258</c:v>
                </c:pt>
                <c:pt idx="19">
                  <c:v>0.32381290899733761</c:v>
                </c:pt>
                <c:pt idx="20">
                  <c:v>0.31877225668525672</c:v>
                </c:pt>
                <c:pt idx="21">
                  <c:v>0.3067300172937022</c:v>
                </c:pt>
                <c:pt idx="22">
                  <c:v>0.30777739671631571</c:v>
                </c:pt>
                <c:pt idx="23">
                  <c:v>0.30300307854262043</c:v>
                </c:pt>
                <c:pt idx="24">
                  <c:v>0.31514923685919022</c:v>
                </c:pt>
                <c:pt idx="25">
                  <c:v>0.31456018169244365</c:v>
                </c:pt>
                <c:pt idx="26">
                  <c:v>0.31547587555120155</c:v>
                </c:pt>
                <c:pt idx="27">
                  <c:v>0.29502465937454014</c:v>
                </c:pt>
                <c:pt idx="28">
                  <c:v>0.26678693179480817</c:v>
                </c:pt>
                <c:pt idx="29">
                  <c:v>0.26780856573928896</c:v>
                </c:pt>
                <c:pt idx="30">
                  <c:v>0.27091384522090217</c:v>
                </c:pt>
                <c:pt idx="31">
                  <c:v>0.26876543995901037</c:v>
                </c:pt>
                <c:pt idx="32">
                  <c:v>0.25987615053753466</c:v>
                </c:pt>
                <c:pt idx="33">
                  <c:v>0.22447244566524596</c:v>
                </c:pt>
                <c:pt idx="34">
                  <c:v>0.22861508758703877</c:v>
                </c:pt>
                <c:pt idx="35">
                  <c:v>0.23528559565023663</c:v>
                </c:pt>
                <c:pt idx="36">
                  <c:v>0.19027470040867678</c:v>
                </c:pt>
                <c:pt idx="37">
                  <c:v>0.18408173601936392</c:v>
                </c:pt>
                <c:pt idx="38">
                  <c:v>0.18845821809134164</c:v>
                </c:pt>
                <c:pt idx="39">
                  <c:v>0.2119569710640884</c:v>
                </c:pt>
                <c:pt idx="40">
                  <c:v>0.22599708364395008</c:v>
                </c:pt>
                <c:pt idx="41">
                  <c:v>0.2259524663135313</c:v>
                </c:pt>
                <c:pt idx="42">
                  <c:v>0.23359491177216768</c:v>
                </c:pt>
                <c:pt idx="43">
                  <c:v>0.20571962945687422</c:v>
                </c:pt>
                <c:pt idx="44">
                  <c:v>0.21972764625211752</c:v>
                </c:pt>
                <c:pt idx="45">
                  <c:v>0.21579885530872417</c:v>
                </c:pt>
                <c:pt idx="46">
                  <c:v>0.25305196196780627</c:v>
                </c:pt>
                <c:pt idx="47">
                  <c:v>0.23256879761122257</c:v>
                </c:pt>
                <c:pt idx="48">
                  <c:v>0.23027471840445027</c:v>
                </c:pt>
                <c:pt idx="49">
                  <c:v>0.23580805905979713</c:v>
                </c:pt>
                <c:pt idx="50">
                  <c:v>0.25291799532210824</c:v>
                </c:pt>
                <c:pt idx="51">
                  <c:v>0.25338144335722507</c:v>
                </c:pt>
                <c:pt idx="52">
                  <c:v>0.26261386936177283</c:v>
                </c:pt>
                <c:pt idx="53">
                  <c:v>0.31185082822724791</c:v>
                </c:pt>
                <c:pt idx="54">
                  <c:v>0.30905473132580963</c:v>
                </c:pt>
                <c:pt idx="55">
                  <c:v>0.48925854559180054</c:v>
                </c:pt>
                <c:pt idx="56">
                  <c:v>0.4880818954766451</c:v>
                </c:pt>
                <c:pt idx="57">
                  <c:v>0.50625055707276245</c:v>
                </c:pt>
                <c:pt idx="58">
                  <c:v>0.52982191954096458</c:v>
                </c:pt>
                <c:pt idx="59">
                  <c:v>0.53287429203572467</c:v>
                </c:pt>
                <c:pt idx="60">
                  <c:v>0.59839192537728214</c:v>
                </c:pt>
                <c:pt idx="61">
                  <c:v>0.60122773144770769</c:v>
                </c:pt>
                <c:pt idx="62">
                  <c:v>0.6155590880660361</c:v>
                </c:pt>
                <c:pt idx="63">
                  <c:v>0.60856700499772265</c:v>
                </c:pt>
                <c:pt idx="64">
                  <c:v>0.62894446100802603</c:v>
                </c:pt>
                <c:pt idx="65">
                  <c:v>0.62742701801795842</c:v>
                </c:pt>
                <c:pt idx="66">
                  <c:v>0.62780343835112562</c:v>
                </c:pt>
                <c:pt idx="67">
                  <c:v>0.62270839116303156</c:v>
                </c:pt>
                <c:pt idx="68">
                  <c:v>0.6234124035219748</c:v>
                </c:pt>
                <c:pt idx="69">
                  <c:v>0.62468882948376658</c:v>
                </c:pt>
                <c:pt idx="70">
                  <c:v>0.62364103801238302</c:v>
                </c:pt>
                <c:pt idx="71">
                  <c:v>0.62186701251779219</c:v>
                </c:pt>
                <c:pt idx="72">
                  <c:v>0.62128086650932735</c:v>
                </c:pt>
                <c:pt idx="73">
                  <c:v>0.62856953553358086</c:v>
                </c:pt>
                <c:pt idx="74">
                  <c:v>0.65890140191217828</c:v>
                </c:pt>
                <c:pt idx="75">
                  <c:v>0.66310346098027495</c:v>
                </c:pt>
                <c:pt idx="76">
                  <c:v>0.66522251919656517</c:v>
                </c:pt>
                <c:pt idx="77">
                  <c:v>0.65643919120793404</c:v>
                </c:pt>
                <c:pt idx="78">
                  <c:v>0.66093251402684428</c:v>
                </c:pt>
                <c:pt idx="79">
                  <c:v>0.67348137288955734</c:v>
                </c:pt>
                <c:pt idx="80">
                  <c:v>0.67369870943111443</c:v>
                </c:pt>
                <c:pt idx="81">
                  <c:v>0.71165124909865696</c:v>
                </c:pt>
                <c:pt idx="82">
                  <c:v>0.7194980860118142</c:v>
                </c:pt>
                <c:pt idx="83">
                  <c:v>0.7133125941340408</c:v>
                </c:pt>
                <c:pt idx="84">
                  <c:v>0.71350845137539587</c:v>
                </c:pt>
                <c:pt idx="85">
                  <c:v>0.7577164140985222</c:v>
                </c:pt>
                <c:pt idx="86">
                  <c:v>0.75208220995901909</c:v>
                </c:pt>
                <c:pt idx="87">
                  <c:v>0.78496260973164533</c:v>
                </c:pt>
                <c:pt idx="88">
                  <c:v>0.79424372062060089</c:v>
                </c:pt>
                <c:pt idx="89">
                  <c:v>0.79875091699617362</c:v>
                </c:pt>
                <c:pt idx="90">
                  <c:v>0.7965541186472016</c:v>
                </c:pt>
                <c:pt idx="91">
                  <c:v>0.8001600340263243</c:v>
                </c:pt>
                <c:pt idx="92">
                  <c:v>0.80404906361558393</c:v>
                </c:pt>
                <c:pt idx="93">
                  <c:v>0.78321775343009581</c:v>
                </c:pt>
                <c:pt idx="94">
                  <c:v>0.78976328097168347</c:v>
                </c:pt>
                <c:pt idx="95">
                  <c:v>0.83577635254366922</c:v>
                </c:pt>
                <c:pt idx="96">
                  <c:v>0.8452186869795042</c:v>
                </c:pt>
                <c:pt idx="97">
                  <c:v>0.8506154932006722</c:v>
                </c:pt>
                <c:pt idx="98">
                  <c:v>0.85036768389654771</c:v>
                </c:pt>
                <c:pt idx="99">
                  <c:v>0.85977234940078406</c:v>
                </c:pt>
                <c:pt idx="100">
                  <c:v>0.86345979002680662</c:v>
                </c:pt>
                <c:pt idx="101">
                  <c:v>0.88992171636317441</c:v>
                </c:pt>
                <c:pt idx="102">
                  <c:v>0.88846739308083422</c:v>
                </c:pt>
                <c:pt idx="103">
                  <c:v>0.86444133101331833</c:v>
                </c:pt>
                <c:pt idx="104">
                  <c:v>0.85564089459480552</c:v>
                </c:pt>
                <c:pt idx="105">
                  <c:v>0.85267934246427657</c:v>
                </c:pt>
                <c:pt idx="106">
                  <c:v>0.84534701071674756</c:v>
                </c:pt>
                <c:pt idx="107">
                  <c:v>0.82265528433352419</c:v>
                </c:pt>
                <c:pt idx="108">
                  <c:v>0.82468015033674258</c:v>
                </c:pt>
                <c:pt idx="109">
                  <c:v>0.85920937492260852</c:v>
                </c:pt>
                <c:pt idx="110">
                  <c:v>0.86468809161167548</c:v>
                </c:pt>
                <c:pt idx="111">
                  <c:v>0.85064227462718645</c:v>
                </c:pt>
                <c:pt idx="112">
                  <c:v>0.84382537599955421</c:v>
                </c:pt>
                <c:pt idx="113">
                  <c:v>0.85484903916654298</c:v>
                </c:pt>
                <c:pt idx="114">
                  <c:v>0.85770504844196249</c:v>
                </c:pt>
                <c:pt idx="115">
                  <c:v>0.85659240590883057</c:v>
                </c:pt>
                <c:pt idx="116">
                  <c:v>0.84193739137006751</c:v>
                </c:pt>
                <c:pt idx="117">
                  <c:v>0.53325694142528335</c:v>
                </c:pt>
                <c:pt idx="118">
                  <c:v>0.55568135005400332</c:v>
                </c:pt>
                <c:pt idx="119">
                  <c:v>0.59269564695201282</c:v>
                </c:pt>
                <c:pt idx="120">
                  <c:v>0.74277987339093221</c:v>
                </c:pt>
                <c:pt idx="121">
                  <c:v>0.66416801353117649</c:v>
                </c:pt>
                <c:pt idx="122">
                  <c:v>0.66836239078875348</c:v>
                </c:pt>
                <c:pt idx="123">
                  <c:v>0.58394398203136799</c:v>
                </c:pt>
                <c:pt idx="124">
                  <c:v>0.56253656686422804</c:v>
                </c:pt>
                <c:pt idx="125">
                  <c:v>0.5019554350528822</c:v>
                </c:pt>
                <c:pt idx="126">
                  <c:v>0.47842701186115838</c:v>
                </c:pt>
                <c:pt idx="127">
                  <c:v>0.4614029314626949</c:v>
                </c:pt>
                <c:pt idx="128">
                  <c:v>0.45822584950276746</c:v>
                </c:pt>
                <c:pt idx="129">
                  <c:v>0.45809731097718626</c:v>
                </c:pt>
                <c:pt idx="130">
                  <c:v>0.4634874321946284</c:v>
                </c:pt>
                <c:pt idx="131">
                  <c:v>0.46465420421591619</c:v>
                </c:pt>
                <c:pt idx="132">
                  <c:v>0.46235923574806442</c:v>
                </c:pt>
                <c:pt idx="133">
                  <c:v>0.45998754965974403</c:v>
                </c:pt>
                <c:pt idx="134">
                  <c:v>0.46136585558803228</c:v>
                </c:pt>
                <c:pt idx="135">
                  <c:v>0.46093739279763485</c:v>
                </c:pt>
                <c:pt idx="136">
                  <c:v>0.45959556989244693</c:v>
                </c:pt>
                <c:pt idx="137">
                  <c:v>0.45653100474683084</c:v>
                </c:pt>
                <c:pt idx="138">
                  <c:v>0.45939915652081698</c:v>
                </c:pt>
                <c:pt idx="139">
                  <c:v>0.45808981274605715</c:v>
                </c:pt>
                <c:pt idx="140">
                  <c:v>0.46495375863200455</c:v>
                </c:pt>
                <c:pt idx="141">
                  <c:v>0.4649340500552348</c:v>
                </c:pt>
                <c:pt idx="142">
                  <c:v>0.47069778386872552</c:v>
                </c:pt>
                <c:pt idx="143">
                  <c:v>0.47258043317518417</c:v>
                </c:pt>
                <c:pt idx="144">
                  <c:v>0.47456520474257785</c:v>
                </c:pt>
                <c:pt idx="145">
                  <c:v>0.4825172112269342</c:v>
                </c:pt>
                <c:pt idx="146">
                  <c:v>0.48471943945543267</c:v>
                </c:pt>
                <c:pt idx="147">
                  <c:v>0.47597357314870431</c:v>
                </c:pt>
                <c:pt idx="148">
                  <c:v>0.47499743870613576</c:v>
                </c:pt>
                <c:pt idx="149">
                  <c:v>0.47764688986992287</c:v>
                </c:pt>
                <c:pt idx="150">
                  <c:v>0.48217488085184068</c:v>
                </c:pt>
                <c:pt idx="151">
                  <c:v>0.48458276353195318</c:v>
                </c:pt>
                <c:pt idx="152">
                  <c:v>0.46760577120031516</c:v>
                </c:pt>
                <c:pt idx="153">
                  <c:v>0.48204539570747434</c:v>
                </c:pt>
                <c:pt idx="154">
                  <c:v>0.4659711027305985</c:v>
                </c:pt>
                <c:pt idx="155">
                  <c:v>0.45441224975803501</c:v>
                </c:pt>
                <c:pt idx="156">
                  <c:v>0.4548424369962325</c:v>
                </c:pt>
                <c:pt idx="157">
                  <c:v>0.45178782349491875</c:v>
                </c:pt>
                <c:pt idx="158">
                  <c:v>0.4515538022992921</c:v>
                </c:pt>
                <c:pt idx="159">
                  <c:v>0.4563866116691242</c:v>
                </c:pt>
                <c:pt idx="160">
                  <c:v>0.45740172288426212</c:v>
                </c:pt>
                <c:pt idx="161">
                  <c:v>0.45904480100495826</c:v>
                </c:pt>
                <c:pt idx="162">
                  <c:v>0.46214616914936174</c:v>
                </c:pt>
                <c:pt idx="163">
                  <c:v>0.4638888197243497</c:v>
                </c:pt>
                <c:pt idx="164">
                  <c:v>0.46311670828539858</c:v>
                </c:pt>
                <c:pt idx="165">
                  <c:v>0.46688601899643373</c:v>
                </c:pt>
                <c:pt idx="166">
                  <c:v>0.4604162066263543</c:v>
                </c:pt>
                <c:pt idx="167">
                  <c:v>0.45701786461864063</c:v>
                </c:pt>
                <c:pt idx="168">
                  <c:v>0.45831500268236935</c:v>
                </c:pt>
                <c:pt idx="169">
                  <c:v>0.45425643474153643</c:v>
                </c:pt>
                <c:pt idx="170">
                  <c:v>0.4577313070115826</c:v>
                </c:pt>
                <c:pt idx="171">
                  <c:v>0.45883364676369748</c:v>
                </c:pt>
                <c:pt idx="172">
                  <c:v>0.46088982491816499</c:v>
                </c:pt>
                <c:pt idx="173">
                  <c:v>0.46274795953536541</c:v>
                </c:pt>
                <c:pt idx="174">
                  <c:v>0.47375326267966711</c:v>
                </c:pt>
                <c:pt idx="175">
                  <c:v>0.46832162781831643</c:v>
                </c:pt>
                <c:pt idx="176">
                  <c:v>0.47278756890310014</c:v>
                </c:pt>
                <c:pt idx="177">
                  <c:v>0.47882137585847101</c:v>
                </c:pt>
                <c:pt idx="178">
                  <c:v>0.46793861154229471</c:v>
                </c:pt>
                <c:pt idx="179">
                  <c:v>0.45740701490188607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DA-4172-9B98-D04B4760AD78}"/>
            </c:ext>
          </c:extLst>
        </c:ser>
        <c:ser>
          <c:idx val="4"/>
          <c:order val="3"/>
          <c:tx>
            <c:strRef>
              <c:f>TimeVanguardInvGrade!$A$7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TimeVanguardInvGrade!$B$7:$FY$7</c:f>
              <c:numCache>
                <c:formatCode>General</c:formatCode>
                <c:ptCount val="180"/>
                <c:pt idx="0">
                  <c:v>0.24240040791399337</c:v>
                </c:pt>
                <c:pt idx="1">
                  <c:v>0.28109123951587389</c:v>
                </c:pt>
                <c:pt idx="2">
                  <c:v>0.29563598782038231</c:v>
                </c:pt>
                <c:pt idx="3">
                  <c:v>0.25261516901060799</c:v>
                </c:pt>
                <c:pt idx="4">
                  <c:v>0.26414185650433275</c:v>
                </c:pt>
                <c:pt idx="5">
                  <c:v>0.25565843410385708</c:v>
                </c:pt>
                <c:pt idx="6">
                  <c:v>0.2521030559212753</c:v>
                </c:pt>
                <c:pt idx="7">
                  <c:v>0.2558185703473409</c:v>
                </c:pt>
                <c:pt idx="8">
                  <c:v>0.24783378781750862</c:v>
                </c:pt>
                <c:pt idx="9">
                  <c:v>0.28087947722247597</c:v>
                </c:pt>
                <c:pt idx="10">
                  <c:v>0.287663331676552</c:v>
                </c:pt>
                <c:pt idx="11">
                  <c:v>0.29229928101455821</c:v>
                </c:pt>
                <c:pt idx="12">
                  <c:v>0.28086583745994037</c:v>
                </c:pt>
                <c:pt idx="13">
                  <c:v>0.27330285530804793</c:v>
                </c:pt>
                <c:pt idx="14">
                  <c:v>0.26268223037400384</c:v>
                </c:pt>
                <c:pt idx="15">
                  <c:v>0.30689326175039922</c:v>
                </c:pt>
                <c:pt idx="16">
                  <c:v>0.32178945981046353</c:v>
                </c:pt>
                <c:pt idx="17">
                  <c:v>0.31816109220421146</c:v>
                </c:pt>
                <c:pt idx="18">
                  <c:v>0.3501385304580012</c:v>
                </c:pt>
                <c:pt idx="19">
                  <c:v>0.35392746223505772</c:v>
                </c:pt>
                <c:pt idx="20">
                  <c:v>0.34132964908822416</c:v>
                </c:pt>
                <c:pt idx="21">
                  <c:v>0.35422078557046527</c:v>
                </c:pt>
                <c:pt idx="22">
                  <c:v>0.36281578182565205</c:v>
                </c:pt>
                <c:pt idx="23">
                  <c:v>0.36232234008441111</c:v>
                </c:pt>
                <c:pt idx="24">
                  <c:v>0.37555115086517604</c:v>
                </c:pt>
                <c:pt idx="25">
                  <c:v>0.42581002399530465</c:v>
                </c:pt>
                <c:pt idx="26">
                  <c:v>0.43606853824338654</c:v>
                </c:pt>
                <c:pt idx="27">
                  <c:v>0.42866747205789124</c:v>
                </c:pt>
                <c:pt idx="28">
                  <c:v>0.43133320072134801</c:v>
                </c:pt>
                <c:pt idx="29">
                  <c:v>0.44021287121939395</c:v>
                </c:pt>
                <c:pt idx="30">
                  <c:v>0.43920200533139619</c:v>
                </c:pt>
                <c:pt idx="31">
                  <c:v>0.45235151756557695</c:v>
                </c:pt>
                <c:pt idx="32">
                  <c:v>0.45760895222383341</c:v>
                </c:pt>
                <c:pt idx="33">
                  <c:v>0.42230133003505133</c:v>
                </c:pt>
                <c:pt idx="34">
                  <c:v>0.43117590142356571</c:v>
                </c:pt>
                <c:pt idx="35">
                  <c:v>0.42793237508935644</c:v>
                </c:pt>
                <c:pt idx="36">
                  <c:v>0.43954061651588089</c:v>
                </c:pt>
                <c:pt idx="37">
                  <c:v>0.44241555929180998</c:v>
                </c:pt>
                <c:pt idx="38">
                  <c:v>0.44512374181788783</c:v>
                </c:pt>
                <c:pt idx="39">
                  <c:v>0.44876293035935733</c:v>
                </c:pt>
                <c:pt idx="40">
                  <c:v>0.44614393469256791</c:v>
                </c:pt>
                <c:pt idx="41">
                  <c:v>0.45036669840982196</c:v>
                </c:pt>
                <c:pt idx="42">
                  <c:v>0.458283389169444</c:v>
                </c:pt>
                <c:pt idx="43">
                  <c:v>0.47330594751003335</c:v>
                </c:pt>
                <c:pt idx="44">
                  <c:v>0.47659163873700483</c:v>
                </c:pt>
                <c:pt idx="45">
                  <c:v>0.47453562343254724</c:v>
                </c:pt>
                <c:pt idx="46">
                  <c:v>0.44448186580111448</c:v>
                </c:pt>
                <c:pt idx="47">
                  <c:v>0.45545630084254368</c:v>
                </c:pt>
                <c:pt idx="48">
                  <c:v>0.45501696614354092</c:v>
                </c:pt>
                <c:pt idx="49">
                  <c:v>0.45745644876925184</c:v>
                </c:pt>
                <c:pt idx="50">
                  <c:v>0.46488345340040949</c:v>
                </c:pt>
                <c:pt idx="51">
                  <c:v>0.44859091366938897</c:v>
                </c:pt>
                <c:pt idx="52">
                  <c:v>0.45265595203736503</c:v>
                </c:pt>
                <c:pt idx="53">
                  <c:v>0.43111412043724245</c:v>
                </c:pt>
                <c:pt idx="54">
                  <c:v>0.42328079317313422</c:v>
                </c:pt>
                <c:pt idx="55">
                  <c:v>0.38663716040616225</c:v>
                </c:pt>
                <c:pt idx="56">
                  <c:v>0.39582137394108435</c:v>
                </c:pt>
                <c:pt idx="57">
                  <c:v>0.39997912692301579</c:v>
                </c:pt>
                <c:pt idx="58">
                  <c:v>0.4025785730005762</c:v>
                </c:pt>
                <c:pt idx="59">
                  <c:v>0.4010859603603727</c:v>
                </c:pt>
                <c:pt idx="60">
                  <c:v>0.37091296714456046</c:v>
                </c:pt>
                <c:pt idx="61">
                  <c:v>0.36761883743219775</c:v>
                </c:pt>
                <c:pt idx="62">
                  <c:v>0.34974978171814097</c:v>
                </c:pt>
                <c:pt idx="63">
                  <c:v>0.35729147778517589</c:v>
                </c:pt>
                <c:pt idx="64">
                  <c:v>0.32704684564823955</c:v>
                </c:pt>
                <c:pt idx="65">
                  <c:v>0.3277473285097306</c:v>
                </c:pt>
                <c:pt idx="66">
                  <c:v>0.32115562593292224</c:v>
                </c:pt>
                <c:pt idx="67">
                  <c:v>0.32117370962039848</c:v>
                </c:pt>
                <c:pt idx="68">
                  <c:v>0.32126326608566097</c:v>
                </c:pt>
                <c:pt idx="69">
                  <c:v>0.31968315828883892</c:v>
                </c:pt>
                <c:pt idx="70">
                  <c:v>0.32105061479720348</c:v>
                </c:pt>
                <c:pt idx="71">
                  <c:v>0.32633260740232223</c:v>
                </c:pt>
                <c:pt idx="72">
                  <c:v>0.32520779599724203</c:v>
                </c:pt>
                <c:pt idx="73">
                  <c:v>0.32283252533328538</c:v>
                </c:pt>
                <c:pt idx="74">
                  <c:v>0.29172501721084976</c:v>
                </c:pt>
                <c:pt idx="75">
                  <c:v>0.28650718767579392</c:v>
                </c:pt>
                <c:pt idx="76">
                  <c:v>0.28371689425814789</c:v>
                </c:pt>
                <c:pt idx="77">
                  <c:v>0.29537155134572285</c:v>
                </c:pt>
                <c:pt idx="78">
                  <c:v>0.28724900082237492</c:v>
                </c:pt>
                <c:pt idx="79">
                  <c:v>0.27673708366979172</c:v>
                </c:pt>
                <c:pt idx="80">
                  <c:v>0.27526220549427105</c:v>
                </c:pt>
                <c:pt idx="81">
                  <c:v>0.23614662383278659</c:v>
                </c:pt>
                <c:pt idx="82">
                  <c:v>0.22576552023094398</c:v>
                </c:pt>
                <c:pt idx="83">
                  <c:v>0.23395044059856751</c:v>
                </c:pt>
                <c:pt idx="84">
                  <c:v>0.23344460790259264</c:v>
                </c:pt>
                <c:pt idx="85">
                  <c:v>0.17358343160692416</c:v>
                </c:pt>
                <c:pt idx="86">
                  <c:v>0.18039848716305998</c:v>
                </c:pt>
                <c:pt idx="87">
                  <c:v>0.14346620913232211</c:v>
                </c:pt>
                <c:pt idx="88">
                  <c:v>0.13430083090897976</c:v>
                </c:pt>
                <c:pt idx="89">
                  <c:v>0.12900365169235223</c:v>
                </c:pt>
                <c:pt idx="90">
                  <c:v>0.13288287988919664</c:v>
                </c:pt>
                <c:pt idx="91">
                  <c:v>0.12736954702336808</c:v>
                </c:pt>
                <c:pt idx="92">
                  <c:v>0.12094515227477894</c:v>
                </c:pt>
                <c:pt idx="93">
                  <c:v>0.15335334559846023</c:v>
                </c:pt>
                <c:pt idx="94">
                  <c:v>0.14722925615430316</c:v>
                </c:pt>
                <c:pt idx="95">
                  <c:v>9.4258425414671165E-2</c:v>
                </c:pt>
                <c:pt idx="96">
                  <c:v>8.6226569096943165E-2</c:v>
                </c:pt>
                <c:pt idx="97">
                  <c:v>7.657849502554448E-2</c:v>
                </c:pt>
                <c:pt idx="98">
                  <c:v>8.1748658572245683E-2</c:v>
                </c:pt>
                <c:pt idx="99">
                  <c:v>6.8190761711990275E-2</c:v>
                </c:pt>
                <c:pt idx="100">
                  <c:v>6.4178479574353353E-2</c:v>
                </c:pt>
                <c:pt idx="101">
                  <c:v>3.8067271366833265E-2</c:v>
                </c:pt>
                <c:pt idx="102">
                  <c:v>3.5545371959937996E-2</c:v>
                </c:pt>
                <c:pt idx="103">
                  <c:v>7.0285430361109319E-2</c:v>
                </c:pt>
                <c:pt idx="104">
                  <c:v>7.0089316077029853E-2</c:v>
                </c:pt>
                <c:pt idx="105">
                  <c:v>9.2750762846804627E-2</c:v>
                </c:pt>
                <c:pt idx="106">
                  <c:v>9.8123996467678762E-2</c:v>
                </c:pt>
                <c:pt idx="107">
                  <c:v>5.6752599633861471E-2</c:v>
                </c:pt>
                <c:pt idx="108">
                  <c:v>5.19941533439345E-2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6.2860039963047957E-3</c:v>
                </c:pt>
                <c:pt idx="116">
                  <c:v>2.614630238536321E-2</c:v>
                </c:pt>
                <c:pt idx="117">
                  <c:v>0.41646639934429586</c:v>
                </c:pt>
                <c:pt idx="118">
                  <c:v>0.33590758779005092</c:v>
                </c:pt>
                <c:pt idx="119">
                  <c:v>0.30366655496302869</c:v>
                </c:pt>
                <c:pt idx="120">
                  <c:v>0.10308559274910896</c:v>
                </c:pt>
                <c:pt idx="121">
                  <c:v>0.2176807351946794</c:v>
                </c:pt>
                <c:pt idx="122">
                  <c:v>0.20897397577949095</c:v>
                </c:pt>
                <c:pt idx="123">
                  <c:v>0.32029040920766816</c:v>
                </c:pt>
                <c:pt idx="124">
                  <c:v>0.34137798189540247</c:v>
                </c:pt>
                <c:pt idx="125">
                  <c:v>0.39799564428884243</c:v>
                </c:pt>
                <c:pt idx="126">
                  <c:v>0.43207158432919995</c:v>
                </c:pt>
                <c:pt idx="127">
                  <c:v>0.45209363605109265</c:v>
                </c:pt>
                <c:pt idx="128">
                  <c:v>0.45259822265740113</c:v>
                </c:pt>
                <c:pt idx="129">
                  <c:v>0.45617872817509159</c:v>
                </c:pt>
                <c:pt idx="130">
                  <c:v>0.44684622425840748</c:v>
                </c:pt>
                <c:pt idx="131">
                  <c:v>0.43884045372567948</c:v>
                </c:pt>
                <c:pt idx="132">
                  <c:v>0.44285932397789085</c:v>
                </c:pt>
                <c:pt idx="133">
                  <c:v>0.44224575863624171</c:v>
                </c:pt>
                <c:pt idx="134">
                  <c:v>0.43905130914808271</c:v>
                </c:pt>
                <c:pt idx="135">
                  <c:v>0.43936760044569212</c:v>
                </c:pt>
                <c:pt idx="136">
                  <c:v>0.44251181934994893</c:v>
                </c:pt>
                <c:pt idx="137">
                  <c:v>0.43972962463771864</c:v>
                </c:pt>
                <c:pt idx="138">
                  <c:v>0.43989215047910979</c:v>
                </c:pt>
                <c:pt idx="139">
                  <c:v>0.44039054439290276</c:v>
                </c:pt>
                <c:pt idx="140">
                  <c:v>0.4404951809691553</c:v>
                </c:pt>
                <c:pt idx="141">
                  <c:v>0.41986253822536107</c:v>
                </c:pt>
                <c:pt idx="142">
                  <c:v>0.41461017824440971</c:v>
                </c:pt>
                <c:pt idx="143">
                  <c:v>0.411120513990962</c:v>
                </c:pt>
                <c:pt idx="144">
                  <c:v>0.40067580490039156</c:v>
                </c:pt>
                <c:pt idx="145">
                  <c:v>0.38159851921413057</c:v>
                </c:pt>
                <c:pt idx="146">
                  <c:v>0.37316963188424129</c:v>
                </c:pt>
                <c:pt idx="147">
                  <c:v>0.38102869504880921</c:v>
                </c:pt>
                <c:pt idx="148">
                  <c:v>0.3775903665485934</c:v>
                </c:pt>
                <c:pt idx="149">
                  <c:v>0.37253674173879742</c:v>
                </c:pt>
                <c:pt idx="150">
                  <c:v>0.36929486492090641</c:v>
                </c:pt>
                <c:pt idx="151">
                  <c:v>0.36381084458409835</c:v>
                </c:pt>
                <c:pt idx="152">
                  <c:v>0.37289398865942114</c:v>
                </c:pt>
                <c:pt idx="153">
                  <c:v>0.35473722590014839</c:v>
                </c:pt>
                <c:pt idx="154">
                  <c:v>0.38088494110298965</c:v>
                </c:pt>
                <c:pt idx="155">
                  <c:v>0.3890673121290687</c:v>
                </c:pt>
                <c:pt idx="156">
                  <c:v>0.38186905688178058</c:v>
                </c:pt>
                <c:pt idx="157">
                  <c:v>0.38537826585920665</c:v>
                </c:pt>
                <c:pt idx="158">
                  <c:v>0.38673222074121688</c:v>
                </c:pt>
                <c:pt idx="159">
                  <c:v>0.38275110309663068</c:v>
                </c:pt>
                <c:pt idx="160">
                  <c:v>0.38261408080049936</c:v>
                </c:pt>
                <c:pt idx="161">
                  <c:v>0.38404648617711562</c:v>
                </c:pt>
                <c:pt idx="162">
                  <c:v>0.38069920745769215</c:v>
                </c:pt>
                <c:pt idx="163">
                  <c:v>0.38922444763825886</c:v>
                </c:pt>
                <c:pt idx="164">
                  <c:v>0.39089661988594454</c:v>
                </c:pt>
                <c:pt idx="165">
                  <c:v>0.38440983163894793</c:v>
                </c:pt>
                <c:pt idx="166">
                  <c:v>0.39716840313397583</c:v>
                </c:pt>
                <c:pt idx="167">
                  <c:v>0.40525411344574475</c:v>
                </c:pt>
                <c:pt idx="168">
                  <c:v>0.40939187543426414</c:v>
                </c:pt>
                <c:pt idx="169">
                  <c:v>0.41809517264237372</c:v>
                </c:pt>
                <c:pt idx="170">
                  <c:v>0.41166278745476198</c:v>
                </c:pt>
                <c:pt idx="171">
                  <c:v>0.41074747470807149</c:v>
                </c:pt>
                <c:pt idx="172">
                  <c:v>0.40249175217018424</c:v>
                </c:pt>
                <c:pt idx="173">
                  <c:v>0.39718146492233009</c:v>
                </c:pt>
                <c:pt idx="174">
                  <c:v>0.38029911080371859</c:v>
                </c:pt>
                <c:pt idx="175">
                  <c:v>0.3906092338437161</c:v>
                </c:pt>
                <c:pt idx="176">
                  <c:v>0.37995602369877496</c:v>
                </c:pt>
                <c:pt idx="177">
                  <c:v>0.38352641321639303</c:v>
                </c:pt>
                <c:pt idx="178">
                  <c:v>0.41875756068482661</c:v>
                </c:pt>
                <c:pt idx="179">
                  <c:v>0.42456337412467077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DA-4172-9B98-D04B4760AD78}"/>
            </c:ext>
          </c:extLst>
        </c:ser>
        <c:ser>
          <c:idx val="5"/>
          <c:order val="4"/>
          <c:tx>
            <c:strRef>
              <c:f>TimeVanguardInvGrade!$A$8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DA-4172-9B98-D04B4760AD78}"/>
            </c:ext>
          </c:extLst>
        </c:ser>
        <c:ser>
          <c:idx val="6"/>
          <c:order val="5"/>
          <c:tx>
            <c:strRef>
              <c:f>TimeVanguardInvGrade!$A$9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TimeVanguardInvGrade!$B$9:$FY$9</c:f>
              <c:numCache>
                <c:formatCode>General</c:formatCode>
                <c:ptCount val="180"/>
                <c:pt idx="0">
                  <c:v>0.29048342269612176</c:v>
                </c:pt>
                <c:pt idx="1">
                  <c:v>0.28412376337393519</c:v>
                </c:pt>
                <c:pt idx="2">
                  <c:v>0.31279896725620054</c:v>
                </c:pt>
                <c:pt idx="3">
                  <c:v>0.30497983195291978</c:v>
                </c:pt>
                <c:pt idx="4">
                  <c:v>0.29764173831631552</c:v>
                </c:pt>
                <c:pt idx="5">
                  <c:v>0.32655052629964443</c:v>
                </c:pt>
                <c:pt idx="6">
                  <c:v>0.35611241420848216</c:v>
                </c:pt>
                <c:pt idx="7">
                  <c:v>0.32023238988224134</c:v>
                </c:pt>
                <c:pt idx="8">
                  <c:v>0.32918740389933909</c:v>
                </c:pt>
                <c:pt idx="9">
                  <c:v>0.30404723526510752</c:v>
                </c:pt>
                <c:pt idx="10">
                  <c:v>0.30600697793552617</c:v>
                </c:pt>
                <c:pt idx="11">
                  <c:v>0.32093481845285021</c:v>
                </c:pt>
                <c:pt idx="12">
                  <c:v>0.31375981187825508</c:v>
                </c:pt>
                <c:pt idx="13">
                  <c:v>0.32202277097823173</c:v>
                </c:pt>
                <c:pt idx="14">
                  <c:v>0.31815659557266779</c:v>
                </c:pt>
                <c:pt idx="15">
                  <c:v>0.30412346797116041</c:v>
                </c:pt>
                <c:pt idx="16">
                  <c:v>0.29476951390844275</c:v>
                </c:pt>
                <c:pt idx="17">
                  <c:v>0.30543385461002814</c:v>
                </c:pt>
                <c:pt idx="18">
                  <c:v>0.2874037751328013</c:v>
                </c:pt>
                <c:pt idx="19">
                  <c:v>0.29559529289417741</c:v>
                </c:pt>
                <c:pt idx="20">
                  <c:v>0.30664703391278314</c:v>
                </c:pt>
                <c:pt idx="21">
                  <c:v>0.3099866880946277</c:v>
                </c:pt>
                <c:pt idx="22">
                  <c:v>0.30808915029040124</c:v>
                </c:pt>
                <c:pt idx="23">
                  <c:v>0.3107000287463707</c:v>
                </c:pt>
                <c:pt idx="24">
                  <c:v>0.29172400815165583</c:v>
                </c:pt>
                <c:pt idx="25">
                  <c:v>0.24849459602482898</c:v>
                </c:pt>
                <c:pt idx="26">
                  <c:v>0.23807799364816054</c:v>
                </c:pt>
                <c:pt idx="27">
                  <c:v>0.26454864441680365</c:v>
                </c:pt>
                <c:pt idx="28">
                  <c:v>0.29015279199349464</c:v>
                </c:pt>
                <c:pt idx="29">
                  <c:v>0.28062891458180328</c:v>
                </c:pt>
                <c:pt idx="30">
                  <c:v>0.27833879580928</c:v>
                </c:pt>
                <c:pt idx="31">
                  <c:v>0.27003819312406102</c:v>
                </c:pt>
                <c:pt idx="32">
                  <c:v>0.27395829093187318</c:v>
                </c:pt>
                <c:pt idx="33">
                  <c:v>0.33964055202136301</c:v>
                </c:pt>
                <c:pt idx="34">
                  <c:v>0.32645317230373627</c:v>
                </c:pt>
                <c:pt idx="35">
                  <c:v>0.32342131383319528</c:v>
                </c:pt>
                <c:pt idx="36">
                  <c:v>0.35582372492221953</c:v>
                </c:pt>
                <c:pt idx="37">
                  <c:v>0.35870825720967769</c:v>
                </c:pt>
                <c:pt idx="38">
                  <c:v>0.35078154919196741</c:v>
                </c:pt>
                <c:pt idx="39">
                  <c:v>0.32900159392971973</c:v>
                </c:pt>
                <c:pt idx="40">
                  <c:v>0.31701466955465324</c:v>
                </c:pt>
                <c:pt idx="41">
                  <c:v>0.31245962058536453</c:v>
                </c:pt>
                <c:pt idx="42">
                  <c:v>0.29514813358886249</c:v>
                </c:pt>
                <c:pt idx="43">
                  <c:v>0.30440655730937727</c:v>
                </c:pt>
                <c:pt idx="44">
                  <c:v>0.2866956540719352</c:v>
                </c:pt>
                <c:pt idx="45">
                  <c:v>0.29166766011399187</c:v>
                </c:pt>
                <c:pt idx="46">
                  <c:v>0.28247270116387885</c:v>
                </c:pt>
                <c:pt idx="47">
                  <c:v>0.29281119970784364</c:v>
                </c:pt>
                <c:pt idx="48">
                  <c:v>0.29587933662231986</c:v>
                </c:pt>
                <c:pt idx="49">
                  <c:v>0.28822142810881751</c:v>
                </c:pt>
                <c:pt idx="50">
                  <c:v>0.26528742608985367</c:v>
                </c:pt>
                <c:pt idx="51">
                  <c:v>0.2768841442388647</c:v>
                </c:pt>
                <c:pt idx="52">
                  <c:v>0.25939448648961971</c:v>
                </c:pt>
                <c:pt idx="53">
                  <c:v>0.22364708173230588</c:v>
                </c:pt>
                <c:pt idx="54">
                  <c:v>0.23470573732806291</c:v>
                </c:pt>
                <c:pt idx="55">
                  <c:v>9.6368054977260295E-2</c:v>
                </c:pt>
                <c:pt idx="56">
                  <c:v>9.955317423480968E-2</c:v>
                </c:pt>
                <c:pt idx="57">
                  <c:v>7.663880653512424E-2</c:v>
                </c:pt>
                <c:pt idx="58">
                  <c:v>4.3982430889492913E-2</c:v>
                </c:pt>
                <c:pt idx="59">
                  <c:v>4.4067873531270896E-2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6.39484453251438E-3</c:v>
                </c:pt>
                <c:pt idx="103">
                  <c:v>3.1736214537452564E-3</c:v>
                </c:pt>
                <c:pt idx="104">
                  <c:v>1.0863316217530759E-2</c:v>
                </c:pt>
                <c:pt idx="105">
                  <c:v>5.4353900130147488E-4</c:v>
                </c:pt>
                <c:pt idx="106">
                  <c:v>0</c:v>
                </c:pt>
                <c:pt idx="107">
                  <c:v>5.5137442123870645E-2</c:v>
                </c:pt>
                <c:pt idx="108">
                  <c:v>5.6614577206282948E-2</c:v>
                </c:pt>
                <c:pt idx="109">
                  <c:v>3.042134352994082E-2</c:v>
                </c:pt>
                <c:pt idx="110">
                  <c:v>2.2919996962398773E-2</c:v>
                </c:pt>
                <c:pt idx="111">
                  <c:v>3.7573722242778822E-2</c:v>
                </c:pt>
                <c:pt idx="112">
                  <c:v>3.7519401820048759E-2</c:v>
                </c:pt>
                <c:pt idx="113">
                  <c:v>2.7538076013862125E-2</c:v>
                </c:pt>
                <c:pt idx="114">
                  <c:v>2.2878733888179775E-2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DA-4172-9B98-D04B4760AD78}"/>
            </c:ext>
          </c:extLst>
        </c:ser>
        <c:ser>
          <c:idx val="7"/>
          <c:order val="6"/>
          <c:tx>
            <c:strRef>
              <c:f>TimeVanguardInvGrade!$A$10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TimeVanguardInvGrade!$B$10:$FY$10</c:f>
              <c:numCache>
                <c:formatCode>General</c:formatCode>
                <c:ptCount val="180"/>
                <c:pt idx="0">
                  <c:v>5.22901164441007E-3</c:v>
                </c:pt>
                <c:pt idx="1">
                  <c:v>4.9853190513398085E-3</c:v>
                </c:pt>
                <c:pt idx="2">
                  <c:v>5.4045099819266694E-3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2.901984151284267E-3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DA-4172-9B98-D04B4760AD78}"/>
            </c:ext>
          </c:extLst>
        </c:ser>
        <c:ser>
          <c:idx val="8"/>
          <c:order val="7"/>
          <c:tx>
            <c:strRef>
              <c:f>TimeVanguardInvGrade!$A$11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6.7270856953149577E-2</c:v>
                </c:pt>
                <c:pt idx="110">
                  <c:v>6.5248772553752957E-2</c:v>
                </c:pt>
                <c:pt idx="111">
                  <c:v>6.9440932810287681E-2</c:v>
                </c:pt>
                <c:pt idx="112">
                  <c:v>8.3417514274789689E-2</c:v>
                </c:pt>
                <c:pt idx="113">
                  <c:v>7.5923242569173655E-2</c:v>
                </c:pt>
                <c:pt idx="114">
                  <c:v>7.8778948921974776E-2</c:v>
                </c:pt>
                <c:pt idx="115">
                  <c:v>0.10022457166617189</c:v>
                </c:pt>
                <c:pt idx="116">
                  <c:v>9.5212808240983784E-2</c:v>
                </c:pt>
                <c:pt idx="117">
                  <c:v>3.1325946192217159E-2</c:v>
                </c:pt>
                <c:pt idx="118">
                  <c:v>1.8302854284608323E-2</c:v>
                </c:pt>
                <c:pt idx="119">
                  <c:v>3.1368472952378484E-3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DA-4172-9B98-D04B4760AD78}"/>
            </c:ext>
          </c:extLst>
        </c:ser>
        <c:ser>
          <c:idx val="9"/>
          <c:order val="8"/>
          <c:tx>
            <c:strRef>
              <c:f>TimeVanguardInvGrade!$A$12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TimeVanguardInvGrade!$B$12:$FY$12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1.2844346011798975E-2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1.2831854385804002E-2</c:v>
                </c:pt>
                <c:pt idx="61">
                  <c:v>1.1930902290079263E-2</c:v>
                </c:pt>
                <c:pt idx="62">
                  <c:v>1.099435969204955E-2</c:v>
                </c:pt>
                <c:pt idx="63">
                  <c:v>7.5194725097495136E-3</c:v>
                </c:pt>
                <c:pt idx="64">
                  <c:v>6.0873246487348964E-3</c:v>
                </c:pt>
                <c:pt idx="65">
                  <c:v>3.3909090279904391E-3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1.9210307564631022E-2</c:v>
                </c:pt>
                <c:pt idx="86">
                  <c:v>2.4025648457269653E-2</c:v>
                </c:pt>
                <c:pt idx="87">
                  <c:v>3.4347369149768714E-2</c:v>
                </c:pt>
                <c:pt idx="88">
                  <c:v>3.0301068073290943E-2</c:v>
                </c:pt>
                <c:pt idx="89">
                  <c:v>3.412634158850078E-2</c:v>
                </c:pt>
                <c:pt idx="90">
                  <c:v>3.0875818206019714E-2</c:v>
                </c:pt>
                <c:pt idx="91">
                  <c:v>3.1138984215063684E-2</c:v>
                </c:pt>
                <c:pt idx="92">
                  <c:v>3.3758466300646023E-2</c:v>
                </c:pt>
                <c:pt idx="93">
                  <c:v>3.4205527375610112E-2</c:v>
                </c:pt>
                <c:pt idx="94">
                  <c:v>2.7589623630825788E-2</c:v>
                </c:pt>
                <c:pt idx="95">
                  <c:v>3.7087812539567201E-2</c:v>
                </c:pt>
                <c:pt idx="96">
                  <c:v>3.1908443465199027E-2</c:v>
                </c:pt>
                <c:pt idx="97">
                  <c:v>3.3630042958372186E-2</c:v>
                </c:pt>
                <c:pt idx="98">
                  <c:v>1.5546861692558575E-2</c:v>
                </c:pt>
                <c:pt idx="99">
                  <c:v>1.8101222748273207E-2</c:v>
                </c:pt>
                <c:pt idx="100">
                  <c:v>1.6972687347036573E-2</c:v>
                </c:pt>
                <c:pt idx="101">
                  <c:v>0</c:v>
                </c:pt>
                <c:pt idx="102">
                  <c:v>1.0884770793838209E-4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1.0263842508593309E-2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DA-4172-9B98-D04B4760AD78}"/>
            </c:ext>
          </c:extLst>
        </c:ser>
        <c:ser>
          <c:idx val="10"/>
          <c:order val="9"/>
          <c:tx>
            <c:strRef>
              <c:f>TimeVanguardInvGrade!$A$13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3.8696150297126771E-5</c:v>
                </c:pt>
                <c:pt idx="114">
                  <c:v>0</c:v>
                </c:pt>
                <c:pt idx="115">
                  <c:v>1.731723531448039E-2</c:v>
                </c:pt>
                <c:pt idx="116">
                  <c:v>1.2416982784389154E-2</c:v>
                </c:pt>
                <c:pt idx="117">
                  <c:v>0</c:v>
                </c:pt>
                <c:pt idx="118">
                  <c:v>4.7984533325221339E-2</c:v>
                </c:pt>
                <c:pt idx="119">
                  <c:v>4.7290909698076269E-2</c:v>
                </c:pt>
                <c:pt idx="120">
                  <c:v>5.4764739240106865E-2</c:v>
                </c:pt>
                <c:pt idx="121">
                  <c:v>4.6950895092751285E-2</c:v>
                </c:pt>
                <c:pt idx="122">
                  <c:v>4.8248192213673831E-2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1DA-4172-9B98-D04B4760AD78}"/>
            </c:ext>
          </c:extLst>
        </c:ser>
        <c:ser>
          <c:idx val="11"/>
          <c:order val="10"/>
          <c:tx>
            <c:strRef>
              <c:f>TimeVanguardInvGrade!$A$14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3.8481199525287326E-4</c:v>
                </c:pt>
                <c:pt idx="10">
                  <c:v>1.6527225097388986E-3</c:v>
                </c:pt>
                <c:pt idx="11">
                  <c:v>1.0974946009765618E-3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6.4026244782016436E-4</c:v>
                </c:pt>
                <c:pt idx="61">
                  <c:v>0</c:v>
                </c:pt>
                <c:pt idx="62">
                  <c:v>1.8619395163833332E-3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2.5175531366679122E-2</c:v>
                </c:pt>
                <c:pt idx="75">
                  <c:v>1.8637724514980501E-2</c:v>
                </c:pt>
                <c:pt idx="76">
                  <c:v>1.9823936815712206E-2</c:v>
                </c:pt>
                <c:pt idx="77">
                  <c:v>1.6687802431431219E-2</c:v>
                </c:pt>
                <c:pt idx="78">
                  <c:v>1.3060933258793489E-2</c:v>
                </c:pt>
                <c:pt idx="79">
                  <c:v>1.6024184892362073E-2</c:v>
                </c:pt>
                <c:pt idx="80">
                  <c:v>2.2967276804074024E-2</c:v>
                </c:pt>
                <c:pt idx="81">
                  <c:v>3.190661505413761E-2</c:v>
                </c:pt>
                <c:pt idx="82">
                  <c:v>3.0726098437808217E-2</c:v>
                </c:pt>
                <c:pt idx="83">
                  <c:v>2.6344276693776782E-2</c:v>
                </c:pt>
                <c:pt idx="84">
                  <c:v>2.6032012770021998E-2</c:v>
                </c:pt>
                <c:pt idx="85">
                  <c:v>1.863457169551869E-2</c:v>
                </c:pt>
                <c:pt idx="86">
                  <c:v>1.9283985168793785E-2</c:v>
                </c:pt>
                <c:pt idx="87">
                  <c:v>2.1626046285143481E-2</c:v>
                </c:pt>
                <c:pt idx="88">
                  <c:v>2.2954780343949238E-2</c:v>
                </c:pt>
                <c:pt idx="89">
                  <c:v>2.2239727014628938E-2</c:v>
                </c:pt>
                <c:pt idx="90">
                  <c:v>2.4298908253424685E-2</c:v>
                </c:pt>
                <c:pt idx="91">
                  <c:v>3.1222439247430345E-2</c:v>
                </c:pt>
                <c:pt idx="92">
                  <c:v>3.2478952605068508E-2</c:v>
                </c:pt>
                <c:pt idx="93">
                  <c:v>2.3555723452819668E-2</c:v>
                </c:pt>
                <c:pt idx="94">
                  <c:v>3.1815205489432515E-2</c:v>
                </c:pt>
                <c:pt idx="95">
                  <c:v>2.2983485273843914E-2</c:v>
                </c:pt>
                <c:pt idx="96">
                  <c:v>2.8070113451711176E-2</c:v>
                </c:pt>
                <c:pt idx="97">
                  <c:v>2.9759813172824383E-2</c:v>
                </c:pt>
                <c:pt idx="98">
                  <c:v>4.3705833059218796E-2</c:v>
                </c:pt>
                <c:pt idx="99">
                  <c:v>4.1770140454978635E-2</c:v>
                </c:pt>
                <c:pt idx="100">
                  <c:v>4.0591394742313089E-2</c:v>
                </c:pt>
                <c:pt idx="101">
                  <c:v>6.5116355810202295E-2</c:v>
                </c:pt>
                <c:pt idx="102">
                  <c:v>5.7764984820642691E-2</c:v>
                </c:pt>
                <c:pt idx="103">
                  <c:v>4.336552434904507E-3</c:v>
                </c:pt>
                <c:pt idx="104">
                  <c:v>4.6641354976014703E-3</c:v>
                </c:pt>
                <c:pt idx="105">
                  <c:v>0</c:v>
                </c:pt>
                <c:pt idx="106">
                  <c:v>3.0929912244957562E-2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1DA-4172-9B98-D04B4760AD78}"/>
            </c:ext>
          </c:extLst>
        </c:ser>
        <c:ser>
          <c:idx val="12"/>
          <c:order val="11"/>
          <c:tx>
            <c:strRef>
              <c:f>TimeVanguardInvGrade!$A$15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TimeVanguardInvGrade!$B$15:$FY$15</c:f>
              <c:numCache>
                <c:formatCode>General</c:formatCode>
                <c:ptCount val="180"/>
                <c:pt idx="0">
                  <c:v>2.2784231030685612E-2</c:v>
                </c:pt>
                <c:pt idx="1">
                  <c:v>1.3669834015920446E-2</c:v>
                </c:pt>
                <c:pt idx="2">
                  <c:v>2.1986987628416078E-3</c:v>
                </c:pt>
                <c:pt idx="3">
                  <c:v>2.1272228637482113E-2</c:v>
                </c:pt>
                <c:pt idx="4">
                  <c:v>1.4733850444438925E-2</c:v>
                </c:pt>
                <c:pt idx="5">
                  <c:v>1.3352094529363775E-2</c:v>
                </c:pt>
                <c:pt idx="6">
                  <c:v>1.1883233118510698E-2</c:v>
                </c:pt>
                <c:pt idx="7">
                  <c:v>1.2280486756186986E-2</c:v>
                </c:pt>
                <c:pt idx="8">
                  <c:v>1.29024970173064E-2</c:v>
                </c:pt>
                <c:pt idx="9">
                  <c:v>8.9680860894926964E-3</c:v>
                </c:pt>
                <c:pt idx="10">
                  <c:v>5.9772075052634595E-3</c:v>
                </c:pt>
                <c:pt idx="11">
                  <c:v>4.8668469383841154E-3</c:v>
                </c:pt>
                <c:pt idx="12">
                  <c:v>8.5843820481389249E-3</c:v>
                </c:pt>
                <c:pt idx="13">
                  <c:v>1.2034111177631753E-2</c:v>
                </c:pt>
                <c:pt idx="14">
                  <c:v>6.0360654935850896E-3</c:v>
                </c:pt>
                <c:pt idx="15">
                  <c:v>7.2308760863274372E-3</c:v>
                </c:pt>
                <c:pt idx="16">
                  <c:v>2.7361393531942363E-3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1.9353881574039878E-3</c:v>
                </c:pt>
                <c:pt idx="34">
                  <c:v>2.4809826301247779E-3</c:v>
                </c:pt>
                <c:pt idx="35">
                  <c:v>1.8526545030916591E-3</c:v>
                </c:pt>
                <c:pt idx="36">
                  <c:v>6.2348950356739818E-3</c:v>
                </c:pt>
                <c:pt idx="37">
                  <c:v>5.6300725410088868E-3</c:v>
                </c:pt>
                <c:pt idx="38">
                  <c:v>6.2240785799141697E-3</c:v>
                </c:pt>
                <c:pt idx="39">
                  <c:v>0</c:v>
                </c:pt>
                <c:pt idx="40">
                  <c:v>0</c:v>
                </c:pt>
                <c:pt idx="41">
                  <c:v>8.2309017352721631E-4</c:v>
                </c:pt>
                <c:pt idx="42">
                  <c:v>1.3815610084481668E-3</c:v>
                </c:pt>
                <c:pt idx="43">
                  <c:v>5.757261769211112E-3</c:v>
                </c:pt>
                <c:pt idx="44">
                  <c:v>8.0279484950017931E-3</c:v>
                </c:pt>
                <c:pt idx="45">
                  <c:v>9.3616602792262645E-3</c:v>
                </c:pt>
                <c:pt idx="46">
                  <c:v>1.2489192377681728E-2</c:v>
                </c:pt>
                <c:pt idx="47">
                  <c:v>1.2875585218398981E-2</c:v>
                </c:pt>
                <c:pt idx="48">
                  <c:v>1.2988337622175992E-2</c:v>
                </c:pt>
                <c:pt idx="49">
                  <c:v>1.3880755726118563E-2</c:v>
                </c:pt>
                <c:pt idx="50">
                  <c:v>1.160496836849428E-2</c:v>
                </c:pt>
                <c:pt idx="51">
                  <c:v>1.4209068387375423E-2</c:v>
                </c:pt>
                <c:pt idx="52">
                  <c:v>1.8889726791263602E-2</c:v>
                </c:pt>
                <c:pt idx="53">
                  <c:v>2.3341717179952249E-2</c:v>
                </c:pt>
                <c:pt idx="54">
                  <c:v>2.4456150492672659E-2</c:v>
                </c:pt>
                <c:pt idx="55">
                  <c:v>5.3297774796726115E-3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5.5859177774899293E-3</c:v>
                </c:pt>
                <c:pt idx="63">
                  <c:v>0</c:v>
                </c:pt>
                <c:pt idx="64">
                  <c:v>4.4433771617951069E-3</c:v>
                </c:pt>
                <c:pt idx="65">
                  <c:v>8.0170349395041127E-3</c:v>
                </c:pt>
                <c:pt idx="66">
                  <c:v>1.2654915137080192E-2</c:v>
                </c:pt>
                <c:pt idx="67">
                  <c:v>1.6467578291503342E-2</c:v>
                </c:pt>
                <c:pt idx="68">
                  <c:v>1.5125095266431535E-2</c:v>
                </c:pt>
                <c:pt idx="69">
                  <c:v>1.5504201354805382E-2</c:v>
                </c:pt>
                <c:pt idx="70">
                  <c:v>1.5037328386306368E-2</c:v>
                </c:pt>
                <c:pt idx="71">
                  <c:v>1.1038107086998962E-2</c:v>
                </c:pt>
                <c:pt idx="72">
                  <c:v>7.4793778524380929E-3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5.075517882054491E-5</c:v>
                </c:pt>
                <c:pt idx="78">
                  <c:v>5.5882359433924575E-3</c:v>
                </c:pt>
                <c:pt idx="79">
                  <c:v>6.936023084686576E-4</c:v>
                </c:pt>
                <c:pt idx="80">
                  <c:v>1.5760908017364949E-3</c:v>
                </c:pt>
                <c:pt idx="81">
                  <c:v>1.486126182243423E-3</c:v>
                </c:pt>
                <c:pt idx="82">
                  <c:v>3.7621534883839568E-3</c:v>
                </c:pt>
                <c:pt idx="83">
                  <c:v>7.0116932152230063E-3</c:v>
                </c:pt>
                <c:pt idx="84">
                  <c:v>8.693428340500747E-3</c:v>
                </c:pt>
                <c:pt idx="85">
                  <c:v>2.6048093602144665E-2</c:v>
                </c:pt>
                <c:pt idx="86">
                  <c:v>2.0174953274865386E-2</c:v>
                </c:pt>
                <c:pt idx="87">
                  <c:v>1.1901591892971103E-2</c:v>
                </c:pt>
                <c:pt idx="88">
                  <c:v>1.5830351373978101E-2</c:v>
                </c:pt>
                <c:pt idx="89">
                  <c:v>1.3196410837138279E-2</c:v>
                </c:pt>
                <c:pt idx="90">
                  <c:v>1.2910449219850227E-2</c:v>
                </c:pt>
                <c:pt idx="91">
                  <c:v>2.6270843163173109E-3</c:v>
                </c:pt>
                <c:pt idx="92">
                  <c:v>1.1754488412320549E-3</c:v>
                </c:pt>
                <c:pt idx="93">
                  <c:v>2.3559327929942855E-3</c:v>
                </c:pt>
                <c:pt idx="94">
                  <c:v>3.0425935138920596E-4</c:v>
                </c:pt>
                <c:pt idx="95">
                  <c:v>4.3548501645357491E-3</c:v>
                </c:pt>
                <c:pt idx="96">
                  <c:v>3.0000256825451154E-3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6.2054526982117872E-3</c:v>
                </c:pt>
                <c:pt idx="103">
                  <c:v>5.7764064736922305E-2</c:v>
                </c:pt>
                <c:pt idx="104">
                  <c:v>5.4942345830208739E-2</c:v>
                </c:pt>
                <c:pt idx="105">
                  <c:v>5.1992837596486811E-2</c:v>
                </c:pt>
                <c:pt idx="106">
                  <c:v>1.5335238062022572E-2</c:v>
                </c:pt>
                <c:pt idx="107">
                  <c:v>6.545567390874335E-2</c:v>
                </c:pt>
                <c:pt idx="108">
                  <c:v>6.6712119113039259E-2</c:v>
                </c:pt>
                <c:pt idx="109">
                  <c:v>4.3099424594300585E-2</c:v>
                </c:pt>
                <c:pt idx="110">
                  <c:v>4.5836394945448826E-2</c:v>
                </c:pt>
                <c:pt idx="111">
                  <c:v>4.158945760184405E-2</c:v>
                </c:pt>
                <c:pt idx="112">
                  <c:v>2.7583768968291685E-2</c:v>
                </c:pt>
                <c:pt idx="113">
                  <c:v>3.2233257491098934E-2</c:v>
                </c:pt>
                <c:pt idx="114">
                  <c:v>2.9782904097002107E-2</c:v>
                </c:pt>
                <c:pt idx="115">
                  <c:v>2.0207455378024623E-3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1DA-4172-9B98-D04B4760AD78}"/>
            </c:ext>
          </c:extLst>
        </c:ser>
        <c:ser>
          <c:idx val="13"/>
          <c:order val="12"/>
          <c:tx>
            <c:strRef>
              <c:f>TimeVanguardInvGrade!$A$16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TimeVanguardInvGrade!$B$16:$FY$16</c:f>
              <c:numCache>
                <c:formatCode>General</c:formatCode>
                <c:ptCount val="180"/>
                <c:pt idx="0">
                  <c:v>1.3858621571394314E-2</c:v>
                </c:pt>
                <c:pt idx="1">
                  <c:v>1.6039272177739247E-2</c:v>
                </c:pt>
                <c:pt idx="2">
                  <c:v>1.9991918014104448E-2</c:v>
                </c:pt>
                <c:pt idx="3">
                  <c:v>8.3103104051237865E-3</c:v>
                </c:pt>
                <c:pt idx="4">
                  <c:v>6.4621764257361356E-3</c:v>
                </c:pt>
                <c:pt idx="5">
                  <c:v>6.6769788942877351E-3</c:v>
                </c:pt>
                <c:pt idx="6">
                  <c:v>5.6097419006628227E-3</c:v>
                </c:pt>
                <c:pt idx="7">
                  <c:v>7.1588817849577062E-3</c:v>
                </c:pt>
                <c:pt idx="8">
                  <c:v>6.4923095858076879E-3</c:v>
                </c:pt>
                <c:pt idx="9">
                  <c:v>6.2976670163735794E-3</c:v>
                </c:pt>
                <c:pt idx="10">
                  <c:v>6.0461304051277007E-3</c:v>
                </c:pt>
                <c:pt idx="11">
                  <c:v>5.5284375285747488E-3</c:v>
                </c:pt>
                <c:pt idx="12">
                  <c:v>4.2247382226761523E-3</c:v>
                </c:pt>
                <c:pt idx="13">
                  <c:v>2.9064751166939236E-3</c:v>
                </c:pt>
                <c:pt idx="14">
                  <c:v>0</c:v>
                </c:pt>
                <c:pt idx="15">
                  <c:v>1.343372424360079E-3</c:v>
                </c:pt>
                <c:pt idx="16">
                  <c:v>5.0823852103198371E-3</c:v>
                </c:pt>
                <c:pt idx="17">
                  <c:v>8.4120325540763211E-3</c:v>
                </c:pt>
                <c:pt idx="18">
                  <c:v>7.948949424240315E-3</c:v>
                </c:pt>
                <c:pt idx="19">
                  <c:v>7.6594392695978385E-3</c:v>
                </c:pt>
                <c:pt idx="20">
                  <c:v>8.1327896360859162E-3</c:v>
                </c:pt>
                <c:pt idx="21">
                  <c:v>6.5130372027664704E-3</c:v>
                </c:pt>
                <c:pt idx="22">
                  <c:v>6.5318719339981044E-3</c:v>
                </c:pt>
                <c:pt idx="23">
                  <c:v>8.6682363196443173E-3</c:v>
                </c:pt>
                <c:pt idx="24">
                  <c:v>8.8483250013443385E-3</c:v>
                </c:pt>
                <c:pt idx="25">
                  <c:v>1.1136198287422549E-2</c:v>
                </c:pt>
                <c:pt idx="26">
                  <c:v>1.0378592557250975E-2</c:v>
                </c:pt>
                <c:pt idx="27">
                  <c:v>1.1760224150764784E-2</c:v>
                </c:pt>
                <c:pt idx="28">
                  <c:v>1.1728075490348979E-2</c:v>
                </c:pt>
                <c:pt idx="29">
                  <c:v>1.1350648459513325E-2</c:v>
                </c:pt>
                <c:pt idx="30">
                  <c:v>1.1546353638421361E-2</c:v>
                </c:pt>
                <c:pt idx="31">
                  <c:v>8.8458493513512409E-3</c:v>
                </c:pt>
                <c:pt idx="32">
                  <c:v>8.5576063067585827E-3</c:v>
                </c:pt>
                <c:pt idx="33">
                  <c:v>1.1651284120935418E-2</c:v>
                </c:pt>
                <c:pt idx="34">
                  <c:v>1.127585605553417E-2</c:v>
                </c:pt>
                <c:pt idx="35">
                  <c:v>1.1509060924119699E-2</c:v>
                </c:pt>
                <c:pt idx="36">
                  <c:v>8.1270631175485199E-3</c:v>
                </c:pt>
                <c:pt idx="37">
                  <c:v>9.1653749381391987E-3</c:v>
                </c:pt>
                <c:pt idx="38">
                  <c:v>9.4134123188883475E-3</c:v>
                </c:pt>
                <c:pt idx="39">
                  <c:v>1.0279504646834173E-2</c:v>
                </c:pt>
                <c:pt idx="40">
                  <c:v>1.0845312108828343E-2</c:v>
                </c:pt>
                <c:pt idx="41">
                  <c:v>1.0399124517754581E-2</c:v>
                </c:pt>
                <c:pt idx="42">
                  <c:v>1.1592004461077469E-2</c:v>
                </c:pt>
                <c:pt idx="43">
                  <c:v>1.0811603954503653E-2</c:v>
                </c:pt>
                <c:pt idx="44">
                  <c:v>8.9581124439402932E-3</c:v>
                </c:pt>
                <c:pt idx="45">
                  <c:v>8.6372008655101907E-3</c:v>
                </c:pt>
                <c:pt idx="46">
                  <c:v>7.5052786895182296E-3</c:v>
                </c:pt>
                <c:pt idx="47">
                  <c:v>6.2891166199907202E-3</c:v>
                </c:pt>
                <c:pt idx="48">
                  <c:v>5.8416412075126519E-3</c:v>
                </c:pt>
                <c:pt idx="49">
                  <c:v>4.6343083360148073E-3</c:v>
                </c:pt>
                <c:pt idx="50">
                  <c:v>5.3071568191338436E-3</c:v>
                </c:pt>
                <c:pt idx="51">
                  <c:v>6.9354303471456085E-3</c:v>
                </c:pt>
                <c:pt idx="52">
                  <c:v>6.4469653199783501E-3</c:v>
                </c:pt>
                <c:pt idx="53">
                  <c:v>1.0047252423251146E-2</c:v>
                </c:pt>
                <c:pt idx="54">
                  <c:v>8.5025876803203563E-3</c:v>
                </c:pt>
                <c:pt idx="55">
                  <c:v>2.2407461545104097E-2</c:v>
                </c:pt>
                <c:pt idx="56">
                  <c:v>1.6543556347460721E-2</c:v>
                </c:pt>
                <c:pt idx="57">
                  <c:v>1.7132509469097272E-2</c:v>
                </c:pt>
                <c:pt idx="58">
                  <c:v>2.3618076568966074E-2</c:v>
                </c:pt>
                <c:pt idx="59">
                  <c:v>2.1972874072631449E-2</c:v>
                </c:pt>
                <c:pt idx="60">
                  <c:v>1.7223990644532956E-2</c:v>
                </c:pt>
                <c:pt idx="61">
                  <c:v>1.9223528830014994E-2</c:v>
                </c:pt>
                <c:pt idx="62">
                  <c:v>1.6248913229899707E-2</c:v>
                </c:pt>
                <c:pt idx="63">
                  <c:v>2.6622044707351612E-2</c:v>
                </c:pt>
                <c:pt idx="64">
                  <c:v>3.3478991533204105E-2</c:v>
                </c:pt>
                <c:pt idx="65">
                  <c:v>3.3418709504816416E-2</c:v>
                </c:pt>
                <c:pt idx="66">
                  <c:v>3.8387020578871563E-2</c:v>
                </c:pt>
                <c:pt idx="67">
                  <c:v>3.3495176003560195E-2</c:v>
                </c:pt>
                <c:pt idx="68">
                  <c:v>3.4713406204558449E-2</c:v>
                </c:pt>
                <c:pt idx="69">
                  <c:v>3.51954396007177E-2</c:v>
                </c:pt>
                <c:pt idx="70">
                  <c:v>3.520188515948252E-2</c:v>
                </c:pt>
                <c:pt idx="71">
                  <c:v>3.6020451597034972E-2</c:v>
                </c:pt>
                <c:pt idx="72">
                  <c:v>4.0695672430460392E-2</c:v>
                </c:pt>
                <c:pt idx="73">
                  <c:v>4.6963474452662642E-2</c:v>
                </c:pt>
                <c:pt idx="74">
                  <c:v>2.4199049510292749E-2</c:v>
                </c:pt>
                <c:pt idx="75">
                  <c:v>3.1143566116171535E-2</c:v>
                </c:pt>
                <c:pt idx="76">
                  <c:v>3.0005497785018639E-2</c:v>
                </c:pt>
                <c:pt idx="77">
                  <c:v>3.1451699836090835E-2</c:v>
                </c:pt>
                <c:pt idx="78">
                  <c:v>3.3169315948594708E-2</c:v>
                </c:pt>
                <c:pt idx="79">
                  <c:v>3.2688123708165095E-2</c:v>
                </c:pt>
                <c:pt idx="80">
                  <c:v>2.1636831450915637E-2</c:v>
                </c:pt>
                <c:pt idx="81">
                  <c:v>1.8810385832174856E-2</c:v>
                </c:pt>
                <c:pt idx="82">
                  <c:v>2.0249141831049363E-2</c:v>
                </c:pt>
                <c:pt idx="83">
                  <c:v>1.9380995358392262E-2</c:v>
                </c:pt>
                <c:pt idx="84">
                  <c:v>1.8321499611488649E-2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1DA-4172-9B98-D04B4760AD78}"/>
            </c:ext>
          </c:extLst>
        </c:ser>
        <c:ser>
          <c:idx val="14"/>
          <c:order val="13"/>
          <c:tx>
            <c:strRef>
              <c:f>TimeVanguardInvGrade!$A$17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1.307743926723792E-3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1.3813547854369702E-2</c:v>
                </c:pt>
                <c:pt idx="119">
                  <c:v>2.7234546092858102E-2</c:v>
                </c:pt>
                <c:pt idx="120">
                  <c:v>3.7067824306416731E-2</c:v>
                </c:pt>
                <c:pt idx="121">
                  <c:v>1.5367199327782628E-4</c:v>
                </c:pt>
                <c:pt idx="122">
                  <c:v>3.811205683847429E-3</c:v>
                </c:pt>
                <c:pt idx="123">
                  <c:v>3.7935299431263288E-2</c:v>
                </c:pt>
                <c:pt idx="124">
                  <c:v>4.8592228228612151E-2</c:v>
                </c:pt>
                <c:pt idx="125">
                  <c:v>4.3080832291236874E-2</c:v>
                </c:pt>
                <c:pt idx="126">
                  <c:v>2.0470621860428615E-2</c:v>
                </c:pt>
                <c:pt idx="127">
                  <c:v>3.3144572149144798E-2</c:v>
                </c:pt>
                <c:pt idx="128">
                  <c:v>4.6416680860135721E-2</c:v>
                </c:pt>
                <c:pt idx="129">
                  <c:v>4.9575389100219434E-2</c:v>
                </c:pt>
                <c:pt idx="130">
                  <c:v>5.1764703113051411E-2</c:v>
                </c:pt>
                <c:pt idx="131">
                  <c:v>5.1751594854832467E-2</c:v>
                </c:pt>
                <c:pt idx="132">
                  <c:v>5.0375061628387702E-2</c:v>
                </c:pt>
                <c:pt idx="133">
                  <c:v>5.4263112916228894E-2</c:v>
                </c:pt>
                <c:pt idx="134">
                  <c:v>6.1142196437150728E-2</c:v>
                </c:pt>
                <c:pt idx="135">
                  <c:v>6.1479243317259749E-2</c:v>
                </c:pt>
                <c:pt idx="136">
                  <c:v>5.0279067683594462E-2</c:v>
                </c:pt>
                <c:pt idx="137">
                  <c:v>5.9896975316012895E-2</c:v>
                </c:pt>
                <c:pt idx="138">
                  <c:v>5.7964622717154989E-2</c:v>
                </c:pt>
                <c:pt idx="139">
                  <c:v>4.9575805114914384E-2</c:v>
                </c:pt>
                <c:pt idx="140">
                  <c:v>4.2344399943927684E-2</c:v>
                </c:pt>
                <c:pt idx="141">
                  <c:v>6.579072804782868E-3</c:v>
                </c:pt>
                <c:pt idx="142">
                  <c:v>3.4251351557197116E-3</c:v>
                </c:pt>
                <c:pt idx="143">
                  <c:v>3.6496850778064052E-3</c:v>
                </c:pt>
                <c:pt idx="144">
                  <c:v>1.24358644573789E-3</c:v>
                </c:pt>
                <c:pt idx="145">
                  <c:v>0</c:v>
                </c:pt>
                <c:pt idx="146">
                  <c:v>0</c:v>
                </c:pt>
                <c:pt idx="147">
                  <c:v>8.5930633544879145E-3</c:v>
                </c:pt>
                <c:pt idx="148">
                  <c:v>1.4856756824061507E-2</c:v>
                </c:pt>
                <c:pt idx="149">
                  <c:v>8.5327676711359681E-3</c:v>
                </c:pt>
                <c:pt idx="150">
                  <c:v>1.1976706060616437E-2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1.4086634455536776E-2</c:v>
                </c:pt>
                <c:pt idx="155">
                  <c:v>6.2982234509956258E-3</c:v>
                </c:pt>
                <c:pt idx="156">
                  <c:v>1.7004060333094279E-3</c:v>
                </c:pt>
                <c:pt idx="157">
                  <c:v>6.8043647762398775E-4</c:v>
                </c:pt>
                <c:pt idx="158">
                  <c:v>2.5963854298002784E-3</c:v>
                </c:pt>
                <c:pt idx="159">
                  <c:v>9.8227578643669579E-3</c:v>
                </c:pt>
                <c:pt idx="160">
                  <c:v>6.8758941138148807E-3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1DA-4172-9B98-D04B4760AD78}"/>
            </c:ext>
          </c:extLst>
        </c:ser>
        <c:ser>
          <c:idx val="15"/>
          <c:order val="14"/>
          <c:tx>
            <c:strRef>
              <c:f>TimeVanguardInvGrade!$A$18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TimeVanguardInvGrade!$B$18:$FY$18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7.5461271790283136E-4</c:v>
                </c:pt>
                <c:pt idx="112">
                  <c:v>1.3607877517884319E-3</c:v>
                </c:pt>
                <c:pt idx="113">
                  <c:v>3.7185538790653529E-3</c:v>
                </c:pt>
                <c:pt idx="114">
                  <c:v>3.3806128027000881E-3</c:v>
                </c:pt>
                <c:pt idx="115">
                  <c:v>1.5348726562160347E-3</c:v>
                </c:pt>
                <c:pt idx="116">
                  <c:v>6.8376894484720356E-3</c:v>
                </c:pt>
                <c:pt idx="117">
                  <c:v>1.8950713038203296E-2</c:v>
                </c:pt>
                <c:pt idx="118">
                  <c:v>2.5409142540461786E-2</c:v>
                </c:pt>
                <c:pt idx="119">
                  <c:v>2.5976494998785682E-2</c:v>
                </c:pt>
                <c:pt idx="120">
                  <c:v>4.7200256179182054E-2</c:v>
                </c:pt>
                <c:pt idx="121">
                  <c:v>6.1425448144221836E-2</c:v>
                </c:pt>
                <c:pt idx="122">
                  <c:v>5.9577388958115027E-2</c:v>
                </c:pt>
                <c:pt idx="123">
                  <c:v>1.5388896337213404E-2</c:v>
                </c:pt>
                <c:pt idx="124">
                  <c:v>1.0705961935819654E-2</c:v>
                </c:pt>
                <c:pt idx="125">
                  <c:v>1.2781466928150232E-2</c:v>
                </c:pt>
                <c:pt idx="126">
                  <c:v>1.7762792834496926E-2</c:v>
                </c:pt>
                <c:pt idx="127">
                  <c:v>2.4366887593597883E-2</c:v>
                </c:pt>
                <c:pt idx="128">
                  <c:v>1.354220780006144E-2</c:v>
                </c:pt>
                <c:pt idx="129">
                  <c:v>1.7938986895969528E-2</c:v>
                </c:pt>
                <c:pt idx="130">
                  <c:v>1.6302826564376906E-2</c:v>
                </c:pt>
                <c:pt idx="131">
                  <c:v>1.7451960932327294E-2</c:v>
                </c:pt>
                <c:pt idx="132">
                  <c:v>1.8646715685212881E-2</c:v>
                </c:pt>
                <c:pt idx="133">
                  <c:v>1.4736895347190932E-2</c:v>
                </c:pt>
                <c:pt idx="134">
                  <c:v>1.2749620900382442E-2</c:v>
                </c:pt>
                <c:pt idx="135">
                  <c:v>1.253878195652129E-2</c:v>
                </c:pt>
                <c:pt idx="136">
                  <c:v>1.8916446494039323E-2</c:v>
                </c:pt>
                <c:pt idx="137">
                  <c:v>1.3381947825466152E-2</c:v>
                </c:pt>
                <c:pt idx="138">
                  <c:v>1.6249685595335579E-2</c:v>
                </c:pt>
                <c:pt idx="139">
                  <c:v>2.3603626913687562E-2</c:v>
                </c:pt>
                <c:pt idx="140">
                  <c:v>3.1428465932148854E-2</c:v>
                </c:pt>
                <c:pt idx="141">
                  <c:v>3.4128034580489582E-2</c:v>
                </c:pt>
                <c:pt idx="142">
                  <c:v>3.4220310901901342E-2</c:v>
                </c:pt>
                <c:pt idx="143">
                  <c:v>3.5858121198198721E-2</c:v>
                </c:pt>
                <c:pt idx="144">
                  <c:v>3.5228149018615366E-2</c:v>
                </c:pt>
                <c:pt idx="145">
                  <c:v>3.8119743266642178E-2</c:v>
                </c:pt>
                <c:pt idx="146">
                  <c:v>3.2990507605751833E-2</c:v>
                </c:pt>
                <c:pt idx="147">
                  <c:v>2.8841906556960558E-2</c:v>
                </c:pt>
                <c:pt idx="148">
                  <c:v>3.0911263467973467E-2</c:v>
                </c:pt>
                <c:pt idx="149">
                  <c:v>3.507460255208792E-2</c:v>
                </c:pt>
                <c:pt idx="150">
                  <c:v>3.6595418320577472E-2</c:v>
                </c:pt>
                <c:pt idx="151">
                  <c:v>4.2083469846828231E-2</c:v>
                </c:pt>
                <c:pt idx="152">
                  <c:v>4.1155721101156471E-2</c:v>
                </c:pt>
                <c:pt idx="153">
                  <c:v>3.5506454609325423E-2</c:v>
                </c:pt>
                <c:pt idx="154">
                  <c:v>3.7763203195813499E-2</c:v>
                </c:pt>
                <c:pt idx="155">
                  <c:v>4.244598183277621E-2</c:v>
                </c:pt>
                <c:pt idx="156">
                  <c:v>4.6203964466104051E-2</c:v>
                </c:pt>
                <c:pt idx="157">
                  <c:v>4.7553206920171988E-2</c:v>
                </c:pt>
                <c:pt idx="158">
                  <c:v>4.734461873346052E-2</c:v>
                </c:pt>
                <c:pt idx="159">
                  <c:v>4.800530511831775E-2</c:v>
                </c:pt>
                <c:pt idx="160">
                  <c:v>5.0123871510154953E-2</c:v>
                </c:pt>
                <c:pt idx="161">
                  <c:v>5.5616813603648688E-2</c:v>
                </c:pt>
                <c:pt idx="162">
                  <c:v>6.0372012378374029E-2</c:v>
                </c:pt>
                <c:pt idx="163">
                  <c:v>7.1121480562606754E-2</c:v>
                </c:pt>
                <c:pt idx="164">
                  <c:v>7.1027334715078452E-2</c:v>
                </c:pt>
                <c:pt idx="165">
                  <c:v>7.6306644218936764E-2</c:v>
                </c:pt>
                <c:pt idx="166">
                  <c:v>7.7367581825862217E-2</c:v>
                </c:pt>
                <c:pt idx="167">
                  <c:v>7.4984697532454112E-2</c:v>
                </c:pt>
                <c:pt idx="168">
                  <c:v>7.6586592170963044E-2</c:v>
                </c:pt>
                <c:pt idx="169">
                  <c:v>7.2364237252204131E-2</c:v>
                </c:pt>
                <c:pt idx="170">
                  <c:v>7.8505861544980862E-2</c:v>
                </c:pt>
                <c:pt idx="171">
                  <c:v>8.16302708242021E-2</c:v>
                </c:pt>
                <c:pt idx="172">
                  <c:v>8.1242396855528184E-2</c:v>
                </c:pt>
                <c:pt idx="173">
                  <c:v>7.8994367906900759E-2</c:v>
                </c:pt>
                <c:pt idx="174">
                  <c:v>9.3582108544711162E-2</c:v>
                </c:pt>
                <c:pt idx="175">
                  <c:v>9.3010054119392019E-2</c:v>
                </c:pt>
                <c:pt idx="176">
                  <c:v>9.6256573469842927E-2</c:v>
                </c:pt>
                <c:pt idx="177">
                  <c:v>9.4269531966390166E-2</c:v>
                </c:pt>
                <c:pt idx="178">
                  <c:v>7.5614167437154683E-2</c:v>
                </c:pt>
                <c:pt idx="179">
                  <c:v>7.8286167694502043E-2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1DA-4172-9B98-D04B4760AD78}"/>
            </c:ext>
          </c:extLst>
        </c:ser>
        <c:ser>
          <c:idx val="16"/>
          <c:order val="15"/>
          <c:tx>
            <c:strRef>
              <c:f>TimeVanguardInvGrade!$A$19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TimeVanguardInvGrade!$B$19:$FY$19</c:f>
              <c:numCache>
                <c:formatCode>General</c:formatCode>
                <c:ptCount val="180"/>
                <c:pt idx="0">
                  <c:v>2.2490327245672979E-3</c:v>
                </c:pt>
                <c:pt idx="1">
                  <c:v>2.8737087423000898E-4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6.1561449215059407E-3</c:v>
                </c:pt>
                <c:pt idx="68">
                  <c:v>5.4858289213739172E-3</c:v>
                </c:pt>
                <c:pt idx="69">
                  <c:v>4.9283712718710942E-3</c:v>
                </c:pt>
                <c:pt idx="70">
                  <c:v>5.0701336446243644E-3</c:v>
                </c:pt>
                <c:pt idx="71">
                  <c:v>4.7428213958511344E-3</c:v>
                </c:pt>
                <c:pt idx="72">
                  <c:v>5.337287210531858E-3</c:v>
                </c:pt>
                <c:pt idx="73">
                  <c:v>1.6354646804703601E-3</c:v>
                </c:pt>
                <c:pt idx="74">
                  <c:v>0</c:v>
                </c:pt>
                <c:pt idx="75">
                  <c:v>6.0806071277876516E-4</c:v>
                </c:pt>
                <c:pt idx="76">
                  <c:v>1.2321519445555923E-3</c:v>
                </c:pt>
                <c:pt idx="77">
                  <c:v>0</c:v>
                </c:pt>
                <c:pt idx="78">
                  <c:v>0</c:v>
                </c:pt>
                <c:pt idx="79">
                  <c:v>3.7663253165431737E-4</c:v>
                </c:pt>
                <c:pt idx="80">
                  <c:v>4.8598860178880885E-3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4.8081814322585119E-3</c:v>
                </c:pt>
                <c:pt idx="86">
                  <c:v>4.0357159769913694E-3</c:v>
                </c:pt>
                <c:pt idx="87">
                  <c:v>3.697173808148586E-3</c:v>
                </c:pt>
                <c:pt idx="88">
                  <c:v>2.3702486792005952E-3</c:v>
                </c:pt>
                <c:pt idx="89">
                  <c:v>2.6839518712056189E-3</c:v>
                </c:pt>
                <c:pt idx="90">
                  <c:v>2.4778257843069656E-3</c:v>
                </c:pt>
                <c:pt idx="91">
                  <c:v>7.4819111714961384E-3</c:v>
                </c:pt>
                <c:pt idx="92">
                  <c:v>7.5929163626905823E-3</c:v>
                </c:pt>
                <c:pt idx="93">
                  <c:v>3.3117173500199931E-3</c:v>
                </c:pt>
                <c:pt idx="94">
                  <c:v>3.2993744023656893E-3</c:v>
                </c:pt>
                <c:pt idx="95">
                  <c:v>5.5400740637124189E-3</c:v>
                </c:pt>
                <c:pt idx="96">
                  <c:v>5.5771613240971785E-3</c:v>
                </c:pt>
                <c:pt idx="97">
                  <c:v>9.4171556425863088E-3</c:v>
                </c:pt>
                <c:pt idx="98">
                  <c:v>8.6319627794287802E-3</c:v>
                </c:pt>
                <c:pt idx="99">
                  <c:v>1.2165525683973779E-2</c:v>
                </c:pt>
                <c:pt idx="100">
                  <c:v>1.4798648309489822E-2</c:v>
                </c:pt>
                <c:pt idx="101">
                  <c:v>6.8946564597898597E-3</c:v>
                </c:pt>
                <c:pt idx="102">
                  <c:v>5.5131051999203528E-3</c:v>
                </c:pt>
                <c:pt idx="103">
                  <c:v>0</c:v>
                </c:pt>
                <c:pt idx="104">
                  <c:v>3.8009917828229454E-3</c:v>
                </c:pt>
                <c:pt idx="105">
                  <c:v>2.0345180911300539E-3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6.2941511855268218E-3</c:v>
                </c:pt>
                <c:pt idx="113">
                  <c:v>5.7001347299596066E-3</c:v>
                </c:pt>
                <c:pt idx="114">
                  <c:v>7.4747518481801303E-3</c:v>
                </c:pt>
                <c:pt idx="115">
                  <c:v>1.6025164920193707E-2</c:v>
                </c:pt>
                <c:pt idx="116">
                  <c:v>1.7449825770723695E-2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1.5102714134252774E-2</c:v>
                </c:pt>
                <c:pt idx="121">
                  <c:v>9.6226472319819664E-3</c:v>
                </c:pt>
                <c:pt idx="122">
                  <c:v>1.1027846576118813E-2</c:v>
                </c:pt>
                <c:pt idx="123">
                  <c:v>4.2442412992486828E-2</c:v>
                </c:pt>
                <c:pt idx="124">
                  <c:v>3.6787261075937515E-2</c:v>
                </c:pt>
                <c:pt idx="125">
                  <c:v>4.4187621438887929E-2</c:v>
                </c:pt>
                <c:pt idx="126">
                  <c:v>5.1268989114715655E-2</c:v>
                </c:pt>
                <c:pt idx="127">
                  <c:v>2.8992972743469306E-2</c:v>
                </c:pt>
                <c:pt idx="128">
                  <c:v>2.9218039179633969E-2</c:v>
                </c:pt>
                <c:pt idx="129">
                  <c:v>1.8210584851532877E-2</c:v>
                </c:pt>
                <c:pt idx="130">
                  <c:v>2.1599813869535418E-2</c:v>
                </c:pt>
                <c:pt idx="131">
                  <c:v>2.7302786271244543E-2</c:v>
                </c:pt>
                <c:pt idx="132">
                  <c:v>2.576066296044351E-2</c:v>
                </c:pt>
                <c:pt idx="133">
                  <c:v>2.8767683440594039E-2</c:v>
                </c:pt>
                <c:pt idx="134">
                  <c:v>2.5692017926351701E-2</c:v>
                </c:pt>
                <c:pt idx="135">
                  <c:v>2.5677981482891646E-2</c:v>
                </c:pt>
                <c:pt idx="136">
                  <c:v>2.8698096579970127E-2</c:v>
                </c:pt>
                <c:pt idx="137">
                  <c:v>3.0461447473971278E-2</c:v>
                </c:pt>
                <c:pt idx="138">
                  <c:v>2.6495384687582484E-2</c:v>
                </c:pt>
                <c:pt idx="139">
                  <c:v>2.8341210832437819E-2</c:v>
                </c:pt>
                <c:pt idx="140">
                  <c:v>2.0778194522763384E-2</c:v>
                </c:pt>
                <c:pt idx="141">
                  <c:v>7.4497304334131181E-2</c:v>
                </c:pt>
                <c:pt idx="142">
                  <c:v>7.7047591829243464E-2</c:v>
                </c:pt>
                <c:pt idx="143">
                  <c:v>7.6791246557848539E-2</c:v>
                </c:pt>
                <c:pt idx="144">
                  <c:v>8.8288254892676984E-2</c:v>
                </c:pt>
                <c:pt idx="145">
                  <c:v>9.7765526292292362E-2</c:v>
                </c:pt>
                <c:pt idx="146">
                  <c:v>0.10912142105457347</c:v>
                </c:pt>
                <c:pt idx="147">
                  <c:v>0.10556376189103739</c:v>
                </c:pt>
                <c:pt idx="148">
                  <c:v>0.10164517445323561</c:v>
                </c:pt>
                <c:pt idx="149">
                  <c:v>0.10620899816805571</c:v>
                </c:pt>
                <c:pt idx="150">
                  <c:v>9.9959129846058342E-2</c:v>
                </c:pt>
                <c:pt idx="151">
                  <c:v>0.10952392203711972</c:v>
                </c:pt>
                <c:pt idx="152">
                  <c:v>0.11834551903910683</c:v>
                </c:pt>
                <c:pt idx="153">
                  <c:v>0.12771192378305152</c:v>
                </c:pt>
                <c:pt idx="154">
                  <c:v>0.10129511851506123</c:v>
                </c:pt>
                <c:pt idx="155">
                  <c:v>0.10777723282912416</c:v>
                </c:pt>
                <c:pt idx="156">
                  <c:v>0.11538513562257328</c:v>
                </c:pt>
                <c:pt idx="157">
                  <c:v>0.11460126724807834</c:v>
                </c:pt>
                <c:pt idx="158">
                  <c:v>0.11177397279622998</c:v>
                </c:pt>
                <c:pt idx="159">
                  <c:v>0.10303522225156014</c:v>
                </c:pt>
                <c:pt idx="160">
                  <c:v>0.10298443069126852</c:v>
                </c:pt>
                <c:pt idx="161">
                  <c:v>0.10129289921427695</c:v>
                </c:pt>
                <c:pt idx="162">
                  <c:v>9.6783611014571738E-2</c:v>
                </c:pt>
                <c:pt idx="163">
                  <c:v>7.5766252074784268E-2</c:v>
                </c:pt>
                <c:pt idx="164">
                  <c:v>7.4960337113577885E-2</c:v>
                </c:pt>
                <c:pt idx="165">
                  <c:v>7.2398505145681094E-2</c:v>
                </c:pt>
                <c:pt idx="166">
                  <c:v>6.5048808413807557E-2</c:v>
                </c:pt>
                <c:pt idx="167">
                  <c:v>6.2744324403160245E-2</c:v>
                </c:pt>
                <c:pt idx="168">
                  <c:v>5.5707529712402913E-2</c:v>
                </c:pt>
                <c:pt idx="169">
                  <c:v>5.5285155363885223E-2</c:v>
                </c:pt>
                <c:pt idx="170">
                  <c:v>5.2101043988673962E-2</c:v>
                </c:pt>
                <c:pt idx="171">
                  <c:v>4.878960770402848E-2</c:v>
                </c:pt>
                <c:pt idx="172">
                  <c:v>5.5377026056122283E-2</c:v>
                </c:pt>
                <c:pt idx="173">
                  <c:v>6.1077207635403516E-2</c:v>
                </c:pt>
                <c:pt idx="174">
                  <c:v>5.2365517971903072E-2</c:v>
                </c:pt>
                <c:pt idx="175">
                  <c:v>4.80600842185748E-2</c:v>
                </c:pt>
                <c:pt idx="176">
                  <c:v>5.0999833928281703E-2</c:v>
                </c:pt>
                <c:pt idx="177">
                  <c:v>4.3383678958745397E-2</c:v>
                </c:pt>
                <c:pt idx="178">
                  <c:v>3.7690660335723693E-2</c:v>
                </c:pt>
                <c:pt idx="179">
                  <c:v>3.9743443278940957E-2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1DA-4172-9B98-D04B4760A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77024"/>
        <c:axId val="169778560"/>
      </c:areaChart>
      <c:dateAx>
        <c:axId val="1697770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69778560"/>
        <c:crosses val="autoZero"/>
        <c:auto val="1"/>
        <c:lblOffset val="100"/>
        <c:baseTimeUnit val="months"/>
      </c:dateAx>
      <c:valAx>
        <c:axId val="169778560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6977702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TimeVanguardInvGrade!$A$3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TimeVanguardInvGrade!$A$4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6-4046-8518-50A97584B180}"/>
            </c:ext>
          </c:extLst>
        </c:ser>
        <c:ser>
          <c:idx val="2"/>
          <c:order val="1"/>
          <c:tx>
            <c:strRef>
              <c:f>TimeVanguardInvGrade!$A$5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TimeVanguardInvGrade!$B$5:$FY$5</c:f>
              <c:numCache>
                <c:formatCode>General</c:formatCode>
                <c:ptCount val="180"/>
                <c:pt idx="0">
                  <c:v>3.0398099828980625E-2</c:v>
                </c:pt>
                <c:pt idx="1">
                  <c:v>1.9194719169282653E-2</c:v>
                </c:pt>
                <c:pt idx="2">
                  <c:v>8.8766666442773607E-3</c:v>
                </c:pt>
                <c:pt idx="3">
                  <c:v>5.254615184638714E-2</c:v>
                </c:pt>
                <c:pt idx="4">
                  <c:v>5.904274486646114E-2</c:v>
                </c:pt>
                <c:pt idx="5">
                  <c:v>5.4700176813526923E-2</c:v>
                </c:pt>
                <c:pt idx="6">
                  <c:v>4.9334100597364754E-2</c:v>
                </c:pt>
                <c:pt idx="7">
                  <c:v>4.8373933461500457E-2</c:v>
                </c:pt>
                <c:pt idx="8">
                  <c:v>4.973854163582174E-2</c:v>
                </c:pt>
                <c:pt idx="9">
                  <c:v>4.452565480586803E-2</c:v>
                </c:pt>
                <c:pt idx="10">
                  <c:v>4.3307689699301433E-2</c:v>
                </c:pt>
                <c:pt idx="11">
                  <c:v>3.6969009219517006E-2</c:v>
                </c:pt>
                <c:pt idx="12">
                  <c:v>4.5403468386607727E-2</c:v>
                </c:pt>
                <c:pt idx="13">
                  <c:v>5.0356619595176358E-2</c:v>
                </c:pt>
                <c:pt idx="14">
                  <c:v>7.2861269977855705E-2</c:v>
                </c:pt>
                <c:pt idx="15">
                  <c:v>6.8330961872398663E-2</c:v>
                </c:pt>
                <c:pt idx="16">
                  <c:v>5.4013274577772462E-2</c:v>
                </c:pt>
                <c:pt idx="17">
                  <c:v>3.7850517667682909E-2</c:v>
                </c:pt>
                <c:pt idx="18">
                  <c:v>1.9502396039284369E-2</c:v>
                </c:pt>
                <c:pt idx="19">
                  <c:v>1.9005896603828957E-2</c:v>
                </c:pt>
                <c:pt idx="20">
                  <c:v>2.5119270677649744E-2</c:v>
                </c:pt>
                <c:pt idx="21">
                  <c:v>2.2550471838438085E-2</c:v>
                </c:pt>
                <c:pt idx="22">
                  <c:v>1.4786799233632384E-2</c:v>
                </c:pt>
                <c:pt idx="23">
                  <c:v>1.5307316306953183E-2</c:v>
                </c:pt>
                <c:pt idx="24">
                  <c:v>8.7282791226332146E-3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-4.1118808877249613E-7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56-4046-8518-50A97584B180}"/>
            </c:ext>
          </c:extLst>
        </c:ser>
        <c:ser>
          <c:idx val="3"/>
          <c:order val="2"/>
          <c:tx>
            <c:strRef>
              <c:f>TimeVanguardInvGrade!$A$6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TimeVanguardInvGrade!$B$6:$FY$6</c:f>
              <c:numCache>
                <c:formatCode>General</c:formatCode>
                <c:ptCount val="180"/>
                <c:pt idx="0">
                  <c:v>0.39259817258984625</c:v>
                </c:pt>
                <c:pt idx="1">
                  <c:v>0.38060948182167864</c:v>
                </c:pt>
                <c:pt idx="2">
                  <c:v>0.35509425152026652</c:v>
                </c:pt>
                <c:pt idx="3">
                  <c:v>0.36027730814747888</c:v>
                </c:pt>
                <c:pt idx="4">
                  <c:v>0.35797863344271519</c:v>
                </c:pt>
                <c:pt idx="5">
                  <c:v>0.34306178935931986</c:v>
                </c:pt>
                <c:pt idx="6">
                  <c:v>0.32495745425370404</c:v>
                </c:pt>
                <c:pt idx="7">
                  <c:v>0.35613673776777222</c:v>
                </c:pt>
                <c:pt idx="8">
                  <c:v>0.35384546004421641</c:v>
                </c:pt>
                <c:pt idx="9">
                  <c:v>0.35489806760542902</c:v>
                </c:pt>
                <c:pt idx="10">
                  <c:v>0.34934694026849</c:v>
                </c:pt>
                <c:pt idx="11">
                  <c:v>0.33830511224513876</c:v>
                </c:pt>
                <c:pt idx="12">
                  <c:v>0.34716276200438156</c:v>
                </c:pt>
                <c:pt idx="13">
                  <c:v>0.33937816782421815</c:v>
                </c:pt>
                <c:pt idx="14">
                  <c:v>0.32742049257008826</c:v>
                </c:pt>
                <c:pt idx="15">
                  <c:v>0.31207905989535373</c:v>
                </c:pt>
                <c:pt idx="16">
                  <c:v>0.32160922713980705</c:v>
                </c:pt>
                <c:pt idx="17">
                  <c:v>0.33014350296400086</c:v>
                </c:pt>
                <c:pt idx="18">
                  <c:v>0.33500734894567258</c:v>
                </c:pt>
                <c:pt idx="19">
                  <c:v>0.32381290899733761</c:v>
                </c:pt>
                <c:pt idx="20">
                  <c:v>0.31877225668525672</c:v>
                </c:pt>
                <c:pt idx="21">
                  <c:v>0.3067300172937022</c:v>
                </c:pt>
                <c:pt idx="22">
                  <c:v>0.30777739671631571</c:v>
                </c:pt>
                <c:pt idx="23">
                  <c:v>0.30300307854262043</c:v>
                </c:pt>
                <c:pt idx="24">
                  <c:v>0.31514923685919022</c:v>
                </c:pt>
                <c:pt idx="25">
                  <c:v>0.31456018169244365</c:v>
                </c:pt>
                <c:pt idx="26">
                  <c:v>0.31547587555120155</c:v>
                </c:pt>
                <c:pt idx="27">
                  <c:v>0.29502465937454014</c:v>
                </c:pt>
                <c:pt idx="28">
                  <c:v>0.26678693179480817</c:v>
                </c:pt>
                <c:pt idx="29">
                  <c:v>0.26780856573928896</c:v>
                </c:pt>
                <c:pt idx="30">
                  <c:v>0.27091384522090217</c:v>
                </c:pt>
                <c:pt idx="31">
                  <c:v>0.26876543995901037</c:v>
                </c:pt>
                <c:pt idx="32">
                  <c:v>0.25987615053753466</c:v>
                </c:pt>
                <c:pt idx="33">
                  <c:v>0.22447244566524596</c:v>
                </c:pt>
                <c:pt idx="34">
                  <c:v>0.22861508758703877</c:v>
                </c:pt>
                <c:pt idx="35">
                  <c:v>0.23528559565023663</c:v>
                </c:pt>
                <c:pt idx="36">
                  <c:v>0.19027470040867678</c:v>
                </c:pt>
                <c:pt idx="37">
                  <c:v>0.18408173601936392</c:v>
                </c:pt>
                <c:pt idx="38">
                  <c:v>0.18845821809134164</c:v>
                </c:pt>
                <c:pt idx="39">
                  <c:v>0.2119569710640884</c:v>
                </c:pt>
                <c:pt idx="40">
                  <c:v>0.22599708364395008</c:v>
                </c:pt>
                <c:pt idx="41">
                  <c:v>0.2259524663135313</c:v>
                </c:pt>
                <c:pt idx="42">
                  <c:v>0.23359491177216768</c:v>
                </c:pt>
                <c:pt idx="43">
                  <c:v>0.20571962945687422</c:v>
                </c:pt>
                <c:pt idx="44">
                  <c:v>0.21972764625211752</c:v>
                </c:pt>
                <c:pt idx="45">
                  <c:v>0.21579885530872417</c:v>
                </c:pt>
                <c:pt idx="46">
                  <c:v>0.25305196196780627</c:v>
                </c:pt>
                <c:pt idx="47">
                  <c:v>0.23256879761122257</c:v>
                </c:pt>
                <c:pt idx="48">
                  <c:v>0.23027471840445027</c:v>
                </c:pt>
                <c:pt idx="49">
                  <c:v>0.23580805905979713</c:v>
                </c:pt>
                <c:pt idx="50">
                  <c:v>0.25291799532210824</c:v>
                </c:pt>
                <c:pt idx="51">
                  <c:v>0.25338144335722507</c:v>
                </c:pt>
                <c:pt idx="52">
                  <c:v>0.26261386936177283</c:v>
                </c:pt>
                <c:pt idx="53">
                  <c:v>0.31185082822724791</c:v>
                </c:pt>
                <c:pt idx="54">
                  <c:v>0.30905473132580963</c:v>
                </c:pt>
                <c:pt idx="55">
                  <c:v>0.48925854559180054</c:v>
                </c:pt>
                <c:pt idx="56">
                  <c:v>0.4880818954766451</c:v>
                </c:pt>
                <c:pt idx="57">
                  <c:v>0.50625055707276245</c:v>
                </c:pt>
                <c:pt idx="58">
                  <c:v>0.52982191954096458</c:v>
                </c:pt>
                <c:pt idx="59">
                  <c:v>0.53287429203572467</c:v>
                </c:pt>
                <c:pt idx="60">
                  <c:v>0.59839192537728214</c:v>
                </c:pt>
                <c:pt idx="61">
                  <c:v>0.60122773144770769</c:v>
                </c:pt>
                <c:pt idx="62">
                  <c:v>0.6155590880660361</c:v>
                </c:pt>
                <c:pt idx="63">
                  <c:v>0.60856700499772265</c:v>
                </c:pt>
                <c:pt idx="64">
                  <c:v>0.62894446100802603</c:v>
                </c:pt>
                <c:pt idx="65">
                  <c:v>0.62742701801795842</c:v>
                </c:pt>
                <c:pt idx="66">
                  <c:v>0.62780343835112562</c:v>
                </c:pt>
                <c:pt idx="67">
                  <c:v>0.62270839116303156</c:v>
                </c:pt>
                <c:pt idx="68">
                  <c:v>0.6234124035219748</c:v>
                </c:pt>
                <c:pt idx="69">
                  <c:v>0.62468882948376658</c:v>
                </c:pt>
                <c:pt idx="70">
                  <c:v>0.62364103801238302</c:v>
                </c:pt>
                <c:pt idx="71">
                  <c:v>0.62186701251779219</c:v>
                </c:pt>
                <c:pt idx="72">
                  <c:v>0.62128086650932735</c:v>
                </c:pt>
                <c:pt idx="73">
                  <c:v>0.62856953553358086</c:v>
                </c:pt>
                <c:pt idx="74">
                  <c:v>0.65890140191217828</c:v>
                </c:pt>
                <c:pt idx="75">
                  <c:v>0.66310346098027495</c:v>
                </c:pt>
                <c:pt idx="76">
                  <c:v>0.66522251919656517</c:v>
                </c:pt>
                <c:pt idx="77">
                  <c:v>0.65643919120793404</c:v>
                </c:pt>
                <c:pt idx="78">
                  <c:v>0.66093251402684428</c:v>
                </c:pt>
                <c:pt idx="79">
                  <c:v>0.67348137288955734</c:v>
                </c:pt>
                <c:pt idx="80">
                  <c:v>0.67369870943111443</c:v>
                </c:pt>
                <c:pt idx="81">
                  <c:v>0.71165124909865696</c:v>
                </c:pt>
                <c:pt idx="82">
                  <c:v>0.7194980860118142</c:v>
                </c:pt>
                <c:pt idx="83">
                  <c:v>0.7133125941340408</c:v>
                </c:pt>
                <c:pt idx="84">
                  <c:v>0.71350845137539587</c:v>
                </c:pt>
                <c:pt idx="85">
                  <c:v>0.7577164140985222</c:v>
                </c:pt>
                <c:pt idx="86">
                  <c:v>0.75208220995901909</c:v>
                </c:pt>
                <c:pt idx="87">
                  <c:v>0.78496260973164533</c:v>
                </c:pt>
                <c:pt idx="88">
                  <c:v>0.79424372062060089</c:v>
                </c:pt>
                <c:pt idx="89">
                  <c:v>0.79875091699617362</c:v>
                </c:pt>
                <c:pt idx="90">
                  <c:v>0.7965541186472016</c:v>
                </c:pt>
                <c:pt idx="91">
                  <c:v>0.8001600340263243</c:v>
                </c:pt>
                <c:pt idx="92">
                  <c:v>0.80404906361558393</c:v>
                </c:pt>
                <c:pt idx="93">
                  <c:v>0.78321775343009581</c:v>
                </c:pt>
                <c:pt idx="94">
                  <c:v>0.78976328097168347</c:v>
                </c:pt>
                <c:pt idx="95">
                  <c:v>0.83577635254366922</c:v>
                </c:pt>
                <c:pt idx="96">
                  <c:v>0.8452186869795042</c:v>
                </c:pt>
                <c:pt idx="97">
                  <c:v>0.8506154932006722</c:v>
                </c:pt>
                <c:pt idx="98">
                  <c:v>0.85036768389654771</c:v>
                </c:pt>
                <c:pt idx="99">
                  <c:v>0.85977234940078406</c:v>
                </c:pt>
                <c:pt idx="100">
                  <c:v>0.86345979002680662</c:v>
                </c:pt>
                <c:pt idx="101">
                  <c:v>0.88992171636317441</c:v>
                </c:pt>
                <c:pt idx="102">
                  <c:v>0.88846739308083422</c:v>
                </c:pt>
                <c:pt idx="103">
                  <c:v>0.86444133101331833</c:v>
                </c:pt>
                <c:pt idx="104">
                  <c:v>0.85564089459480552</c:v>
                </c:pt>
                <c:pt idx="105">
                  <c:v>0.85267934246427657</c:v>
                </c:pt>
                <c:pt idx="106">
                  <c:v>0.84534701071674756</c:v>
                </c:pt>
                <c:pt idx="107">
                  <c:v>0.82265528433352419</c:v>
                </c:pt>
                <c:pt idx="108">
                  <c:v>0.82468015033674258</c:v>
                </c:pt>
                <c:pt idx="109">
                  <c:v>0.85920937492260852</c:v>
                </c:pt>
                <c:pt idx="110">
                  <c:v>0.86468809161167548</c:v>
                </c:pt>
                <c:pt idx="111">
                  <c:v>0.85064227462718645</c:v>
                </c:pt>
                <c:pt idx="112">
                  <c:v>0.84382537599955421</c:v>
                </c:pt>
                <c:pt idx="113">
                  <c:v>0.85484903916654298</c:v>
                </c:pt>
                <c:pt idx="114">
                  <c:v>0.85770504844196249</c:v>
                </c:pt>
                <c:pt idx="115">
                  <c:v>0.85659240590883057</c:v>
                </c:pt>
                <c:pt idx="116">
                  <c:v>0.84193739137006751</c:v>
                </c:pt>
                <c:pt idx="117">
                  <c:v>0.53325694142528335</c:v>
                </c:pt>
                <c:pt idx="118">
                  <c:v>0.55568135005400332</c:v>
                </c:pt>
                <c:pt idx="119">
                  <c:v>0.59269564695201282</c:v>
                </c:pt>
                <c:pt idx="120">
                  <c:v>0.74277987339093221</c:v>
                </c:pt>
                <c:pt idx="121">
                  <c:v>0.66416801353117649</c:v>
                </c:pt>
                <c:pt idx="122">
                  <c:v>0.66836239078875348</c:v>
                </c:pt>
                <c:pt idx="123">
                  <c:v>0.58394398203136799</c:v>
                </c:pt>
                <c:pt idx="124">
                  <c:v>0.56253656686422804</c:v>
                </c:pt>
                <c:pt idx="125">
                  <c:v>0.5019554350528822</c:v>
                </c:pt>
                <c:pt idx="126">
                  <c:v>0.47842701186115838</c:v>
                </c:pt>
                <c:pt idx="127">
                  <c:v>0.4614029314626949</c:v>
                </c:pt>
                <c:pt idx="128">
                  <c:v>0.45822584950276746</c:v>
                </c:pt>
                <c:pt idx="129">
                  <c:v>0.45809731097718626</c:v>
                </c:pt>
                <c:pt idx="130">
                  <c:v>0.4634874321946284</c:v>
                </c:pt>
                <c:pt idx="131">
                  <c:v>0.46465420421591619</c:v>
                </c:pt>
                <c:pt idx="132">
                  <c:v>0.46235923574806442</c:v>
                </c:pt>
                <c:pt idx="133">
                  <c:v>0.45998754965974403</c:v>
                </c:pt>
                <c:pt idx="134">
                  <c:v>0.46136585558803228</c:v>
                </c:pt>
                <c:pt idx="135">
                  <c:v>0.46093739279763485</c:v>
                </c:pt>
                <c:pt idx="136">
                  <c:v>0.45959556989244693</c:v>
                </c:pt>
                <c:pt idx="137">
                  <c:v>0.45653100474683084</c:v>
                </c:pt>
                <c:pt idx="138">
                  <c:v>0.45939915652081698</c:v>
                </c:pt>
                <c:pt idx="139">
                  <c:v>0.45808981274605715</c:v>
                </c:pt>
                <c:pt idx="140">
                  <c:v>0.46495375863200455</c:v>
                </c:pt>
                <c:pt idx="141">
                  <c:v>0.4649340500552348</c:v>
                </c:pt>
                <c:pt idx="142">
                  <c:v>0.47069778386872552</c:v>
                </c:pt>
                <c:pt idx="143">
                  <c:v>0.47258043317518417</c:v>
                </c:pt>
                <c:pt idx="144">
                  <c:v>0.47456520474257785</c:v>
                </c:pt>
                <c:pt idx="145">
                  <c:v>0.4825172112269342</c:v>
                </c:pt>
                <c:pt idx="146">
                  <c:v>0.48471943945543267</c:v>
                </c:pt>
                <c:pt idx="147">
                  <c:v>0.47597357314870431</c:v>
                </c:pt>
                <c:pt idx="148">
                  <c:v>0.47499743870613576</c:v>
                </c:pt>
                <c:pt idx="149">
                  <c:v>0.47764688986992287</c:v>
                </c:pt>
                <c:pt idx="150">
                  <c:v>0.48217488085184068</c:v>
                </c:pt>
                <c:pt idx="151">
                  <c:v>0.48458276353195318</c:v>
                </c:pt>
                <c:pt idx="152">
                  <c:v>0.46760577120031516</c:v>
                </c:pt>
                <c:pt idx="153">
                  <c:v>0.48204539570747434</c:v>
                </c:pt>
                <c:pt idx="154">
                  <c:v>0.4659711027305985</c:v>
                </c:pt>
                <c:pt idx="155">
                  <c:v>0.45441224975803501</c:v>
                </c:pt>
                <c:pt idx="156">
                  <c:v>0.4548424369962325</c:v>
                </c:pt>
                <c:pt idx="157">
                  <c:v>0.45178782349491875</c:v>
                </c:pt>
                <c:pt idx="158">
                  <c:v>0.4515538022992921</c:v>
                </c:pt>
                <c:pt idx="159">
                  <c:v>0.4563866116691242</c:v>
                </c:pt>
                <c:pt idx="160">
                  <c:v>0.45740172288426212</c:v>
                </c:pt>
                <c:pt idx="161">
                  <c:v>0.45904480100495826</c:v>
                </c:pt>
                <c:pt idx="162">
                  <c:v>0.46214616914936174</c:v>
                </c:pt>
                <c:pt idx="163">
                  <c:v>0.4638888197243497</c:v>
                </c:pt>
                <c:pt idx="164">
                  <c:v>0.46311670828539858</c:v>
                </c:pt>
                <c:pt idx="165">
                  <c:v>0.46688601899643373</c:v>
                </c:pt>
                <c:pt idx="166">
                  <c:v>0.4604162066263543</c:v>
                </c:pt>
                <c:pt idx="167">
                  <c:v>0.45701786461864063</c:v>
                </c:pt>
                <c:pt idx="168">
                  <c:v>0.45831500268236935</c:v>
                </c:pt>
                <c:pt idx="169">
                  <c:v>0.45425643474153643</c:v>
                </c:pt>
                <c:pt idx="170">
                  <c:v>0.4577313070115826</c:v>
                </c:pt>
                <c:pt idx="171">
                  <c:v>0.45883364676369748</c:v>
                </c:pt>
                <c:pt idx="172">
                  <c:v>0.46088982491816499</c:v>
                </c:pt>
                <c:pt idx="173">
                  <c:v>0.46274795953536541</c:v>
                </c:pt>
                <c:pt idx="174">
                  <c:v>0.47375326267966711</c:v>
                </c:pt>
                <c:pt idx="175">
                  <c:v>0.46832162781831643</c:v>
                </c:pt>
                <c:pt idx="176">
                  <c:v>0.47278756890310014</c:v>
                </c:pt>
                <c:pt idx="177">
                  <c:v>0.47882137585847101</c:v>
                </c:pt>
                <c:pt idx="178">
                  <c:v>0.46793861154229471</c:v>
                </c:pt>
                <c:pt idx="179">
                  <c:v>0.45740701490188607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56-4046-8518-50A97584B180}"/>
            </c:ext>
          </c:extLst>
        </c:ser>
        <c:ser>
          <c:idx val="4"/>
          <c:order val="3"/>
          <c:tx>
            <c:strRef>
              <c:f>TimeVanguardInvGrade!$A$7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TimeVanguardInvGrade!$B$7:$FY$7</c:f>
              <c:numCache>
                <c:formatCode>General</c:formatCode>
                <c:ptCount val="180"/>
                <c:pt idx="0">
                  <c:v>0.24240040791399337</c:v>
                </c:pt>
                <c:pt idx="1">
                  <c:v>0.28109123951587389</c:v>
                </c:pt>
                <c:pt idx="2">
                  <c:v>0.29563598782038231</c:v>
                </c:pt>
                <c:pt idx="3">
                  <c:v>0.25261516901060799</c:v>
                </c:pt>
                <c:pt idx="4">
                  <c:v>0.26414185650433275</c:v>
                </c:pt>
                <c:pt idx="5">
                  <c:v>0.25565843410385708</c:v>
                </c:pt>
                <c:pt idx="6">
                  <c:v>0.2521030559212753</c:v>
                </c:pt>
                <c:pt idx="7">
                  <c:v>0.2558185703473409</c:v>
                </c:pt>
                <c:pt idx="8">
                  <c:v>0.24783378781750862</c:v>
                </c:pt>
                <c:pt idx="9">
                  <c:v>0.28087947722247597</c:v>
                </c:pt>
                <c:pt idx="10">
                  <c:v>0.287663331676552</c:v>
                </c:pt>
                <c:pt idx="11">
                  <c:v>0.29229928101455821</c:v>
                </c:pt>
                <c:pt idx="12">
                  <c:v>0.28086583745994037</c:v>
                </c:pt>
                <c:pt idx="13">
                  <c:v>0.27330285530804793</c:v>
                </c:pt>
                <c:pt idx="14">
                  <c:v>0.26268223037400384</c:v>
                </c:pt>
                <c:pt idx="15">
                  <c:v>0.30689326175039922</c:v>
                </c:pt>
                <c:pt idx="16">
                  <c:v>0.32178945981046353</c:v>
                </c:pt>
                <c:pt idx="17">
                  <c:v>0.31816109220421146</c:v>
                </c:pt>
                <c:pt idx="18">
                  <c:v>0.3501385304580012</c:v>
                </c:pt>
                <c:pt idx="19">
                  <c:v>0.35392746223505772</c:v>
                </c:pt>
                <c:pt idx="20">
                  <c:v>0.34132964908822416</c:v>
                </c:pt>
                <c:pt idx="21">
                  <c:v>0.35422078557046527</c:v>
                </c:pt>
                <c:pt idx="22">
                  <c:v>0.36281578182565205</c:v>
                </c:pt>
                <c:pt idx="23">
                  <c:v>0.36232234008441111</c:v>
                </c:pt>
                <c:pt idx="24">
                  <c:v>0.37555115086517604</c:v>
                </c:pt>
                <c:pt idx="25">
                  <c:v>0.42581002399530465</c:v>
                </c:pt>
                <c:pt idx="26">
                  <c:v>0.43606853824338654</c:v>
                </c:pt>
                <c:pt idx="27">
                  <c:v>0.42866747205789124</c:v>
                </c:pt>
                <c:pt idx="28">
                  <c:v>0.43133320072134801</c:v>
                </c:pt>
                <c:pt idx="29">
                  <c:v>0.44021287121939395</c:v>
                </c:pt>
                <c:pt idx="30">
                  <c:v>0.43920200533139619</c:v>
                </c:pt>
                <c:pt idx="31">
                  <c:v>0.45235151756557695</c:v>
                </c:pt>
                <c:pt idx="32">
                  <c:v>0.45760895222383341</c:v>
                </c:pt>
                <c:pt idx="33">
                  <c:v>0.42230133003505133</c:v>
                </c:pt>
                <c:pt idx="34">
                  <c:v>0.43117590142356571</c:v>
                </c:pt>
                <c:pt idx="35">
                  <c:v>0.42793237508935644</c:v>
                </c:pt>
                <c:pt idx="36">
                  <c:v>0.43954061651588089</c:v>
                </c:pt>
                <c:pt idx="37">
                  <c:v>0.44241555929180998</c:v>
                </c:pt>
                <c:pt idx="38">
                  <c:v>0.44512374181788783</c:v>
                </c:pt>
                <c:pt idx="39">
                  <c:v>0.44876293035935733</c:v>
                </c:pt>
                <c:pt idx="40">
                  <c:v>0.44614393469256791</c:v>
                </c:pt>
                <c:pt idx="41">
                  <c:v>0.45036669840982196</c:v>
                </c:pt>
                <c:pt idx="42">
                  <c:v>0.458283389169444</c:v>
                </c:pt>
                <c:pt idx="43">
                  <c:v>0.47330594751003335</c:v>
                </c:pt>
                <c:pt idx="44">
                  <c:v>0.47659163873700483</c:v>
                </c:pt>
                <c:pt idx="45">
                  <c:v>0.47453562343254724</c:v>
                </c:pt>
                <c:pt idx="46">
                  <c:v>0.44448186580111448</c:v>
                </c:pt>
                <c:pt idx="47">
                  <c:v>0.45545630084254368</c:v>
                </c:pt>
                <c:pt idx="48">
                  <c:v>0.45501696614354092</c:v>
                </c:pt>
                <c:pt idx="49">
                  <c:v>0.45745644876925184</c:v>
                </c:pt>
                <c:pt idx="50">
                  <c:v>0.46488345340040949</c:v>
                </c:pt>
                <c:pt idx="51">
                  <c:v>0.44859091366938897</c:v>
                </c:pt>
                <c:pt idx="52">
                  <c:v>0.45265595203736503</c:v>
                </c:pt>
                <c:pt idx="53">
                  <c:v>0.43111412043724245</c:v>
                </c:pt>
                <c:pt idx="54">
                  <c:v>0.42328079317313422</c:v>
                </c:pt>
                <c:pt idx="55">
                  <c:v>0.38663716040616225</c:v>
                </c:pt>
                <c:pt idx="56">
                  <c:v>0.39582137394108435</c:v>
                </c:pt>
                <c:pt idx="57">
                  <c:v>0.39997912692301579</c:v>
                </c:pt>
                <c:pt idx="58">
                  <c:v>0.4025785730005762</c:v>
                </c:pt>
                <c:pt idx="59">
                  <c:v>0.4010859603603727</c:v>
                </c:pt>
                <c:pt idx="60">
                  <c:v>0.37091296714456046</c:v>
                </c:pt>
                <c:pt idx="61">
                  <c:v>0.36761883743219775</c:v>
                </c:pt>
                <c:pt idx="62">
                  <c:v>0.34974978171814097</c:v>
                </c:pt>
                <c:pt idx="63">
                  <c:v>0.35729147778517589</c:v>
                </c:pt>
                <c:pt idx="64">
                  <c:v>0.32704684564823955</c:v>
                </c:pt>
                <c:pt idx="65">
                  <c:v>0.3277473285097306</c:v>
                </c:pt>
                <c:pt idx="66">
                  <c:v>0.32115562593292224</c:v>
                </c:pt>
                <c:pt idx="67">
                  <c:v>0.32117370962039848</c:v>
                </c:pt>
                <c:pt idx="68">
                  <c:v>0.32126326608566097</c:v>
                </c:pt>
                <c:pt idx="69">
                  <c:v>0.31968315828883892</c:v>
                </c:pt>
                <c:pt idx="70">
                  <c:v>0.32105061479720348</c:v>
                </c:pt>
                <c:pt idx="71">
                  <c:v>0.32633260740232223</c:v>
                </c:pt>
                <c:pt idx="72">
                  <c:v>0.32520779599724203</c:v>
                </c:pt>
                <c:pt idx="73">
                  <c:v>0.32283252533328538</c:v>
                </c:pt>
                <c:pt idx="74">
                  <c:v>0.29172501721084976</c:v>
                </c:pt>
                <c:pt idx="75">
                  <c:v>0.28650718767579392</c:v>
                </c:pt>
                <c:pt idx="76">
                  <c:v>0.28371689425814789</c:v>
                </c:pt>
                <c:pt idx="77">
                  <c:v>0.29537155134572285</c:v>
                </c:pt>
                <c:pt idx="78">
                  <c:v>0.28724900082237492</c:v>
                </c:pt>
                <c:pt idx="79">
                  <c:v>0.27673708366979172</c:v>
                </c:pt>
                <c:pt idx="80">
                  <c:v>0.27526220549427105</c:v>
                </c:pt>
                <c:pt idx="81">
                  <c:v>0.23614662383278659</c:v>
                </c:pt>
                <c:pt idx="82">
                  <c:v>0.22576552023094398</c:v>
                </c:pt>
                <c:pt idx="83">
                  <c:v>0.23395044059856751</c:v>
                </c:pt>
                <c:pt idx="84">
                  <c:v>0.23344460790259264</c:v>
                </c:pt>
                <c:pt idx="85">
                  <c:v>0.17358343160692416</c:v>
                </c:pt>
                <c:pt idx="86">
                  <c:v>0.18039848716305998</c:v>
                </c:pt>
                <c:pt idx="87">
                  <c:v>0.14346620913232211</c:v>
                </c:pt>
                <c:pt idx="88">
                  <c:v>0.13430083090897976</c:v>
                </c:pt>
                <c:pt idx="89">
                  <c:v>0.12900365169235223</c:v>
                </c:pt>
                <c:pt idx="90">
                  <c:v>0.13288287988919664</c:v>
                </c:pt>
                <c:pt idx="91">
                  <c:v>0.12736954702336808</c:v>
                </c:pt>
                <c:pt idx="92">
                  <c:v>0.12094515227477894</c:v>
                </c:pt>
                <c:pt idx="93">
                  <c:v>0.15335334559846023</c:v>
                </c:pt>
                <c:pt idx="94">
                  <c:v>0.14722925615430316</c:v>
                </c:pt>
                <c:pt idx="95">
                  <c:v>9.4258425414671165E-2</c:v>
                </c:pt>
                <c:pt idx="96">
                  <c:v>8.6226569096943165E-2</c:v>
                </c:pt>
                <c:pt idx="97">
                  <c:v>7.657849502554448E-2</c:v>
                </c:pt>
                <c:pt idx="98">
                  <c:v>8.1748658572245683E-2</c:v>
                </c:pt>
                <c:pt idx="99">
                  <c:v>6.8190761711990275E-2</c:v>
                </c:pt>
                <c:pt idx="100">
                  <c:v>6.4178479574353353E-2</c:v>
                </c:pt>
                <c:pt idx="101">
                  <c:v>3.8067271366833265E-2</c:v>
                </c:pt>
                <c:pt idx="102">
                  <c:v>3.5545371959937996E-2</c:v>
                </c:pt>
                <c:pt idx="103">
                  <c:v>7.0285430361109319E-2</c:v>
                </c:pt>
                <c:pt idx="104">
                  <c:v>7.0089316077029853E-2</c:v>
                </c:pt>
                <c:pt idx="105">
                  <c:v>9.2750762846804627E-2</c:v>
                </c:pt>
                <c:pt idx="106">
                  <c:v>9.8123996467678762E-2</c:v>
                </c:pt>
                <c:pt idx="107">
                  <c:v>5.6752599633861471E-2</c:v>
                </c:pt>
                <c:pt idx="108">
                  <c:v>5.19941533439345E-2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6.2860039963047957E-3</c:v>
                </c:pt>
                <c:pt idx="116">
                  <c:v>2.614630238536321E-2</c:v>
                </c:pt>
                <c:pt idx="117">
                  <c:v>0.41646639934429586</c:v>
                </c:pt>
                <c:pt idx="118">
                  <c:v>0.33590758779005092</c:v>
                </c:pt>
                <c:pt idx="119">
                  <c:v>0.30366655496302869</c:v>
                </c:pt>
                <c:pt idx="120">
                  <c:v>0.10308559274910896</c:v>
                </c:pt>
                <c:pt idx="121">
                  <c:v>0.2176807351946794</c:v>
                </c:pt>
                <c:pt idx="122">
                  <c:v>0.20897397577949095</c:v>
                </c:pt>
                <c:pt idx="123">
                  <c:v>0.32029040920766816</c:v>
                </c:pt>
                <c:pt idx="124">
                  <c:v>0.34137798189540247</c:v>
                </c:pt>
                <c:pt idx="125">
                  <c:v>0.39799564428884243</c:v>
                </c:pt>
                <c:pt idx="126">
                  <c:v>0.43207158432919995</c:v>
                </c:pt>
                <c:pt idx="127">
                  <c:v>0.45209363605109265</c:v>
                </c:pt>
                <c:pt idx="128">
                  <c:v>0.45259822265740113</c:v>
                </c:pt>
                <c:pt idx="129">
                  <c:v>0.45617872817509159</c:v>
                </c:pt>
                <c:pt idx="130">
                  <c:v>0.44684622425840748</c:v>
                </c:pt>
                <c:pt idx="131">
                  <c:v>0.43884045372567948</c:v>
                </c:pt>
                <c:pt idx="132">
                  <c:v>0.44285932397789085</c:v>
                </c:pt>
                <c:pt idx="133">
                  <c:v>0.44224575863624171</c:v>
                </c:pt>
                <c:pt idx="134">
                  <c:v>0.43905130914808271</c:v>
                </c:pt>
                <c:pt idx="135">
                  <c:v>0.43936760044569212</c:v>
                </c:pt>
                <c:pt idx="136">
                  <c:v>0.44251181934994893</c:v>
                </c:pt>
                <c:pt idx="137">
                  <c:v>0.43972962463771864</c:v>
                </c:pt>
                <c:pt idx="138">
                  <c:v>0.43989215047910979</c:v>
                </c:pt>
                <c:pt idx="139">
                  <c:v>0.44039054439290276</c:v>
                </c:pt>
                <c:pt idx="140">
                  <c:v>0.4404951809691553</c:v>
                </c:pt>
                <c:pt idx="141">
                  <c:v>0.41986253822536107</c:v>
                </c:pt>
                <c:pt idx="142">
                  <c:v>0.41461017824440971</c:v>
                </c:pt>
                <c:pt idx="143">
                  <c:v>0.411120513990962</c:v>
                </c:pt>
                <c:pt idx="144">
                  <c:v>0.40067580490039156</c:v>
                </c:pt>
                <c:pt idx="145">
                  <c:v>0.38159851921413057</c:v>
                </c:pt>
                <c:pt idx="146">
                  <c:v>0.37316963188424129</c:v>
                </c:pt>
                <c:pt idx="147">
                  <c:v>0.38102869504880921</c:v>
                </c:pt>
                <c:pt idx="148">
                  <c:v>0.3775903665485934</c:v>
                </c:pt>
                <c:pt idx="149">
                  <c:v>0.37253674173879742</c:v>
                </c:pt>
                <c:pt idx="150">
                  <c:v>0.36929486492090641</c:v>
                </c:pt>
                <c:pt idx="151">
                  <c:v>0.36381084458409835</c:v>
                </c:pt>
                <c:pt idx="152">
                  <c:v>0.37289398865942114</c:v>
                </c:pt>
                <c:pt idx="153">
                  <c:v>0.35473722590014839</c:v>
                </c:pt>
                <c:pt idx="154">
                  <c:v>0.38088494110298965</c:v>
                </c:pt>
                <c:pt idx="155">
                  <c:v>0.3890673121290687</c:v>
                </c:pt>
                <c:pt idx="156">
                  <c:v>0.38186905688178058</c:v>
                </c:pt>
                <c:pt idx="157">
                  <c:v>0.38537826585920665</c:v>
                </c:pt>
                <c:pt idx="158">
                  <c:v>0.38673222074121688</c:v>
                </c:pt>
                <c:pt idx="159">
                  <c:v>0.38275110309663068</c:v>
                </c:pt>
                <c:pt idx="160">
                  <c:v>0.38261408080049936</c:v>
                </c:pt>
                <c:pt idx="161">
                  <c:v>0.38404648617711562</c:v>
                </c:pt>
                <c:pt idx="162">
                  <c:v>0.38069920745769215</c:v>
                </c:pt>
                <c:pt idx="163">
                  <c:v>0.38922444763825886</c:v>
                </c:pt>
                <c:pt idx="164">
                  <c:v>0.39089661988594454</c:v>
                </c:pt>
                <c:pt idx="165">
                  <c:v>0.38440983163894793</c:v>
                </c:pt>
                <c:pt idx="166">
                  <c:v>0.39716840313397583</c:v>
                </c:pt>
                <c:pt idx="167">
                  <c:v>0.40525411344574475</c:v>
                </c:pt>
                <c:pt idx="168">
                  <c:v>0.40939187543426414</c:v>
                </c:pt>
                <c:pt idx="169">
                  <c:v>0.41809517264237372</c:v>
                </c:pt>
                <c:pt idx="170">
                  <c:v>0.41166278745476198</c:v>
                </c:pt>
                <c:pt idx="171">
                  <c:v>0.41074747470807149</c:v>
                </c:pt>
                <c:pt idx="172">
                  <c:v>0.40249175217018424</c:v>
                </c:pt>
                <c:pt idx="173">
                  <c:v>0.39718146492233009</c:v>
                </c:pt>
                <c:pt idx="174">
                  <c:v>0.38029911080371859</c:v>
                </c:pt>
                <c:pt idx="175">
                  <c:v>0.3906092338437161</c:v>
                </c:pt>
                <c:pt idx="176">
                  <c:v>0.37995602369877496</c:v>
                </c:pt>
                <c:pt idx="177">
                  <c:v>0.38352641321639303</c:v>
                </c:pt>
                <c:pt idx="178">
                  <c:v>0.41875756068482661</c:v>
                </c:pt>
                <c:pt idx="179">
                  <c:v>0.42456337412467077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56-4046-8518-50A97584B180}"/>
            </c:ext>
          </c:extLst>
        </c:ser>
        <c:ser>
          <c:idx val="5"/>
          <c:order val="4"/>
          <c:tx>
            <c:strRef>
              <c:f>TimeVanguardInvGrade!$A$8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56-4046-8518-50A97584B180}"/>
            </c:ext>
          </c:extLst>
        </c:ser>
        <c:ser>
          <c:idx val="6"/>
          <c:order val="5"/>
          <c:tx>
            <c:strRef>
              <c:f>TimeVanguardInvGrade!$A$9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TimeVanguardInvGrade!$B$9:$FY$9</c:f>
              <c:numCache>
                <c:formatCode>General</c:formatCode>
                <c:ptCount val="180"/>
                <c:pt idx="0">
                  <c:v>0.29048342269612176</c:v>
                </c:pt>
                <c:pt idx="1">
                  <c:v>0.28412376337393519</c:v>
                </c:pt>
                <c:pt idx="2">
                  <c:v>0.31279896725620054</c:v>
                </c:pt>
                <c:pt idx="3">
                  <c:v>0.30497983195291978</c:v>
                </c:pt>
                <c:pt idx="4">
                  <c:v>0.29764173831631552</c:v>
                </c:pt>
                <c:pt idx="5">
                  <c:v>0.32655052629964443</c:v>
                </c:pt>
                <c:pt idx="6">
                  <c:v>0.35611241420848216</c:v>
                </c:pt>
                <c:pt idx="7">
                  <c:v>0.32023238988224134</c:v>
                </c:pt>
                <c:pt idx="8">
                  <c:v>0.32918740389933909</c:v>
                </c:pt>
                <c:pt idx="9">
                  <c:v>0.30404723526510752</c:v>
                </c:pt>
                <c:pt idx="10">
                  <c:v>0.30600697793552617</c:v>
                </c:pt>
                <c:pt idx="11">
                  <c:v>0.32093481845285021</c:v>
                </c:pt>
                <c:pt idx="12">
                  <c:v>0.31375981187825508</c:v>
                </c:pt>
                <c:pt idx="13">
                  <c:v>0.32202277097823173</c:v>
                </c:pt>
                <c:pt idx="14">
                  <c:v>0.31815659557266779</c:v>
                </c:pt>
                <c:pt idx="15">
                  <c:v>0.30412346797116041</c:v>
                </c:pt>
                <c:pt idx="16">
                  <c:v>0.29476951390844275</c:v>
                </c:pt>
                <c:pt idx="17">
                  <c:v>0.30543385461002814</c:v>
                </c:pt>
                <c:pt idx="18">
                  <c:v>0.2874037751328013</c:v>
                </c:pt>
                <c:pt idx="19">
                  <c:v>0.29559529289417741</c:v>
                </c:pt>
                <c:pt idx="20">
                  <c:v>0.30664703391278314</c:v>
                </c:pt>
                <c:pt idx="21">
                  <c:v>0.3099866880946277</c:v>
                </c:pt>
                <c:pt idx="22">
                  <c:v>0.30808915029040124</c:v>
                </c:pt>
                <c:pt idx="23">
                  <c:v>0.3107000287463707</c:v>
                </c:pt>
                <c:pt idx="24">
                  <c:v>0.29172400815165583</c:v>
                </c:pt>
                <c:pt idx="25">
                  <c:v>0.24849459602482898</c:v>
                </c:pt>
                <c:pt idx="26">
                  <c:v>0.23807799364816054</c:v>
                </c:pt>
                <c:pt idx="27">
                  <c:v>0.26454864441680365</c:v>
                </c:pt>
                <c:pt idx="28">
                  <c:v>0.29015279199349464</c:v>
                </c:pt>
                <c:pt idx="29">
                  <c:v>0.28062891458180328</c:v>
                </c:pt>
                <c:pt idx="30">
                  <c:v>0.27833879580928</c:v>
                </c:pt>
                <c:pt idx="31">
                  <c:v>0.27003819312406102</c:v>
                </c:pt>
                <c:pt idx="32">
                  <c:v>0.27395829093187318</c:v>
                </c:pt>
                <c:pt idx="33">
                  <c:v>0.33964055202136301</c:v>
                </c:pt>
                <c:pt idx="34">
                  <c:v>0.32645317230373627</c:v>
                </c:pt>
                <c:pt idx="35">
                  <c:v>0.32342131383319528</c:v>
                </c:pt>
                <c:pt idx="36">
                  <c:v>0.35582372492221953</c:v>
                </c:pt>
                <c:pt idx="37">
                  <c:v>0.35870825720967769</c:v>
                </c:pt>
                <c:pt idx="38">
                  <c:v>0.35078154919196741</c:v>
                </c:pt>
                <c:pt idx="39">
                  <c:v>0.32900159392971973</c:v>
                </c:pt>
                <c:pt idx="40">
                  <c:v>0.31701466955465324</c:v>
                </c:pt>
                <c:pt idx="41">
                  <c:v>0.31245962058536453</c:v>
                </c:pt>
                <c:pt idx="42">
                  <c:v>0.29514813358886249</c:v>
                </c:pt>
                <c:pt idx="43">
                  <c:v>0.30440655730937727</c:v>
                </c:pt>
                <c:pt idx="44">
                  <c:v>0.2866956540719352</c:v>
                </c:pt>
                <c:pt idx="45">
                  <c:v>0.29166766011399187</c:v>
                </c:pt>
                <c:pt idx="46">
                  <c:v>0.28247270116387885</c:v>
                </c:pt>
                <c:pt idx="47">
                  <c:v>0.29281119970784364</c:v>
                </c:pt>
                <c:pt idx="48">
                  <c:v>0.29587933662231986</c:v>
                </c:pt>
                <c:pt idx="49">
                  <c:v>0.28822142810881751</c:v>
                </c:pt>
                <c:pt idx="50">
                  <c:v>0.26528742608985367</c:v>
                </c:pt>
                <c:pt idx="51">
                  <c:v>0.2768841442388647</c:v>
                </c:pt>
                <c:pt idx="52">
                  <c:v>0.25939448648961971</c:v>
                </c:pt>
                <c:pt idx="53">
                  <c:v>0.22364708173230588</c:v>
                </c:pt>
                <c:pt idx="54">
                  <c:v>0.23470573732806291</c:v>
                </c:pt>
                <c:pt idx="55">
                  <c:v>9.6368054977260295E-2</c:v>
                </c:pt>
                <c:pt idx="56">
                  <c:v>9.955317423480968E-2</c:v>
                </c:pt>
                <c:pt idx="57">
                  <c:v>7.663880653512424E-2</c:v>
                </c:pt>
                <c:pt idx="58">
                  <c:v>4.3982430889492913E-2</c:v>
                </c:pt>
                <c:pt idx="59">
                  <c:v>4.4067873531270896E-2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6.39484453251438E-3</c:v>
                </c:pt>
                <c:pt idx="103">
                  <c:v>3.1736214537452564E-3</c:v>
                </c:pt>
                <c:pt idx="104">
                  <c:v>1.0863316217530759E-2</c:v>
                </c:pt>
                <c:pt idx="105">
                  <c:v>5.4353900130147488E-4</c:v>
                </c:pt>
                <c:pt idx="106">
                  <c:v>0</c:v>
                </c:pt>
                <c:pt idx="107">
                  <c:v>5.5137442123870645E-2</c:v>
                </c:pt>
                <c:pt idx="108">
                  <c:v>5.6614577206282948E-2</c:v>
                </c:pt>
                <c:pt idx="109">
                  <c:v>3.042134352994082E-2</c:v>
                </c:pt>
                <c:pt idx="110">
                  <c:v>2.2919996962398773E-2</c:v>
                </c:pt>
                <c:pt idx="111">
                  <c:v>3.7573722242778822E-2</c:v>
                </c:pt>
                <c:pt idx="112">
                  <c:v>3.7519401820048759E-2</c:v>
                </c:pt>
                <c:pt idx="113">
                  <c:v>2.7538076013862125E-2</c:v>
                </c:pt>
                <c:pt idx="114">
                  <c:v>2.2878733888179775E-2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56-4046-8518-50A97584B180}"/>
            </c:ext>
          </c:extLst>
        </c:ser>
        <c:ser>
          <c:idx val="7"/>
          <c:order val="6"/>
          <c:tx>
            <c:strRef>
              <c:f>TimeVanguardInvGrade!$A$10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TimeVanguardInvGrade!$B$10:$FY$10</c:f>
              <c:numCache>
                <c:formatCode>General</c:formatCode>
                <c:ptCount val="180"/>
                <c:pt idx="0">
                  <c:v>5.22901164441007E-3</c:v>
                </c:pt>
                <c:pt idx="1">
                  <c:v>4.9853190513398085E-3</c:v>
                </c:pt>
                <c:pt idx="2">
                  <c:v>5.4045099819266694E-3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2.901984151284267E-3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56-4046-8518-50A97584B180}"/>
            </c:ext>
          </c:extLst>
        </c:ser>
        <c:ser>
          <c:idx val="8"/>
          <c:order val="7"/>
          <c:tx>
            <c:strRef>
              <c:f>TimeVanguardInvGrade!$A$11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6.7270856953149577E-2</c:v>
                </c:pt>
                <c:pt idx="110">
                  <c:v>6.5248772553752957E-2</c:v>
                </c:pt>
                <c:pt idx="111">
                  <c:v>6.9440932810287681E-2</c:v>
                </c:pt>
                <c:pt idx="112">
                  <c:v>8.3417514274789689E-2</c:v>
                </c:pt>
                <c:pt idx="113">
                  <c:v>7.5923242569173655E-2</c:v>
                </c:pt>
                <c:pt idx="114">
                  <c:v>7.8778948921974776E-2</c:v>
                </c:pt>
                <c:pt idx="115">
                  <c:v>0.10022457166617189</c:v>
                </c:pt>
                <c:pt idx="116">
                  <c:v>9.5212808240983784E-2</c:v>
                </c:pt>
                <c:pt idx="117">
                  <c:v>3.1325946192217159E-2</c:v>
                </c:pt>
                <c:pt idx="118">
                  <c:v>1.8302854284608323E-2</c:v>
                </c:pt>
                <c:pt idx="119">
                  <c:v>3.1368472952378484E-3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56-4046-8518-50A97584B180}"/>
            </c:ext>
          </c:extLst>
        </c:ser>
        <c:ser>
          <c:idx val="9"/>
          <c:order val="8"/>
          <c:tx>
            <c:strRef>
              <c:f>TimeVanguardInvGrade!$A$12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TimeVanguardInvGrade!$B$12:$FY$12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1.2844346011798975E-2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1.2831854385804002E-2</c:v>
                </c:pt>
                <c:pt idx="61">
                  <c:v>1.1930902290079263E-2</c:v>
                </c:pt>
                <c:pt idx="62">
                  <c:v>1.099435969204955E-2</c:v>
                </c:pt>
                <c:pt idx="63">
                  <c:v>7.5194725097495136E-3</c:v>
                </c:pt>
                <c:pt idx="64">
                  <c:v>6.0873246487348964E-3</c:v>
                </c:pt>
                <c:pt idx="65">
                  <c:v>3.3909090279904391E-3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1.9210307564631022E-2</c:v>
                </c:pt>
                <c:pt idx="86">
                  <c:v>2.4025648457269653E-2</c:v>
                </c:pt>
                <c:pt idx="87">
                  <c:v>3.4347369149768714E-2</c:v>
                </c:pt>
                <c:pt idx="88">
                  <c:v>3.0301068073290943E-2</c:v>
                </c:pt>
                <c:pt idx="89">
                  <c:v>3.412634158850078E-2</c:v>
                </c:pt>
                <c:pt idx="90">
                  <c:v>3.0875818206019714E-2</c:v>
                </c:pt>
                <c:pt idx="91">
                  <c:v>3.1138984215063684E-2</c:v>
                </c:pt>
                <c:pt idx="92">
                  <c:v>3.3758466300646023E-2</c:v>
                </c:pt>
                <c:pt idx="93">
                  <c:v>3.4205527375610112E-2</c:v>
                </c:pt>
                <c:pt idx="94">
                  <c:v>2.7589623630825788E-2</c:v>
                </c:pt>
                <c:pt idx="95">
                  <c:v>3.7087812539567201E-2</c:v>
                </c:pt>
                <c:pt idx="96">
                  <c:v>3.1908443465199027E-2</c:v>
                </c:pt>
                <c:pt idx="97">
                  <c:v>3.3630042958372186E-2</c:v>
                </c:pt>
                <c:pt idx="98">
                  <c:v>1.5546861692558575E-2</c:v>
                </c:pt>
                <c:pt idx="99">
                  <c:v>1.8101222748273207E-2</c:v>
                </c:pt>
                <c:pt idx="100">
                  <c:v>1.6972687347036573E-2</c:v>
                </c:pt>
                <c:pt idx="101">
                  <c:v>0</c:v>
                </c:pt>
                <c:pt idx="102">
                  <c:v>1.0884770793838209E-4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1.0263842508593309E-2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56-4046-8518-50A97584B180}"/>
            </c:ext>
          </c:extLst>
        </c:ser>
        <c:ser>
          <c:idx val="10"/>
          <c:order val="9"/>
          <c:tx>
            <c:strRef>
              <c:f>TimeVanguardInvGrade!$A$13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3.8696150297126771E-5</c:v>
                </c:pt>
                <c:pt idx="114">
                  <c:v>0</c:v>
                </c:pt>
                <c:pt idx="115">
                  <c:v>1.731723531448039E-2</c:v>
                </c:pt>
                <c:pt idx="116">
                  <c:v>1.2416982784389154E-2</c:v>
                </c:pt>
                <c:pt idx="117">
                  <c:v>0</c:v>
                </c:pt>
                <c:pt idx="118">
                  <c:v>4.7984533325221339E-2</c:v>
                </c:pt>
                <c:pt idx="119">
                  <c:v>4.7290909698076269E-2</c:v>
                </c:pt>
                <c:pt idx="120">
                  <c:v>5.4764739240106865E-2</c:v>
                </c:pt>
                <c:pt idx="121">
                  <c:v>4.6950895092751285E-2</c:v>
                </c:pt>
                <c:pt idx="122">
                  <c:v>4.8248192213673831E-2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56-4046-8518-50A97584B180}"/>
            </c:ext>
          </c:extLst>
        </c:ser>
        <c:ser>
          <c:idx val="11"/>
          <c:order val="10"/>
          <c:tx>
            <c:strRef>
              <c:f>TimeVanguardInvGrade!$A$14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3.8481199525287326E-4</c:v>
                </c:pt>
                <c:pt idx="10">
                  <c:v>1.6527225097388986E-3</c:v>
                </c:pt>
                <c:pt idx="11">
                  <c:v>1.0974946009765618E-3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6.4026244782016436E-4</c:v>
                </c:pt>
                <c:pt idx="61">
                  <c:v>0</c:v>
                </c:pt>
                <c:pt idx="62">
                  <c:v>1.8619395163833332E-3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2.5175531366679122E-2</c:v>
                </c:pt>
                <c:pt idx="75">
                  <c:v>1.8637724514980501E-2</c:v>
                </c:pt>
                <c:pt idx="76">
                  <c:v>1.9823936815712206E-2</c:v>
                </c:pt>
                <c:pt idx="77">
                  <c:v>1.6687802431431219E-2</c:v>
                </c:pt>
                <c:pt idx="78">
                  <c:v>1.3060933258793489E-2</c:v>
                </c:pt>
                <c:pt idx="79">
                  <c:v>1.6024184892362073E-2</c:v>
                </c:pt>
                <c:pt idx="80">
                  <c:v>2.2967276804074024E-2</c:v>
                </c:pt>
                <c:pt idx="81">
                  <c:v>3.190661505413761E-2</c:v>
                </c:pt>
                <c:pt idx="82">
                  <c:v>3.0726098437808217E-2</c:v>
                </c:pt>
                <c:pt idx="83">
                  <c:v>2.6344276693776782E-2</c:v>
                </c:pt>
                <c:pt idx="84">
                  <c:v>2.6032012770021998E-2</c:v>
                </c:pt>
                <c:pt idx="85">
                  <c:v>1.863457169551869E-2</c:v>
                </c:pt>
                <c:pt idx="86">
                  <c:v>1.9283985168793785E-2</c:v>
                </c:pt>
                <c:pt idx="87">
                  <c:v>2.1626046285143481E-2</c:v>
                </c:pt>
                <c:pt idx="88">
                  <c:v>2.2954780343949238E-2</c:v>
                </c:pt>
                <c:pt idx="89">
                  <c:v>2.2239727014628938E-2</c:v>
                </c:pt>
                <c:pt idx="90">
                  <c:v>2.4298908253424685E-2</c:v>
                </c:pt>
                <c:pt idx="91">
                  <c:v>3.1222439247430345E-2</c:v>
                </c:pt>
                <c:pt idx="92">
                  <c:v>3.2478952605068508E-2</c:v>
                </c:pt>
                <c:pt idx="93">
                  <c:v>2.3555723452819668E-2</c:v>
                </c:pt>
                <c:pt idx="94">
                  <c:v>3.1815205489432515E-2</c:v>
                </c:pt>
                <c:pt idx="95">
                  <c:v>2.2983485273843914E-2</c:v>
                </c:pt>
                <c:pt idx="96">
                  <c:v>2.8070113451711176E-2</c:v>
                </c:pt>
                <c:pt idx="97">
                  <c:v>2.9759813172824383E-2</c:v>
                </c:pt>
                <c:pt idx="98">
                  <c:v>4.3705833059218796E-2</c:v>
                </c:pt>
                <c:pt idx="99">
                  <c:v>4.1770140454978635E-2</c:v>
                </c:pt>
                <c:pt idx="100">
                  <c:v>4.0591394742313089E-2</c:v>
                </c:pt>
                <c:pt idx="101">
                  <c:v>6.5116355810202295E-2</c:v>
                </c:pt>
                <c:pt idx="102">
                  <c:v>5.7764984820642691E-2</c:v>
                </c:pt>
                <c:pt idx="103">
                  <c:v>4.336552434904507E-3</c:v>
                </c:pt>
                <c:pt idx="104">
                  <c:v>4.6641354976014703E-3</c:v>
                </c:pt>
                <c:pt idx="105">
                  <c:v>0</c:v>
                </c:pt>
                <c:pt idx="106">
                  <c:v>3.0929912244957562E-2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56-4046-8518-50A97584B180}"/>
            </c:ext>
          </c:extLst>
        </c:ser>
        <c:ser>
          <c:idx val="12"/>
          <c:order val="11"/>
          <c:tx>
            <c:strRef>
              <c:f>TimeVanguardInvGrade!$A$15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TimeVanguardInvGrade!$B$15:$FY$15</c:f>
              <c:numCache>
                <c:formatCode>General</c:formatCode>
                <c:ptCount val="180"/>
                <c:pt idx="0">
                  <c:v>2.2784231030685612E-2</c:v>
                </c:pt>
                <c:pt idx="1">
                  <c:v>1.3669834015920446E-2</c:v>
                </c:pt>
                <c:pt idx="2">
                  <c:v>2.1986987628416078E-3</c:v>
                </c:pt>
                <c:pt idx="3">
                  <c:v>2.1272228637482113E-2</c:v>
                </c:pt>
                <c:pt idx="4">
                  <c:v>1.4733850444438925E-2</c:v>
                </c:pt>
                <c:pt idx="5">
                  <c:v>1.3352094529363775E-2</c:v>
                </c:pt>
                <c:pt idx="6">
                  <c:v>1.1883233118510698E-2</c:v>
                </c:pt>
                <c:pt idx="7">
                  <c:v>1.2280486756186986E-2</c:v>
                </c:pt>
                <c:pt idx="8">
                  <c:v>1.29024970173064E-2</c:v>
                </c:pt>
                <c:pt idx="9">
                  <c:v>8.9680860894926964E-3</c:v>
                </c:pt>
                <c:pt idx="10">
                  <c:v>5.9772075052634595E-3</c:v>
                </c:pt>
                <c:pt idx="11">
                  <c:v>4.8668469383841154E-3</c:v>
                </c:pt>
                <c:pt idx="12">
                  <c:v>8.5843820481389249E-3</c:v>
                </c:pt>
                <c:pt idx="13">
                  <c:v>1.2034111177631753E-2</c:v>
                </c:pt>
                <c:pt idx="14">
                  <c:v>6.0360654935850896E-3</c:v>
                </c:pt>
                <c:pt idx="15">
                  <c:v>7.2308760863274372E-3</c:v>
                </c:pt>
                <c:pt idx="16">
                  <c:v>2.7361393531942363E-3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1.9353881574039878E-3</c:v>
                </c:pt>
                <c:pt idx="34">
                  <c:v>2.4809826301247779E-3</c:v>
                </c:pt>
                <c:pt idx="35">
                  <c:v>1.8526545030916591E-3</c:v>
                </c:pt>
                <c:pt idx="36">
                  <c:v>6.2348950356739818E-3</c:v>
                </c:pt>
                <c:pt idx="37">
                  <c:v>5.6300725410088868E-3</c:v>
                </c:pt>
                <c:pt idx="38">
                  <c:v>6.2240785799141697E-3</c:v>
                </c:pt>
                <c:pt idx="39">
                  <c:v>0</c:v>
                </c:pt>
                <c:pt idx="40">
                  <c:v>0</c:v>
                </c:pt>
                <c:pt idx="41">
                  <c:v>8.2309017352721631E-4</c:v>
                </c:pt>
                <c:pt idx="42">
                  <c:v>1.3815610084481668E-3</c:v>
                </c:pt>
                <c:pt idx="43">
                  <c:v>5.757261769211112E-3</c:v>
                </c:pt>
                <c:pt idx="44">
                  <c:v>8.0279484950017931E-3</c:v>
                </c:pt>
                <c:pt idx="45">
                  <c:v>9.3616602792262645E-3</c:v>
                </c:pt>
                <c:pt idx="46">
                  <c:v>1.2489192377681728E-2</c:v>
                </c:pt>
                <c:pt idx="47">
                  <c:v>1.2875585218398981E-2</c:v>
                </c:pt>
                <c:pt idx="48">
                  <c:v>1.2988337622175992E-2</c:v>
                </c:pt>
                <c:pt idx="49">
                  <c:v>1.3880755726118563E-2</c:v>
                </c:pt>
                <c:pt idx="50">
                  <c:v>1.160496836849428E-2</c:v>
                </c:pt>
                <c:pt idx="51">
                  <c:v>1.4209068387375423E-2</c:v>
                </c:pt>
                <c:pt idx="52">
                  <c:v>1.8889726791263602E-2</c:v>
                </c:pt>
                <c:pt idx="53">
                  <c:v>2.3341717179952249E-2</c:v>
                </c:pt>
                <c:pt idx="54">
                  <c:v>2.4456150492672659E-2</c:v>
                </c:pt>
                <c:pt idx="55">
                  <c:v>5.3297774796726115E-3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5.5859177774899293E-3</c:v>
                </c:pt>
                <c:pt idx="63">
                  <c:v>0</c:v>
                </c:pt>
                <c:pt idx="64">
                  <c:v>4.4433771617951069E-3</c:v>
                </c:pt>
                <c:pt idx="65">
                  <c:v>8.0170349395041127E-3</c:v>
                </c:pt>
                <c:pt idx="66">
                  <c:v>1.2654915137080192E-2</c:v>
                </c:pt>
                <c:pt idx="67">
                  <c:v>1.6467578291503342E-2</c:v>
                </c:pt>
                <c:pt idx="68">
                  <c:v>1.5125095266431535E-2</c:v>
                </c:pt>
                <c:pt idx="69">
                  <c:v>1.5504201354805382E-2</c:v>
                </c:pt>
                <c:pt idx="70">
                  <c:v>1.5037328386306368E-2</c:v>
                </c:pt>
                <c:pt idx="71">
                  <c:v>1.1038107086998962E-2</c:v>
                </c:pt>
                <c:pt idx="72">
                  <c:v>7.4793778524380929E-3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5.075517882054491E-5</c:v>
                </c:pt>
                <c:pt idx="78">
                  <c:v>5.5882359433924575E-3</c:v>
                </c:pt>
                <c:pt idx="79">
                  <c:v>6.936023084686576E-4</c:v>
                </c:pt>
                <c:pt idx="80">
                  <c:v>1.5760908017364949E-3</c:v>
                </c:pt>
                <c:pt idx="81">
                  <c:v>1.486126182243423E-3</c:v>
                </c:pt>
                <c:pt idx="82">
                  <c:v>3.7621534883839568E-3</c:v>
                </c:pt>
                <c:pt idx="83">
                  <c:v>7.0116932152230063E-3</c:v>
                </c:pt>
                <c:pt idx="84">
                  <c:v>8.693428340500747E-3</c:v>
                </c:pt>
                <c:pt idx="85">
                  <c:v>2.6048093602144665E-2</c:v>
                </c:pt>
                <c:pt idx="86">
                  <c:v>2.0174953274865386E-2</c:v>
                </c:pt>
                <c:pt idx="87">
                  <c:v>1.1901591892971103E-2</c:v>
                </c:pt>
                <c:pt idx="88">
                  <c:v>1.5830351373978101E-2</c:v>
                </c:pt>
                <c:pt idx="89">
                  <c:v>1.3196410837138279E-2</c:v>
                </c:pt>
                <c:pt idx="90">
                  <c:v>1.2910449219850227E-2</c:v>
                </c:pt>
                <c:pt idx="91">
                  <c:v>2.6270843163173109E-3</c:v>
                </c:pt>
                <c:pt idx="92">
                  <c:v>1.1754488412320549E-3</c:v>
                </c:pt>
                <c:pt idx="93">
                  <c:v>2.3559327929942855E-3</c:v>
                </c:pt>
                <c:pt idx="94">
                  <c:v>3.0425935138920596E-4</c:v>
                </c:pt>
                <c:pt idx="95">
                  <c:v>4.3548501645357491E-3</c:v>
                </c:pt>
                <c:pt idx="96">
                  <c:v>3.0000256825451154E-3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6.2054526982117872E-3</c:v>
                </c:pt>
                <c:pt idx="103">
                  <c:v>5.7764064736922305E-2</c:v>
                </c:pt>
                <c:pt idx="104">
                  <c:v>5.4942345830208739E-2</c:v>
                </c:pt>
                <c:pt idx="105">
                  <c:v>5.1992837596486811E-2</c:v>
                </c:pt>
                <c:pt idx="106">
                  <c:v>1.5335238062022572E-2</c:v>
                </c:pt>
                <c:pt idx="107">
                  <c:v>6.545567390874335E-2</c:v>
                </c:pt>
                <c:pt idx="108">
                  <c:v>6.6712119113039259E-2</c:v>
                </c:pt>
                <c:pt idx="109">
                  <c:v>4.3099424594300585E-2</c:v>
                </c:pt>
                <c:pt idx="110">
                  <c:v>4.5836394945448826E-2</c:v>
                </c:pt>
                <c:pt idx="111">
                  <c:v>4.158945760184405E-2</c:v>
                </c:pt>
                <c:pt idx="112">
                  <c:v>2.7583768968291685E-2</c:v>
                </c:pt>
                <c:pt idx="113">
                  <c:v>3.2233257491098934E-2</c:v>
                </c:pt>
                <c:pt idx="114">
                  <c:v>2.9782904097002107E-2</c:v>
                </c:pt>
                <c:pt idx="115">
                  <c:v>2.0207455378024623E-3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56-4046-8518-50A97584B180}"/>
            </c:ext>
          </c:extLst>
        </c:ser>
        <c:ser>
          <c:idx val="13"/>
          <c:order val="12"/>
          <c:tx>
            <c:strRef>
              <c:f>TimeVanguardInvGrade!$A$16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TimeVanguardInvGrade!$B$16:$FY$16</c:f>
              <c:numCache>
                <c:formatCode>General</c:formatCode>
                <c:ptCount val="180"/>
                <c:pt idx="0">
                  <c:v>1.3858621571394314E-2</c:v>
                </c:pt>
                <c:pt idx="1">
                  <c:v>1.6039272177739247E-2</c:v>
                </c:pt>
                <c:pt idx="2">
                  <c:v>1.9991918014104448E-2</c:v>
                </c:pt>
                <c:pt idx="3">
                  <c:v>8.3103104051237865E-3</c:v>
                </c:pt>
                <c:pt idx="4">
                  <c:v>6.4621764257361356E-3</c:v>
                </c:pt>
                <c:pt idx="5">
                  <c:v>6.6769788942877351E-3</c:v>
                </c:pt>
                <c:pt idx="6">
                  <c:v>5.6097419006628227E-3</c:v>
                </c:pt>
                <c:pt idx="7">
                  <c:v>7.1588817849577062E-3</c:v>
                </c:pt>
                <c:pt idx="8">
                  <c:v>6.4923095858076879E-3</c:v>
                </c:pt>
                <c:pt idx="9">
                  <c:v>6.2976670163735794E-3</c:v>
                </c:pt>
                <c:pt idx="10">
                  <c:v>6.0461304051277007E-3</c:v>
                </c:pt>
                <c:pt idx="11">
                  <c:v>5.5284375285747488E-3</c:v>
                </c:pt>
                <c:pt idx="12">
                  <c:v>4.2247382226761523E-3</c:v>
                </c:pt>
                <c:pt idx="13">
                  <c:v>2.9064751166939236E-3</c:v>
                </c:pt>
                <c:pt idx="14">
                  <c:v>0</c:v>
                </c:pt>
                <c:pt idx="15">
                  <c:v>1.343372424360079E-3</c:v>
                </c:pt>
                <c:pt idx="16">
                  <c:v>5.0823852103198371E-3</c:v>
                </c:pt>
                <c:pt idx="17">
                  <c:v>8.4120325540763211E-3</c:v>
                </c:pt>
                <c:pt idx="18">
                  <c:v>7.948949424240315E-3</c:v>
                </c:pt>
                <c:pt idx="19">
                  <c:v>7.6594392695978385E-3</c:v>
                </c:pt>
                <c:pt idx="20">
                  <c:v>8.1327896360859162E-3</c:v>
                </c:pt>
                <c:pt idx="21">
                  <c:v>6.5130372027664704E-3</c:v>
                </c:pt>
                <c:pt idx="22">
                  <c:v>6.5318719339981044E-3</c:v>
                </c:pt>
                <c:pt idx="23">
                  <c:v>8.6682363196443173E-3</c:v>
                </c:pt>
                <c:pt idx="24">
                  <c:v>8.8483250013443385E-3</c:v>
                </c:pt>
                <c:pt idx="25">
                  <c:v>1.1136198287422549E-2</c:v>
                </c:pt>
                <c:pt idx="26">
                  <c:v>1.0378592557250975E-2</c:v>
                </c:pt>
                <c:pt idx="27">
                  <c:v>1.1760224150764784E-2</c:v>
                </c:pt>
                <c:pt idx="28">
                  <c:v>1.1728075490348979E-2</c:v>
                </c:pt>
                <c:pt idx="29">
                  <c:v>1.1350648459513325E-2</c:v>
                </c:pt>
                <c:pt idx="30">
                  <c:v>1.1546353638421361E-2</c:v>
                </c:pt>
                <c:pt idx="31">
                  <c:v>8.8458493513512409E-3</c:v>
                </c:pt>
                <c:pt idx="32">
                  <c:v>8.5576063067585827E-3</c:v>
                </c:pt>
                <c:pt idx="33">
                  <c:v>1.1651284120935418E-2</c:v>
                </c:pt>
                <c:pt idx="34">
                  <c:v>1.127585605553417E-2</c:v>
                </c:pt>
                <c:pt idx="35">
                  <c:v>1.1509060924119699E-2</c:v>
                </c:pt>
                <c:pt idx="36">
                  <c:v>8.1270631175485199E-3</c:v>
                </c:pt>
                <c:pt idx="37">
                  <c:v>9.1653749381391987E-3</c:v>
                </c:pt>
                <c:pt idx="38">
                  <c:v>9.4134123188883475E-3</c:v>
                </c:pt>
                <c:pt idx="39">
                  <c:v>1.0279504646834173E-2</c:v>
                </c:pt>
                <c:pt idx="40">
                  <c:v>1.0845312108828343E-2</c:v>
                </c:pt>
                <c:pt idx="41">
                  <c:v>1.0399124517754581E-2</c:v>
                </c:pt>
                <c:pt idx="42">
                  <c:v>1.1592004461077469E-2</c:v>
                </c:pt>
                <c:pt idx="43">
                  <c:v>1.0811603954503653E-2</c:v>
                </c:pt>
                <c:pt idx="44">
                  <c:v>8.9581124439402932E-3</c:v>
                </c:pt>
                <c:pt idx="45">
                  <c:v>8.6372008655101907E-3</c:v>
                </c:pt>
                <c:pt idx="46">
                  <c:v>7.5052786895182296E-3</c:v>
                </c:pt>
                <c:pt idx="47">
                  <c:v>6.2891166199907202E-3</c:v>
                </c:pt>
                <c:pt idx="48">
                  <c:v>5.8416412075126519E-3</c:v>
                </c:pt>
                <c:pt idx="49">
                  <c:v>4.6343083360148073E-3</c:v>
                </c:pt>
                <c:pt idx="50">
                  <c:v>5.3071568191338436E-3</c:v>
                </c:pt>
                <c:pt idx="51">
                  <c:v>6.9354303471456085E-3</c:v>
                </c:pt>
                <c:pt idx="52">
                  <c:v>6.4469653199783501E-3</c:v>
                </c:pt>
                <c:pt idx="53">
                  <c:v>1.0047252423251146E-2</c:v>
                </c:pt>
                <c:pt idx="54">
                  <c:v>8.5025876803203563E-3</c:v>
                </c:pt>
                <c:pt idx="55">
                  <c:v>2.2407461545104097E-2</c:v>
                </c:pt>
                <c:pt idx="56">
                  <c:v>1.6543556347460721E-2</c:v>
                </c:pt>
                <c:pt idx="57">
                  <c:v>1.7132509469097272E-2</c:v>
                </c:pt>
                <c:pt idx="58">
                  <c:v>2.3618076568966074E-2</c:v>
                </c:pt>
                <c:pt idx="59">
                  <c:v>2.1972874072631449E-2</c:v>
                </c:pt>
                <c:pt idx="60">
                  <c:v>1.7223990644532956E-2</c:v>
                </c:pt>
                <c:pt idx="61">
                  <c:v>1.9223528830014994E-2</c:v>
                </c:pt>
                <c:pt idx="62">
                  <c:v>1.6248913229899707E-2</c:v>
                </c:pt>
                <c:pt idx="63">
                  <c:v>2.6622044707351612E-2</c:v>
                </c:pt>
                <c:pt idx="64">
                  <c:v>3.3478991533204105E-2</c:v>
                </c:pt>
                <c:pt idx="65">
                  <c:v>3.3418709504816416E-2</c:v>
                </c:pt>
                <c:pt idx="66">
                  <c:v>3.8387020578871563E-2</c:v>
                </c:pt>
                <c:pt idx="67">
                  <c:v>3.3495176003560195E-2</c:v>
                </c:pt>
                <c:pt idx="68">
                  <c:v>3.4713406204558449E-2</c:v>
                </c:pt>
                <c:pt idx="69">
                  <c:v>3.51954396007177E-2</c:v>
                </c:pt>
                <c:pt idx="70">
                  <c:v>3.520188515948252E-2</c:v>
                </c:pt>
                <c:pt idx="71">
                  <c:v>3.6020451597034972E-2</c:v>
                </c:pt>
                <c:pt idx="72">
                  <c:v>4.0695672430460392E-2</c:v>
                </c:pt>
                <c:pt idx="73">
                  <c:v>4.6963474452662642E-2</c:v>
                </c:pt>
                <c:pt idx="74">
                  <c:v>2.4199049510292749E-2</c:v>
                </c:pt>
                <c:pt idx="75">
                  <c:v>3.1143566116171535E-2</c:v>
                </c:pt>
                <c:pt idx="76">
                  <c:v>3.0005497785018639E-2</c:v>
                </c:pt>
                <c:pt idx="77">
                  <c:v>3.1451699836090835E-2</c:v>
                </c:pt>
                <c:pt idx="78">
                  <c:v>3.3169315948594708E-2</c:v>
                </c:pt>
                <c:pt idx="79">
                  <c:v>3.2688123708165095E-2</c:v>
                </c:pt>
                <c:pt idx="80">
                  <c:v>2.1636831450915637E-2</c:v>
                </c:pt>
                <c:pt idx="81">
                  <c:v>1.8810385832174856E-2</c:v>
                </c:pt>
                <c:pt idx="82">
                  <c:v>2.0249141831049363E-2</c:v>
                </c:pt>
                <c:pt idx="83">
                  <c:v>1.9380995358392262E-2</c:v>
                </c:pt>
                <c:pt idx="84">
                  <c:v>1.8321499611488649E-2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56-4046-8518-50A97584B180}"/>
            </c:ext>
          </c:extLst>
        </c:ser>
        <c:ser>
          <c:idx val="14"/>
          <c:order val="13"/>
          <c:tx>
            <c:strRef>
              <c:f>TimeVanguardInvGrade!$A$17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1.307743926723792E-3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1.3813547854369702E-2</c:v>
                </c:pt>
                <c:pt idx="119">
                  <c:v>2.7234546092858102E-2</c:v>
                </c:pt>
                <c:pt idx="120">
                  <c:v>3.7067824306416731E-2</c:v>
                </c:pt>
                <c:pt idx="121">
                  <c:v>1.5367199327782628E-4</c:v>
                </c:pt>
                <c:pt idx="122">
                  <c:v>3.811205683847429E-3</c:v>
                </c:pt>
                <c:pt idx="123">
                  <c:v>3.7935299431263288E-2</c:v>
                </c:pt>
                <c:pt idx="124">
                  <c:v>4.8592228228612151E-2</c:v>
                </c:pt>
                <c:pt idx="125">
                  <c:v>4.3080832291236874E-2</c:v>
                </c:pt>
                <c:pt idx="126">
                  <c:v>2.0470621860428615E-2</c:v>
                </c:pt>
                <c:pt idx="127">
                  <c:v>3.3144572149144798E-2</c:v>
                </c:pt>
                <c:pt idx="128">
                  <c:v>4.6416680860135721E-2</c:v>
                </c:pt>
                <c:pt idx="129">
                  <c:v>4.9575389100219434E-2</c:v>
                </c:pt>
                <c:pt idx="130">
                  <c:v>5.1764703113051411E-2</c:v>
                </c:pt>
                <c:pt idx="131">
                  <c:v>5.1751594854832467E-2</c:v>
                </c:pt>
                <c:pt idx="132">
                  <c:v>5.0375061628387702E-2</c:v>
                </c:pt>
                <c:pt idx="133">
                  <c:v>5.4263112916228894E-2</c:v>
                </c:pt>
                <c:pt idx="134">
                  <c:v>6.1142196437150728E-2</c:v>
                </c:pt>
                <c:pt idx="135">
                  <c:v>6.1479243317259749E-2</c:v>
                </c:pt>
                <c:pt idx="136">
                  <c:v>5.0279067683594462E-2</c:v>
                </c:pt>
                <c:pt idx="137">
                  <c:v>5.9896975316012895E-2</c:v>
                </c:pt>
                <c:pt idx="138">
                  <c:v>5.7964622717154989E-2</c:v>
                </c:pt>
                <c:pt idx="139">
                  <c:v>4.9575805114914384E-2</c:v>
                </c:pt>
                <c:pt idx="140">
                  <c:v>4.2344399943927684E-2</c:v>
                </c:pt>
                <c:pt idx="141">
                  <c:v>6.579072804782868E-3</c:v>
                </c:pt>
                <c:pt idx="142">
                  <c:v>3.4251351557197116E-3</c:v>
                </c:pt>
                <c:pt idx="143">
                  <c:v>3.6496850778064052E-3</c:v>
                </c:pt>
                <c:pt idx="144">
                  <c:v>1.24358644573789E-3</c:v>
                </c:pt>
                <c:pt idx="145">
                  <c:v>0</c:v>
                </c:pt>
                <c:pt idx="146">
                  <c:v>0</c:v>
                </c:pt>
                <c:pt idx="147">
                  <c:v>8.5930633544879145E-3</c:v>
                </c:pt>
                <c:pt idx="148">
                  <c:v>1.4856756824061507E-2</c:v>
                </c:pt>
                <c:pt idx="149">
                  <c:v>8.5327676711359681E-3</c:v>
                </c:pt>
                <c:pt idx="150">
                  <c:v>1.1976706060616437E-2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1.4086634455536776E-2</c:v>
                </c:pt>
                <c:pt idx="155">
                  <c:v>6.2982234509956258E-3</c:v>
                </c:pt>
                <c:pt idx="156">
                  <c:v>1.7004060333094279E-3</c:v>
                </c:pt>
                <c:pt idx="157">
                  <c:v>6.8043647762398775E-4</c:v>
                </c:pt>
                <c:pt idx="158">
                  <c:v>2.5963854298002784E-3</c:v>
                </c:pt>
                <c:pt idx="159">
                  <c:v>9.8227578643669579E-3</c:v>
                </c:pt>
                <c:pt idx="160">
                  <c:v>6.8758941138148807E-3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56-4046-8518-50A97584B180}"/>
            </c:ext>
          </c:extLst>
        </c:ser>
        <c:ser>
          <c:idx val="15"/>
          <c:order val="14"/>
          <c:tx>
            <c:strRef>
              <c:f>TimeVanguardInvGrade!$A$18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TimeVanguardInvGrade!$B$18:$FY$18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7.5461271790283136E-4</c:v>
                </c:pt>
                <c:pt idx="112">
                  <c:v>1.3607877517884319E-3</c:v>
                </c:pt>
                <c:pt idx="113">
                  <c:v>3.7185538790653529E-3</c:v>
                </c:pt>
                <c:pt idx="114">
                  <c:v>3.3806128027000881E-3</c:v>
                </c:pt>
                <c:pt idx="115">
                  <c:v>1.5348726562160347E-3</c:v>
                </c:pt>
                <c:pt idx="116">
                  <c:v>6.8376894484720356E-3</c:v>
                </c:pt>
                <c:pt idx="117">
                  <c:v>1.8950713038203296E-2</c:v>
                </c:pt>
                <c:pt idx="118">
                  <c:v>2.5409142540461786E-2</c:v>
                </c:pt>
                <c:pt idx="119">
                  <c:v>2.5976494998785682E-2</c:v>
                </c:pt>
                <c:pt idx="120">
                  <c:v>4.7200256179182054E-2</c:v>
                </c:pt>
                <c:pt idx="121">
                  <c:v>6.1425448144221836E-2</c:v>
                </c:pt>
                <c:pt idx="122">
                  <c:v>5.9577388958115027E-2</c:v>
                </c:pt>
                <c:pt idx="123">
                  <c:v>1.5388896337213404E-2</c:v>
                </c:pt>
                <c:pt idx="124">
                  <c:v>1.0705961935819654E-2</c:v>
                </c:pt>
                <c:pt idx="125">
                  <c:v>1.2781466928150232E-2</c:v>
                </c:pt>
                <c:pt idx="126">
                  <c:v>1.7762792834496926E-2</c:v>
                </c:pt>
                <c:pt idx="127">
                  <c:v>2.4366887593597883E-2</c:v>
                </c:pt>
                <c:pt idx="128">
                  <c:v>1.354220780006144E-2</c:v>
                </c:pt>
                <c:pt idx="129">
                  <c:v>1.7938986895969528E-2</c:v>
                </c:pt>
                <c:pt idx="130">
                  <c:v>1.6302826564376906E-2</c:v>
                </c:pt>
                <c:pt idx="131">
                  <c:v>1.7451960932327294E-2</c:v>
                </c:pt>
                <c:pt idx="132">
                  <c:v>1.8646715685212881E-2</c:v>
                </c:pt>
                <c:pt idx="133">
                  <c:v>1.4736895347190932E-2</c:v>
                </c:pt>
                <c:pt idx="134">
                  <c:v>1.2749620900382442E-2</c:v>
                </c:pt>
                <c:pt idx="135">
                  <c:v>1.253878195652129E-2</c:v>
                </c:pt>
                <c:pt idx="136">
                  <c:v>1.8916446494039323E-2</c:v>
                </c:pt>
                <c:pt idx="137">
                  <c:v>1.3381947825466152E-2</c:v>
                </c:pt>
                <c:pt idx="138">
                  <c:v>1.6249685595335579E-2</c:v>
                </c:pt>
                <c:pt idx="139">
                  <c:v>2.3603626913687562E-2</c:v>
                </c:pt>
                <c:pt idx="140">
                  <c:v>3.1428465932148854E-2</c:v>
                </c:pt>
                <c:pt idx="141">
                  <c:v>3.4128034580489582E-2</c:v>
                </c:pt>
                <c:pt idx="142">
                  <c:v>3.4220310901901342E-2</c:v>
                </c:pt>
                <c:pt idx="143">
                  <c:v>3.5858121198198721E-2</c:v>
                </c:pt>
                <c:pt idx="144">
                  <c:v>3.5228149018615366E-2</c:v>
                </c:pt>
                <c:pt idx="145">
                  <c:v>3.8119743266642178E-2</c:v>
                </c:pt>
                <c:pt idx="146">
                  <c:v>3.2990507605751833E-2</c:v>
                </c:pt>
                <c:pt idx="147">
                  <c:v>2.8841906556960558E-2</c:v>
                </c:pt>
                <c:pt idx="148">
                  <c:v>3.0911263467973467E-2</c:v>
                </c:pt>
                <c:pt idx="149">
                  <c:v>3.507460255208792E-2</c:v>
                </c:pt>
                <c:pt idx="150">
                  <c:v>3.6595418320577472E-2</c:v>
                </c:pt>
                <c:pt idx="151">
                  <c:v>4.2083469846828231E-2</c:v>
                </c:pt>
                <c:pt idx="152">
                  <c:v>4.1155721101156471E-2</c:v>
                </c:pt>
                <c:pt idx="153">
                  <c:v>3.5506454609325423E-2</c:v>
                </c:pt>
                <c:pt idx="154">
                  <c:v>3.7763203195813499E-2</c:v>
                </c:pt>
                <c:pt idx="155">
                  <c:v>4.244598183277621E-2</c:v>
                </c:pt>
                <c:pt idx="156">
                  <c:v>4.6203964466104051E-2</c:v>
                </c:pt>
                <c:pt idx="157">
                  <c:v>4.7553206920171988E-2</c:v>
                </c:pt>
                <c:pt idx="158">
                  <c:v>4.734461873346052E-2</c:v>
                </c:pt>
                <c:pt idx="159">
                  <c:v>4.800530511831775E-2</c:v>
                </c:pt>
                <c:pt idx="160">
                  <c:v>5.0123871510154953E-2</c:v>
                </c:pt>
                <c:pt idx="161">
                  <c:v>5.5616813603648688E-2</c:v>
                </c:pt>
                <c:pt idx="162">
                  <c:v>6.0372012378374029E-2</c:v>
                </c:pt>
                <c:pt idx="163">
                  <c:v>7.1121480562606754E-2</c:v>
                </c:pt>
                <c:pt idx="164">
                  <c:v>7.1027334715078452E-2</c:v>
                </c:pt>
                <c:pt idx="165">
                  <c:v>7.6306644218936764E-2</c:v>
                </c:pt>
                <c:pt idx="166">
                  <c:v>7.7367581825862217E-2</c:v>
                </c:pt>
                <c:pt idx="167">
                  <c:v>7.4984697532454112E-2</c:v>
                </c:pt>
                <c:pt idx="168">
                  <c:v>7.6586592170963044E-2</c:v>
                </c:pt>
                <c:pt idx="169">
                  <c:v>7.2364237252204131E-2</c:v>
                </c:pt>
                <c:pt idx="170">
                  <c:v>7.8505861544980862E-2</c:v>
                </c:pt>
                <c:pt idx="171">
                  <c:v>8.16302708242021E-2</c:v>
                </c:pt>
                <c:pt idx="172">
                  <c:v>8.1242396855528184E-2</c:v>
                </c:pt>
                <c:pt idx="173">
                  <c:v>7.8994367906900759E-2</c:v>
                </c:pt>
                <c:pt idx="174">
                  <c:v>9.3582108544711162E-2</c:v>
                </c:pt>
                <c:pt idx="175">
                  <c:v>9.3010054119392019E-2</c:v>
                </c:pt>
                <c:pt idx="176">
                  <c:v>9.6256573469842927E-2</c:v>
                </c:pt>
                <c:pt idx="177">
                  <c:v>9.4269531966390166E-2</c:v>
                </c:pt>
                <c:pt idx="178">
                  <c:v>7.5614167437154683E-2</c:v>
                </c:pt>
                <c:pt idx="179">
                  <c:v>7.8286167694502043E-2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56-4046-8518-50A97584B180}"/>
            </c:ext>
          </c:extLst>
        </c:ser>
        <c:ser>
          <c:idx val="16"/>
          <c:order val="15"/>
          <c:tx>
            <c:strRef>
              <c:f>TimeVanguardInvGrade!$A$19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TimeVanguardInvGrade!$B$19:$FY$19</c:f>
              <c:numCache>
                <c:formatCode>General</c:formatCode>
                <c:ptCount val="180"/>
                <c:pt idx="0">
                  <c:v>2.2490327245672979E-3</c:v>
                </c:pt>
                <c:pt idx="1">
                  <c:v>2.8737087423000898E-4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6.1561449215059407E-3</c:v>
                </c:pt>
                <c:pt idx="68">
                  <c:v>5.4858289213739172E-3</c:v>
                </c:pt>
                <c:pt idx="69">
                  <c:v>4.9283712718710942E-3</c:v>
                </c:pt>
                <c:pt idx="70">
                  <c:v>5.0701336446243644E-3</c:v>
                </c:pt>
                <c:pt idx="71">
                  <c:v>4.7428213958511344E-3</c:v>
                </c:pt>
                <c:pt idx="72">
                  <c:v>5.337287210531858E-3</c:v>
                </c:pt>
                <c:pt idx="73">
                  <c:v>1.6354646804703601E-3</c:v>
                </c:pt>
                <c:pt idx="74">
                  <c:v>0</c:v>
                </c:pt>
                <c:pt idx="75">
                  <c:v>6.0806071277876516E-4</c:v>
                </c:pt>
                <c:pt idx="76">
                  <c:v>1.2321519445555923E-3</c:v>
                </c:pt>
                <c:pt idx="77">
                  <c:v>0</c:v>
                </c:pt>
                <c:pt idx="78">
                  <c:v>0</c:v>
                </c:pt>
                <c:pt idx="79">
                  <c:v>3.7663253165431737E-4</c:v>
                </c:pt>
                <c:pt idx="80">
                  <c:v>4.8598860178880885E-3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4.8081814322585119E-3</c:v>
                </c:pt>
                <c:pt idx="86">
                  <c:v>4.0357159769913694E-3</c:v>
                </c:pt>
                <c:pt idx="87">
                  <c:v>3.697173808148586E-3</c:v>
                </c:pt>
                <c:pt idx="88">
                  <c:v>2.3702486792005952E-3</c:v>
                </c:pt>
                <c:pt idx="89">
                  <c:v>2.6839518712056189E-3</c:v>
                </c:pt>
                <c:pt idx="90">
                  <c:v>2.4778257843069656E-3</c:v>
                </c:pt>
                <c:pt idx="91">
                  <c:v>7.4819111714961384E-3</c:v>
                </c:pt>
                <c:pt idx="92">
                  <c:v>7.5929163626905823E-3</c:v>
                </c:pt>
                <c:pt idx="93">
                  <c:v>3.3117173500199931E-3</c:v>
                </c:pt>
                <c:pt idx="94">
                  <c:v>3.2993744023656893E-3</c:v>
                </c:pt>
                <c:pt idx="95">
                  <c:v>5.5400740637124189E-3</c:v>
                </c:pt>
                <c:pt idx="96">
                  <c:v>5.5771613240971785E-3</c:v>
                </c:pt>
                <c:pt idx="97">
                  <c:v>9.4171556425863088E-3</c:v>
                </c:pt>
                <c:pt idx="98">
                  <c:v>8.6319627794287802E-3</c:v>
                </c:pt>
                <c:pt idx="99">
                  <c:v>1.2165525683973779E-2</c:v>
                </c:pt>
                <c:pt idx="100">
                  <c:v>1.4798648309489822E-2</c:v>
                </c:pt>
                <c:pt idx="101">
                  <c:v>6.8946564597898597E-3</c:v>
                </c:pt>
                <c:pt idx="102">
                  <c:v>5.5131051999203528E-3</c:v>
                </c:pt>
                <c:pt idx="103">
                  <c:v>0</c:v>
                </c:pt>
                <c:pt idx="104">
                  <c:v>3.8009917828229454E-3</c:v>
                </c:pt>
                <c:pt idx="105">
                  <c:v>2.0345180911300539E-3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6.2941511855268218E-3</c:v>
                </c:pt>
                <c:pt idx="113">
                  <c:v>5.7001347299596066E-3</c:v>
                </c:pt>
                <c:pt idx="114">
                  <c:v>7.4747518481801303E-3</c:v>
                </c:pt>
                <c:pt idx="115">
                  <c:v>1.6025164920193707E-2</c:v>
                </c:pt>
                <c:pt idx="116">
                  <c:v>1.7449825770723695E-2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1.5102714134252774E-2</c:v>
                </c:pt>
                <c:pt idx="121">
                  <c:v>9.6226472319819664E-3</c:v>
                </c:pt>
                <c:pt idx="122">
                  <c:v>1.1027846576118813E-2</c:v>
                </c:pt>
                <c:pt idx="123">
                  <c:v>4.2442412992486828E-2</c:v>
                </c:pt>
                <c:pt idx="124">
                  <c:v>3.6787261075937515E-2</c:v>
                </c:pt>
                <c:pt idx="125">
                  <c:v>4.4187621438887929E-2</c:v>
                </c:pt>
                <c:pt idx="126">
                  <c:v>5.1268989114715655E-2</c:v>
                </c:pt>
                <c:pt idx="127">
                  <c:v>2.8992972743469306E-2</c:v>
                </c:pt>
                <c:pt idx="128">
                  <c:v>2.9218039179633969E-2</c:v>
                </c:pt>
                <c:pt idx="129">
                  <c:v>1.8210584851532877E-2</c:v>
                </c:pt>
                <c:pt idx="130">
                  <c:v>2.1599813869535418E-2</c:v>
                </c:pt>
                <c:pt idx="131">
                  <c:v>2.7302786271244543E-2</c:v>
                </c:pt>
                <c:pt idx="132">
                  <c:v>2.576066296044351E-2</c:v>
                </c:pt>
                <c:pt idx="133">
                  <c:v>2.8767683440594039E-2</c:v>
                </c:pt>
                <c:pt idx="134">
                  <c:v>2.5692017926351701E-2</c:v>
                </c:pt>
                <c:pt idx="135">
                  <c:v>2.5677981482891646E-2</c:v>
                </c:pt>
                <c:pt idx="136">
                  <c:v>2.8698096579970127E-2</c:v>
                </c:pt>
                <c:pt idx="137">
                  <c:v>3.0461447473971278E-2</c:v>
                </c:pt>
                <c:pt idx="138">
                  <c:v>2.6495384687582484E-2</c:v>
                </c:pt>
                <c:pt idx="139">
                  <c:v>2.8341210832437819E-2</c:v>
                </c:pt>
                <c:pt idx="140">
                  <c:v>2.0778194522763384E-2</c:v>
                </c:pt>
                <c:pt idx="141">
                  <c:v>7.4497304334131181E-2</c:v>
                </c:pt>
                <c:pt idx="142">
                  <c:v>7.7047591829243464E-2</c:v>
                </c:pt>
                <c:pt idx="143">
                  <c:v>7.6791246557848539E-2</c:v>
                </c:pt>
                <c:pt idx="144">
                  <c:v>8.8288254892676984E-2</c:v>
                </c:pt>
                <c:pt idx="145">
                  <c:v>9.7765526292292362E-2</c:v>
                </c:pt>
                <c:pt idx="146">
                  <c:v>0.10912142105457347</c:v>
                </c:pt>
                <c:pt idx="147">
                  <c:v>0.10556376189103739</c:v>
                </c:pt>
                <c:pt idx="148">
                  <c:v>0.10164517445323561</c:v>
                </c:pt>
                <c:pt idx="149">
                  <c:v>0.10620899816805571</c:v>
                </c:pt>
                <c:pt idx="150">
                  <c:v>9.9959129846058342E-2</c:v>
                </c:pt>
                <c:pt idx="151">
                  <c:v>0.10952392203711972</c:v>
                </c:pt>
                <c:pt idx="152">
                  <c:v>0.11834551903910683</c:v>
                </c:pt>
                <c:pt idx="153">
                  <c:v>0.12771192378305152</c:v>
                </c:pt>
                <c:pt idx="154">
                  <c:v>0.10129511851506123</c:v>
                </c:pt>
                <c:pt idx="155">
                  <c:v>0.10777723282912416</c:v>
                </c:pt>
                <c:pt idx="156">
                  <c:v>0.11538513562257328</c:v>
                </c:pt>
                <c:pt idx="157">
                  <c:v>0.11460126724807834</c:v>
                </c:pt>
                <c:pt idx="158">
                  <c:v>0.11177397279622998</c:v>
                </c:pt>
                <c:pt idx="159">
                  <c:v>0.10303522225156014</c:v>
                </c:pt>
                <c:pt idx="160">
                  <c:v>0.10298443069126852</c:v>
                </c:pt>
                <c:pt idx="161">
                  <c:v>0.10129289921427695</c:v>
                </c:pt>
                <c:pt idx="162">
                  <c:v>9.6783611014571738E-2</c:v>
                </c:pt>
                <c:pt idx="163">
                  <c:v>7.5766252074784268E-2</c:v>
                </c:pt>
                <c:pt idx="164">
                  <c:v>7.4960337113577885E-2</c:v>
                </c:pt>
                <c:pt idx="165">
                  <c:v>7.2398505145681094E-2</c:v>
                </c:pt>
                <c:pt idx="166">
                  <c:v>6.5048808413807557E-2</c:v>
                </c:pt>
                <c:pt idx="167">
                  <c:v>6.2744324403160245E-2</c:v>
                </c:pt>
                <c:pt idx="168">
                  <c:v>5.5707529712402913E-2</c:v>
                </c:pt>
                <c:pt idx="169">
                  <c:v>5.5285155363885223E-2</c:v>
                </c:pt>
                <c:pt idx="170">
                  <c:v>5.2101043988673962E-2</c:v>
                </c:pt>
                <c:pt idx="171">
                  <c:v>4.878960770402848E-2</c:v>
                </c:pt>
                <c:pt idx="172">
                  <c:v>5.5377026056122283E-2</c:v>
                </c:pt>
                <c:pt idx="173">
                  <c:v>6.1077207635403516E-2</c:v>
                </c:pt>
                <c:pt idx="174">
                  <c:v>5.2365517971903072E-2</c:v>
                </c:pt>
                <c:pt idx="175">
                  <c:v>4.80600842185748E-2</c:v>
                </c:pt>
                <c:pt idx="176">
                  <c:v>5.0999833928281703E-2</c:v>
                </c:pt>
                <c:pt idx="177">
                  <c:v>4.3383678958745397E-2</c:v>
                </c:pt>
                <c:pt idx="178">
                  <c:v>3.7690660335723693E-2</c:v>
                </c:pt>
                <c:pt idx="179">
                  <c:v>3.9743443278940957E-2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56-4046-8518-50A97584B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48896"/>
        <c:axId val="171650432"/>
      </c:areaChart>
      <c:lineChart>
        <c:grouping val="standard"/>
        <c:varyColors val="0"/>
        <c:ser>
          <c:idx val="0"/>
          <c:order val="16"/>
          <c:tx>
            <c:strRef>
              <c:f>TimeVanguardInvGrade!$A$21</c:f>
              <c:strCache>
                <c:ptCount val="1"/>
                <c:pt idx="0">
                  <c:v>Style</c:v>
                </c:pt>
              </c:strCache>
            </c:strRef>
          </c:tx>
          <c:spPr>
            <a:ln w="38100" cmpd="dbl">
              <a:solidFill>
                <a:schemeClr val="bg1"/>
              </a:solidFill>
            </a:ln>
          </c:spPr>
          <c:marker>
            <c:symbol val="none"/>
          </c:marker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TimeVanguardInvGrade!$B$21:$FY$21</c:f>
              <c:numCache>
                <c:formatCode>General</c:formatCode>
                <c:ptCount val="180"/>
                <c:pt idx="0">
                  <c:v>0.92970619620200445</c:v>
                </c:pt>
                <c:pt idx="1">
                  <c:v>0.92759534283772949</c:v>
                </c:pt>
                <c:pt idx="2">
                  <c:v>0.92997536145004678</c:v>
                </c:pt>
                <c:pt idx="3">
                  <c:v>0.92057268906517331</c:v>
                </c:pt>
                <c:pt idx="4">
                  <c:v>0.91795131924589402</c:v>
                </c:pt>
                <c:pt idx="5">
                  <c:v>0.91955319143708758</c:v>
                </c:pt>
                <c:pt idx="6">
                  <c:v>0.92018318253471088</c:v>
                </c:pt>
                <c:pt idx="7">
                  <c:v>0.91830557636173915</c:v>
                </c:pt>
                <c:pt idx="8">
                  <c:v>0.91854815424872982</c:v>
                </c:pt>
                <c:pt idx="9">
                  <c:v>0.91514399665279023</c:v>
                </c:pt>
                <c:pt idx="10">
                  <c:v>0.91500835150195903</c:v>
                </c:pt>
                <c:pt idx="11">
                  <c:v>0.9154564447783855</c:v>
                </c:pt>
                <c:pt idx="12">
                  <c:v>0.91599165648485714</c:v>
                </c:pt>
                <c:pt idx="13">
                  <c:v>0.91526324017415073</c:v>
                </c:pt>
                <c:pt idx="14">
                  <c:v>0.91030476047871367</c:v>
                </c:pt>
                <c:pt idx="15">
                  <c:v>0.90991852051788591</c:v>
                </c:pt>
                <c:pt idx="16">
                  <c:v>0.91144895060482012</c:v>
                </c:pt>
                <c:pt idx="17">
                  <c:v>0.89642309175196655</c:v>
                </c:pt>
                <c:pt idx="18">
                  <c:v>0.89893610562644</c:v>
                </c:pt>
                <c:pt idx="19">
                  <c:v>0.89854520521022863</c:v>
                </c:pt>
                <c:pt idx="20">
                  <c:v>0.89822078599565514</c:v>
                </c:pt>
                <c:pt idx="21">
                  <c:v>0.89752261660938248</c:v>
                </c:pt>
                <c:pt idx="22">
                  <c:v>0.89715723452256724</c:v>
                </c:pt>
                <c:pt idx="23">
                  <c:v>0.89446915159236484</c:v>
                </c:pt>
                <c:pt idx="24">
                  <c:v>0.89345556822471572</c:v>
                </c:pt>
                <c:pt idx="25">
                  <c:v>0.89150689200132882</c:v>
                </c:pt>
                <c:pt idx="26">
                  <c:v>0.88147785602160478</c:v>
                </c:pt>
                <c:pt idx="27">
                  <c:v>0.87931231618080874</c:v>
                </c:pt>
                <c:pt idx="28">
                  <c:v>0.87953799702042523</c:v>
                </c:pt>
                <c:pt idx="29">
                  <c:v>0.87875483599144899</c:v>
                </c:pt>
                <c:pt idx="30">
                  <c:v>0.8777892114646717</c:v>
                </c:pt>
                <c:pt idx="31">
                  <c:v>0.88219070226748098</c:v>
                </c:pt>
                <c:pt idx="32">
                  <c:v>0.88139942994851395</c:v>
                </c:pt>
                <c:pt idx="33">
                  <c:v>0.87428082174163857</c:v>
                </c:pt>
                <c:pt idx="34">
                  <c:v>0.88118522512761921</c:v>
                </c:pt>
                <c:pt idx="35">
                  <c:v>0.88221266122632447</c:v>
                </c:pt>
                <c:pt idx="36">
                  <c:v>0.8876278051186175</c:v>
                </c:pt>
                <c:pt idx="37">
                  <c:v>0.88591765112303766</c:v>
                </c:pt>
                <c:pt idx="38">
                  <c:v>0.88457127797667567</c:v>
                </c:pt>
                <c:pt idx="39">
                  <c:v>0.88561418316986051</c:v>
                </c:pt>
                <c:pt idx="40">
                  <c:v>0.88536607925687882</c:v>
                </c:pt>
                <c:pt idx="41">
                  <c:v>0.88494460339255288</c:v>
                </c:pt>
                <c:pt idx="42">
                  <c:v>0.88330340119261086</c:v>
                </c:pt>
                <c:pt idx="43">
                  <c:v>0.87389969574706905</c:v>
                </c:pt>
                <c:pt idx="44">
                  <c:v>0.86707704054793766</c:v>
                </c:pt>
                <c:pt idx="45">
                  <c:v>0.86719015951714495</c:v>
                </c:pt>
                <c:pt idx="46">
                  <c:v>0.85827810015572037</c:v>
                </c:pt>
                <c:pt idx="47">
                  <c:v>0.85564787683569365</c:v>
                </c:pt>
                <c:pt idx="48">
                  <c:v>0.86288982772136213</c:v>
                </c:pt>
                <c:pt idx="49">
                  <c:v>0.86331493800133419</c:v>
                </c:pt>
                <c:pt idx="50">
                  <c:v>0.86397035951098655</c:v>
                </c:pt>
                <c:pt idx="51">
                  <c:v>0.86699634134476133</c:v>
                </c:pt>
                <c:pt idx="52">
                  <c:v>0.86555159409513782</c:v>
                </c:pt>
                <c:pt idx="53">
                  <c:v>0.87255174392688051</c:v>
                </c:pt>
                <c:pt idx="54">
                  <c:v>0.87282751357990784</c:v>
                </c:pt>
                <c:pt idx="55">
                  <c:v>0.88926260867225193</c:v>
                </c:pt>
                <c:pt idx="56">
                  <c:v>0.88950372751886164</c:v>
                </c:pt>
                <c:pt idx="57">
                  <c:v>0.8923029616268815</c:v>
                </c:pt>
                <c:pt idx="58">
                  <c:v>0.8958943432251969</c:v>
                </c:pt>
                <c:pt idx="59">
                  <c:v>0.89837585003183917</c:v>
                </c:pt>
                <c:pt idx="60">
                  <c:v>0.92148600933809188</c:v>
                </c:pt>
                <c:pt idx="61">
                  <c:v>0.9224673836444246</c:v>
                </c:pt>
                <c:pt idx="62">
                  <c:v>0.91999567364099011</c:v>
                </c:pt>
                <c:pt idx="63">
                  <c:v>0.92313613843470244</c:v>
                </c:pt>
                <c:pt idx="64">
                  <c:v>0.93110328316012947</c:v>
                </c:pt>
                <c:pt idx="65">
                  <c:v>0.93071847087912596</c:v>
                </c:pt>
                <c:pt idx="66">
                  <c:v>0.93194077397867348</c:v>
                </c:pt>
                <c:pt idx="67">
                  <c:v>0.93153420456084335</c:v>
                </c:pt>
                <c:pt idx="68">
                  <c:v>0.93241500898536256</c:v>
                </c:pt>
                <c:pt idx="69">
                  <c:v>0.93251632100265691</c:v>
                </c:pt>
                <c:pt idx="70">
                  <c:v>0.93258498388184352</c:v>
                </c:pt>
                <c:pt idx="71">
                  <c:v>0.93311304080590152</c:v>
                </c:pt>
                <c:pt idx="72">
                  <c:v>0.93271746959618052</c:v>
                </c:pt>
                <c:pt idx="73">
                  <c:v>0.93276262337812632</c:v>
                </c:pt>
                <c:pt idx="74">
                  <c:v>0.94003966700862274</c:v>
                </c:pt>
                <c:pt idx="75">
                  <c:v>0.94232470343664598</c:v>
                </c:pt>
                <c:pt idx="76">
                  <c:v>0.94220773643574407</c:v>
                </c:pt>
                <c:pt idx="77">
                  <c:v>0.94353282477543166</c:v>
                </c:pt>
                <c:pt idx="78">
                  <c:v>0.94339572303032537</c:v>
                </c:pt>
                <c:pt idx="79">
                  <c:v>0.94309877856246382</c:v>
                </c:pt>
                <c:pt idx="80">
                  <c:v>0.94532246741865311</c:v>
                </c:pt>
                <c:pt idx="81">
                  <c:v>0.94697011500936867</c:v>
                </c:pt>
                <c:pt idx="82">
                  <c:v>0.94787696276689282</c:v>
                </c:pt>
                <c:pt idx="83">
                  <c:v>0.94817604585323367</c:v>
                </c:pt>
                <c:pt idx="84">
                  <c:v>0.94803049043433796</c:v>
                </c:pt>
                <c:pt idx="85">
                  <c:v>0.95195567093340738</c:v>
                </c:pt>
                <c:pt idx="86">
                  <c:v>0.94855891348197574</c:v>
                </c:pt>
                <c:pt idx="87">
                  <c:v>0.94756805273645739</c:v>
                </c:pt>
                <c:pt idx="88">
                  <c:v>0.94728743977264918</c:v>
                </c:pt>
                <c:pt idx="89">
                  <c:v>0.94772265045326587</c:v>
                </c:pt>
                <c:pt idx="90">
                  <c:v>0.94751532911043956</c:v>
                </c:pt>
                <c:pt idx="91">
                  <c:v>0.9475618641020489</c:v>
                </c:pt>
                <c:pt idx="92">
                  <c:v>0.94650583821535161</c:v>
                </c:pt>
                <c:pt idx="93">
                  <c:v>0.94790412154119219</c:v>
                </c:pt>
                <c:pt idx="94">
                  <c:v>0.94576504389414173</c:v>
                </c:pt>
                <c:pt idx="95">
                  <c:v>0.94886507261126218</c:v>
                </c:pt>
                <c:pt idx="96">
                  <c:v>0.94826095828569257</c:v>
                </c:pt>
                <c:pt idx="97">
                  <c:v>0.94917503158291183</c:v>
                </c:pt>
                <c:pt idx="98">
                  <c:v>0.94952090184265958</c:v>
                </c:pt>
                <c:pt idx="99">
                  <c:v>0.94545661921168767</c:v>
                </c:pt>
                <c:pt idx="100">
                  <c:v>0.94523913639408563</c:v>
                </c:pt>
                <c:pt idx="101">
                  <c:v>0.94870071915635579</c:v>
                </c:pt>
                <c:pt idx="102">
                  <c:v>0.94892399735209376</c:v>
                </c:pt>
                <c:pt idx="103">
                  <c:v>0.95189295394161821</c:v>
                </c:pt>
                <c:pt idx="104">
                  <c:v>0.94914462965382529</c:v>
                </c:pt>
                <c:pt idx="105">
                  <c:v>0.94983097303415709</c:v>
                </c:pt>
                <c:pt idx="106">
                  <c:v>0.95247723443385035</c:v>
                </c:pt>
                <c:pt idx="107">
                  <c:v>0.9512898792736777</c:v>
                </c:pt>
                <c:pt idx="108">
                  <c:v>0.94986643431138895</c:v>
                </c:pt>
                <c:pt idx="109">
                  <c:v>0.94396825958305608</c:v>
                </c:pt>
                <c:pt idx="110">
                  <c:v>0.94372189322357158</c:v>
                </c:pt>
                <c:pt idx="111">
                  <c:v>0.94131769134617749</c:v>
                </c:pt>
                <c:pt idx="112">
                  <c:v>0.9392067403437816</c:v>
                </c:pt>
                <c:pt idx="113">
                  <c:v>0.93569991574943501</c:v>
                </c:pt>
                <c:pt idx="114">
                  <c:v>0.93526096197520281</c:v>
                </c:pt>
                <c:pt idx="115">
                  <c:v>0.90911760586585688</c:v>
                </c:pt>
                <c:pt idx="116">
                  <c:v>0.90849851093418799</c:v>
                </c:pt>
                <c:pt idx="117">
                  <c:v>0.88566238023876243</c:v>
                </c:pt>
                <c:pt idx="118">
                  <c:v>0.89437280350866621</c:v>
                </c:pt>
                <c:pt idx="119">
                  <c:v>0.9069865081080265</c:v>
                </c:pt>
                <c:pt idx="120">
                  <c:v>0.89366856905486591</c:v>
                </c:pt>
                <c:pt idx="121">
                  <c:v>0.89737320877726456</c:v>
                </c:pt>
                <c:pt idx="122">
                  <c:v>0.89843363580941737</c:v>
                </c:pt>
                <c:pt idx="123">
                  <c:v>0.87743515711064335</c:v>
                </c:pt>
                <c:pt idx="124">
                  <c:v>0.87004968309012465</c:v>
                </c:pt>
                <c:pt idx="125">
                  <c:v>0.8538851434701199</c:v>
                </c:pt>
                <c:pt idx="126">
                  <c:v>0.84785743490524235</c:v>
                </c:pt>
                <c:pt idx="127">
                  <c:v>0.84248719306860576</c:v>
                </c:pt>
                <c:pt idx="128">
                  <c:v>0.84079113498159608</c:v>
                </c:pt>
                <c:pt idx="129">
                  <c:v>0.84098684382292033</c:v>
                </c:pt>
                <c:pt idx="130">
                  <c:v>0.84042374758203509</c:v>
                </c:pt>
                <c:pt idx="131">
                  <c:v>0.84003092547687086</c:v>
                </c:pt>
                <c:pt idx="132">
                  <c:v>0.84133757262943998</c:v>
                </c:pt>
                <c:pt idx="133">
                  <c:v>0.84259091578343037</c:v>
                </c:pt>
                <c:pt idx="134">
                  <c:v>0.84202184058154472</c:v>
                </c:pt>
                <c:pt idx="135">
                  <c:v>0.84144227602389066</c:v>
                </c:pt>
                <c:pt idx="136">
                  <c:v>0.84017854965093164</c:v>
                </c:pt>
                <c:pt idx="137">
                  <c:v>0.839177108369069</c:v>
                </c:pt>
                <c:pt idx="138">
                  <c:v>0.84050311806789602</c:v>
                </c:pt>
                <c:pt idx="139">
                  <c:v>0.84087225176110314</c:v>
                </c:pt>
                <c:pt idx="140">
                  <c:v>0.8410841362526934</c:v>
                </c:pt>
                <c:pt idx="141">
                  <c:v>0.84084420334915577</c:v>
                </c:pt>
                <c:pt idx="142">
                  <c:v>0.83969283089252822</c:v>
                </c:pt>
                <c:pt idx="143">
                  <c:v>0.84052894903372266</c:v>
                </c:pt>
                <c:pt idx="144">
                  <c:v>0.83987321808387394</c:v>
                </c:pt>
                <c:pt idx="145">
                  <c:v>0.8427345569419773</c:v>
                </c:pt>
                <c:pt idx="146">
                  <c:v>0.84366239105103968</c:v>
                </c:pt>
                <c:pt idx="147">
                  <c:v>0.84606793993370766</c:v>
                </c:pt>
                <c:pt idx="148">
                  <c:v>0.84905599255117581</c:v>
                </c:pt>
                <c:pt idx="149">
                  <c:v>0.84959963788847259</c:v>
                </c:pt>
                <c:pt idx="150">
                  <c:v>0.84957052764138385</c:v>
                </c:pt>
                <c:pt idx="151">
                  <c:v>0.85104240704316847</c:v>
                </c:pt>
                <c:pt idx="152">
                  <c:v>0.84711095255543423</c:v>
                </c:pt>
                <c:pt idx="153">
                  <c:v>0.8494366252266472</c:v>
                </c:pt>
                <c:pt idx="154">
                  <c:v>0.84160627870541671</c:v>
                </c:pt>
                <c:pt idx="155">
                  <c:v>0.83375009369757347</c:v>
                </c:pt>
                <c:pt idx="156">
                  <c:v>0.83680159834795853</c:v>
                </c:pt>
                <c:pt idx="157">
                  <c:v>0.83692781067228683</c:v>
                </c:pt>
                <c:pt idx="158">
                  <c:v>0.83562999910444979</c:v>
                </c:pt>
                <c:pt idx="159">
                  <c:v>0.83889938334040126</c:v>
                </c:pt>
                <c:pt idx="160">
                  <c:v>0.83958902863417495</c:v>
                </c:pt>
                <c:pt idx="161">
                  <c:v>0.83967686039597944</c:v>
                </c:pt>
                <c:pt idx="162">
                  <c:v>0.84136946688245384</c:v>
                </c:pt>
                <c:pt idx="163">
                  <c:v>0.83893732817110434</c:v>
                </c:pt>
                <c:pt idx="164">
                  <c:v>0.83936060197277629</c:v>
                </c:pt>
                <c:pt idx="165">
                  <c:v>0.84093507512751986</c:v>
                </c:pt>
                <c:pt idx="166">
                  <c:v>0.83860247631575668</c:v>
                </c:pt>
                <c:pt idx="167">
                  <c:v>0.83608954441507111</c:v>
                </c:pt>
                <c:pt idx="168">
                  <c:v>0.83439656505991122</c:v>
                </c:pt>
                <c:pt idx="169">
                  <c:v>0.83590631890317257</c:v>
                </c:pt>
                <c:pt idx="170">
                  <c:v>0.83866877086776792</c:v>
                </c:pt>
                <c:pt idx="171">
                  <c:v>0.83820038955740084</c:v>
                </c:pt>
                <c:pt idx="172">
                  <c:v>0.8404519056497175</c:v>
                </c:pt>
                <c:pt idx="173">
                  <c:v>0.84574689405926118</c:v>
                </c:pt>
                <c:pt idx="174">
                  <c:v>0.84861965240970805</c:v>
                </c:pt>
                <c:pt idx="175">
                  <c:v>0.84867906184185815</c:v>
                </c:pt>
                <c:pt idx="176">
                  <c:v>0.84949995536890954</c:v>
                </c:pt>
                <c:pt idx="177">
                  <c:v>0.84062907534189213</c:v>
                </c:pt>
                <c:pt idx="178">
                  <c:v>0.8213762994324223</c:v>
                </c:pt>
                <c:pt idx="179">
                  <c:v>0.80851804817071171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56-4046-8518-50A97584B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74240"/>
        <c:axId val="171672704"/>
      </c:lineChart>
      <c:dateAx>
        <c:axId val="17164889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1650432"/>
        <c:crosses val="autoZero"/>
        <c:auto val="1"/>
        <c:lblOffset val="100"/>
        <c:baseTimeUnit val="months"/>
      </c:dateAx>
      <c:valAx>
        <c:axId val="171650432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71648896"/>
        <c:crosses val="autoZero"/>
        <c:crossBetween val="between"/>
      </c:valAx>
      <c:valAx>
        <c:axId val="171672704"/>
        <c:scaling>
          <c:orientation val="minMax"/>
          <c:max val="1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71674240"/>
        <c:crosses val="max"/>
        <c:crossBetween val="between"/>
      </c:valAx>
      <c:dateAx>
        <c:axId val="171674240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71672704"/>
        <c:crosses val="autoZero"/>
        <c:auto val="1"/>
        <c:lblOffset val="100"/>
        <c:baseTimeUnit val="months"/>
      </c:date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TimeVanguardInvGrade!$A$3</c:f>
          <c:strCache>
            <c:ptCount val="1"/>
            <c:pt idx="0">
              <c:v>06 - Vanguard Long-Term Investment-Grade Fund (Investor)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TimeVanguardInvGrade!$A$4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A-4E24-9636-ACA0537957B2}"/>
            </c:ext>
          </c:extLst>
        </c:ser>
        <c:ser>
          <c:idx val="2"/>
          <c:order val="1"/>
          <c:tx>
            <c:strRef>
              <c:f>TimeVanguardInvGrade!$A$5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TimeVanguardInvGrade!$B$5:$FY$5</c:f>
              <c:numCache>
                <c:formatCode>General</c:formatCode>
                <c:ptCount val="180"/>
                <c:pt idx="0">
                  <c:v>3.0398099828980625E-2</c:v>
                </c:pt>
                <c:pt idx="1">
                  <c:v>1.9194719169282653E-2</c:v>
                </c:pt>
                <c:pt idx="2">
                  <c:v>8.8766666442773607E-3</c:v>
                </c:pt>
                <c:pt idx="3">
                  <c:v>5.254615184638714E-2</c:v>
                </c:pt>
                <c:pt idx="4">
                  <c:v>5.904274486646114E-2</c:v>
                </c:pt>
                <c:pt idx="5">
                  <c:v>5.4700176813526923E-2</c:v>
                </c:pt>
                <c:pt idx="6">
                  <c:v>4.9334100597364754E-2</c:v>
                </c:pt>
                <c:pt idx="7">
                  <c:v>4.8373933461500457E-2</c:v>
                </c:pt>
                <c:pt idx="8">
                  <c:v>4.973854163582174E-2</c:v>
                </c:pt>
                <c:pt idx="9">
                  <c:v>4.452565480586803E-2</c:v>
                </c:pt>
                <c:pt idx="10">
                  <c:v>4.3307689699301433E-2</c:v>
                </c:pt>
                <c:pt idx="11">
                  <c:v>3.6969009219517006E-2</c:v>
                </c:pt>
                <c:pt idx="12">
                  <c:v>4.5403468386607727E-2</c:v>
                </c:pt>
                <c:pt idx="13">
                  <c:v>5.0356619595176358E-2</c:v>
                </c:pt>
                <c:pt idx="14">
                  <c:v>7.2861269977855705E-2</c:v>
                </c:pt>
                <c:pt idx="15">
                  <c:v>6.8330961872398663E-2</c:v>
                </c:pt>
                <c:pt idx="16">
                  <c:v>5.4013274577772462E-2</c:v>
                </c:pt>
                <c:pt idx="17">
                  <c:v>3.7850517667682909E-2</c:v>
                </c:pt>
                <c:pt idx="18">
                  <c:v>1.9502396039284369E-2</c:v>
                </c:pt>
                <c:pt idx="19">
                  <c:v>1.9005896603828957E-2</c:v>
                </c:pt>
                <c:pt idx="20">
                  <c:v>2.5119270677649744E-2</c:v>
                </c:pt>
                <c:pt idx="21">
                  <c:v>2.2550471838438085E-2</c:v>
                </c:pt>
                <c:pt idx="22">
                  <c:v>1.4786799233632384E-2</c:v>
                </c:pt>
                <c:pt idx="23">
                  <c:v>1.5307316306953183E-2</c:v>
                </c:pt>
                <c:pt idx="24">
                  <c:v>8.7282791226332146E-3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-4.1118808877249613E-7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A-4E24-9636-ACA0537957B2}"/>
            </c:ext>
          </c:extLst>
        </c:ser>
        <c:ser>
          <c:idx val="3"/>
          <c:order val="2"/>
          <c:tx>
            <c:strRef>
              <c:f>TimeVanguardInvGrade!$A$6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TimeVanguardInvGrade!$B$6:$FY$6</c:f>
              <c:numCache>
                <c:formatCode>General</c:formatCode>
                <c:ptCount val="180"/>
                <c:pt idx="0">
                  <c:v>0.39259817258984625</c:v>
                </c:pt>
                <c:pt idx="1">
                  <c:v>0.38060948182167864</c:v>
                </c:pt>
                <c:pt idx="2">
                  <c:v>0.35509425152026652</c:v>
                </c:pt>
                <c:pt idx="3">
                  <c:v>0.36027730814747888</c:v>
                </c:pt>
                <c:pt idx="4">
                  <c:v>0.35797863344271519</c:v>
                </c:pt>
                <c:pt idx="5">
                  <c:v>0.34306178935931986</c:v>
                </c:pt>
                <c:pt idx="6">
                  <c:v>0.32495745425370404</c:v>
                </c:pt>
                <c:pt idx="7">
                  <c:v>0.35613673776777222</c:v>
                </c:pt>
                <c:pt idx="8">
                  <c:v>0.35384546004421641</c:v>
                </c:pt>
                <c:pt idx="9">
                  <c:v>0.35489806760542902</c:v>
                </c:pt>
                <c:pt idx="10">
                  <c:v>0.34934694026849</c:v>
                </c:pt>
                <c:pt idx="11">
                  <c:v>0.33830511224513876</c:v>
                </c:pt>
                <c:pt idx="12">
                  <c:v>0.34716276200438156</c:v>
                </c:pt>
                <c:pt idx="13">
                  <c:v>0.33937816782421815</c:v>
                </c:pt>
                <c:pt idx="14">
                  <c:v>0.32742049257008826</c:v>
                </c:pt>
                <c:pt idx="15">
                  <c:v>0.31207905989535373</c:v>
                </c:pt>
                <c:pt idx="16">
                  <c:v>0.32160922713980705</c:v>
                </c:pt>
                <c:pt idx="17">
                  <c:v>0.33014350296400086</c:v>
                </c:pt>
                <c:pt idx="18">
                  <c:v>0.33500734894567258</c:v>
                </c:pt>
                <c:pt idx="19">
                  <c:v>0.32381290899733761</c:v>
                </c:pt>
                <c:pt idx="20">
                  <c:v>0.31877225668525672</c:v>
                </c:pt>
                <c:pt idx="21">
                  <c:v>0.3067300172937022</c:v>
                </c:pt>
                <c:pt idx="22">
                  <c:v>0.30777739671631571</c:v>
                </c:pt>
                <c:pt idx="23">
                  <c:v>0.30300307854262043</c:v>
                </c:pt>
                <c:pt idx="24">
                  <c:v>0.31514923685919022</c:v>
                </c:pt>
                <c:pt idx="25">
                  <c:v>0.31456018169244365</c:v>
                </c:pt>
                <c:pt idx="26">
                  <c:v>0.31547587555120155</c:v>
                </c:pt>
                <c:pt idx="27">
                  <c:v>0.29502465937454014</c:v>
                </c:pt>
                <c:pt idx="28">
                  <c:v>0.26678693179480817</c:v>
                </c:pt>
                <c:pt idx="29">
                  <c:v>0.26780856573928896</c:v>
                </c:pt>
                <c:pt idx="30">
                  <c:v>0.27091384522090217</c:v>
                </c:pt>
                <c:pt idx="31">
                  <c:v>0.26876543995901037</c:v>
                </c:pt>
                <c:pt idx="32">
                  <c:v>0.25987615053753466</c:v>
                </c:pt>
                <c:pt idx="33">
                  <c:v>0.22447244566524596</c:v>
                </c:pt>
                <c:pt idx="34">
                  <c:v>0.22861508758703877</c:v>
                </c:pt>
                <c:pt idx="35">
                  <c:v>0.23528559565023663</c:v>
                </c:pt>
                <c:pt idx="36">
                  <c:v>0.19027470040867678</c:v>
                </c:pt>
                <c:pt idx="37">
                  <c:v>0.18408173601936392</c:v>
                </c:pt>
                <c:pt idx="38">
                  <c:v>0.18845821809134164</c:v>
                </c:pt>
                <c:pt idx="39">
                  <c:v>0.2119569710640884</c:v>
                </c:pt>
                <c:pt idx="40">
                  <c:v>0.22599708364395008</c:v>
                </c:pt>
                <c:pt idx="41">
                  <c:v>0.2259524663135313</c:v>
                </c:pt>
                <c:pt idx="42">
                  <c:v>0.23359491177216768</c:v>
                </c:pt>
                <c:pt idx="43">
                  <c:v>0.20571962945687422</c:v>
                </c:pt>
                <c:pt idx="44">
                  <c:v>0.21972764625211752</c:v>
                </c:pt>
                <c:pt idx="45">
                  <c:v>0.21579885530872417</c:v>
                </c:pt>
                <c:pt idx="46">
                  <c:v>0.25305196196780627</c:v>
                </c:pt>
                <c:pt idx="47">
                  <c:v>0.23256879761122257</c:v>
                </c:pt>
                <c:pt idx="48">
                  <c:v>0.23027471840445027</c:v>
                </c:pt>
                <c:pt idx="49">
                  <c:v>0.23580805905979713</c:v>
                </c:pt>
                <c:pt idx="50">
                  <c:v>0.25291799532210824</c:v>
                </c:pt>
                <c:pt idx="51">
                  <c:v>0.25338144335722507</c:v>
                </c:pt>
                <c:pt idx="52">
                  <c:v>0.26261386936177283</c:v>
                </c:pt>
                <c:pt idx="53">
                  <c:v>0.31185082822724791</c:v>
                </c:pt>
                <c:pt idx="54">
                  <c:v>0.30905473132580963</c:v>
                </c:pt>
                <c:pt idx="55">
                  <c:v>0.48925854559180054</c:v>
                </c:pt>
                <c:pt idx="56">
                  <c:v>0.4880818954766451</c:v>
                </c:pt>
                <c:pt idx="57">
                  <c:v>0.50625055707276245</c:v>
                </c:pt>
                <c:pt idx="58">
                  <c:v>0.52982191954096458</c:v>
                </c:pt>
                <c:pt idx="59">
                  <c:v>0.53287429203572467</c:v>
                </c:pt>
                <c:pt idx="60">
                  <c:v>0.59839192537728214</c:v>
                </c:pt>
                <c:pt idx="61">
                  <c:v>0.60122773144770769</c:v>
                </c:pt>
                <c:pt idx="62">
                  <c:v>0.6155590880660361</c:v>
                </c:pt>
                <c:pt idx="63">
                  <c:v>0.60856700499772265</c:v>
                </c:pt>
                <c:pt idx="64">
                  <c:v>0.62894446100802603</c:v>
                </c:pt>
                <c:pt idx="65">
                  <c:v>0.62742701801795842</c:v>
                </c:pt>
                <c:pt idx="66">
                  <c:v>0.62780343835112562</c:v>
                </c:pt>
                <c:pt idx="67">
                  <c:v>0.62270839116303156</c:v>
                </c:pt>
                <c:pt idx="68">
                  <c:v>0.6234124035219748</c:v>
                </c:pt>
                <c:pt idx="69">
                  <c:v>0.62468882948376658</c:v>
                </c:pt>
                <c:pt idx="70">
                  <c:v>0.62364103801238302</c:v>
                </c:pt>
                <c:pt idx="71">
                  <c:v>0.62186701251779219</c:v>
                </c:pt>
                <c:pt idx="72">
                  <c:v>0.62128086650932735</c:v>
                </c:pt>
                <c:pt idx="73">
                  <c:v>0.62856953553358086</c:v>
                </c:pt>
                <c:pt idx="74">
                  <c:v>0.65890140191217828</c:v>
                </c:pt>
                <c:pt idx="75">
                  <c:v>0.66310346098027495</c:v>
                </c:pt>
                <c:pt idx="76">
                  <c:v>0.66522251919656517</c:v>
                </c:pt>
                <c:pt idx="77">
                  <c:v>0.65643919120793404</c:v>
                </c:pt>
                <c:pt idx="78">
                  <c:v>0.66093251402684428</c:v>
                </c:pt>
                <c:pt idx="79">
                  <c:v>0.67348137288955734</c:v>
                </c:pt>
                <c:pt idx="80">
                  <c:v>0.67369870943111443</c:v>
                </c:pt>
                <c:pt idx="81">
                  <c:v>0.71165124909865696</c:v>
                </c:pt>
                <c:pt idx="82">
                  <c:v>0.7194980860118142</c:v>
                </c:pt>
                <c:pt idx="83">
                  <c:v>0.7133125941340408</c:v>
                </c:pt>
                <c:pt idx="84">
                  <c:v>0.71350845137539587</c:v>
                </c:pt>
                <c:pt idx="85">
                  <c:v>0.7577164140985222</c:v>
                </c:pt>
                <c:pt idx="86">
                  <c:v>0.75208220995901909</c:v>
                </c:pt>
                <c:pt idx="87">
                  <c:v>0.78496260973164533</c:v>
                </c:pt>
                <c:pt idx="88">
                  <c:v>0.79424372062060089</c:v>
                </c:pt>
                <c:pt idx="89">
                  <c:v>0.79875091699617362</c:v>
                </c:pt>
                <c:pt idx="90">
                  <c:v>0.7965541186472016</c:v>
                </c:pt>
                <c:pt idx="91">
                  <c:v>0.8001600340263243</c:v>
                </c:pt>
                <c:pt idx="92">
                  <c:v>0.80404906361558393</c:v>
                </c:pt>
                <c:pt idx="93">
                  <c:v>0.78321775343009581</c:v>
                </c:pt>
                <c:pt idx="94">
                  <c:v>0.78976328097168347</c:v>
                </c:pt>
                <c:pt idx="95">
                  <c:v>0.83577635254366922</c:v>
                </c:pt>
                <c:pt idx="96">
                  <c:v>0.8452186869795042</c:v>
                </c:pt>
                <c:pt idx="97">
                  <c:v>0.8506154932006722</c:v>
                </c:pt>
                <c:pt idx="98">
                  <c:v>0.85036768389654771</c:v>
                </c:pt>
                <c:pt idx="99">
                  <c:v>0.85977234940078406</c:v>
                </c:pt>
                <c:pt idx="100">
                  <c:v>0.86345979002680662</c:v>
                </c:pt>
                <c:pt idx="101">
                  <c:v>0.88992171636317441</c:v>
                </c:pt>
                <c:pt idx="102">
                  <c:v>0.88846739308083422</c:v>
                </c:pt>
                <c:pt idx="103">
                  <c:v>0.86444133101331833</c:v>
                </c:pt>
                <c:pt idx="104">
                  <c:v>0.85564089459480552</c:v>
                </c:pt>
                <c:pt idx="105">
                  <c:v>0.85267934246427657</c:v>
                </c:pt>
                <c:pt idx="106">
                  <c:v>0.84534701071674756</c:v>
                </c:pt>
                <c:pt idx="107">
                  <c:v>0.82265528433352419</c:v>
                </c:pt>
                <c:pt idx="108">
                  <c:v>0.82468015033674258</c:v>
                </c:pt>
                <c:pt idx="109">
                  <c:v>0.85920937492260852</c:v>
                </c:pt>
                <c:pt idx="110">
                  <c:v>0.86468809161167548</c:v>
                </c:pt>
                <c:pt idx="111">
                  <c:v>0.85064227462718645</c:v>
                </c:pt>
                <c:pt idx="112">
                  <c:v>0.84382537599955421</c:v>
                </c:pt>
                <c:pt idx="113">
                  <c:v>0.85484903916654298</c:v>
                </c:pt>
                <c:pt idx="114">
                  <c:v>0.85770504844196249</c:v>
                </c:pt>
                <c:pt idx="115">
                  <c:v>0.85659240590883057</c:v>
                </c:pt>
                <c:pt idx="116">
                  <c:v>0.84193739137006751</c:v>
                </c:pt>
                <c:pt idx="117">
                  <c:v>0.53325694142528335</c:v>
                </c:pt>
                <c:pt idx="118">
                  <c:v>0.55568135005400332</c:v>
                </c:pt>
                <c:pt idx="119">
                  <c:v>0.59269564695201282</c:v>
                </c:pt>
                <c:pt idx="120">
                  <c:v>0.74277987339093221</c:v>
                </c:pt>
                <c:pt idx="121">
                  <c:v>0.66416801353117649</c:v>
                </c:pt>
                <c:pt idx="122">
                  <c:v>0.66836239078875348</c:v>
                </c:pt>
                <c:pt idx="123">
                  <c:v>0.58394398203136799</c:v>
                </c:pt>
                <c:pt idx="124">
                  <c:v>0.56253656686422804</c:v>
                </c:pt>
                <c:pt idx="125">
                  <c:v>0.5019554350528822</c:v>
                </c:pt>
                <c:pt idx="126">
                  <c:v>0.47842701186115838</c:v>
                </c:pt>
                <c:pt idx="127">
                  <c:v>0.4614029314626949</c:v>
                </c:pt>
                <c:pt idx="128">
                  <c:v>0.45822584950276746</c:v>
                </c:pt>
                <c:pt idx="129">
                  <c:v>0.45809731097718626</c:v>
                </c:pt>
                <c:pt idx="130">
                  <c:v>0.4634874321946284</c:v>
                </c:pt>
                <c:pt idx="131">
                  <c:v>0.46465420421591619</c:v>
                </c:pt>
                <c:pt idx="132">
                  <c:v>0.46235923574806442</c:v>
                </c:pt>
                <c:pt idx="133">
                  <c:v>0.45998754965974403</c:v>
                </c:pt>
                <c:pt idx="134">
                  <c:v>0.46136585558803228</c:v>
                </c:pt>
                <c:pt idx="135">
                  <c:v>0.46093739279763485</c:v>
                </c:pt>
                <c:pt idx="136">
                  <c:v>0.45959556989244693</c:v>
                </c:pt>
                <c:pt idx="137">
                  <c:v>0.45653100474683084</c:v>
                </c:pt>
                <c:pt idx="138">
                  <c:v>0.45939915652081698</c:v>
                </c:pt>
                <c:pt idx="139">
                  <c:v>0.45808981274605715</c:v>
                </c:pt>
                <c:pt idx="140">
                  <c:v>0.46495375863200455</c:v>
                </c:pt>
                <c:pt idx="141">
                  <c:v>0.4649340500552348</c:v>
                </c:pt>
                <c:pt idx="142">
                  <c:v>0.47069778386872552</c:v>
                </c:pt>
                <c:pt idx="143">
                  <c:v>0.47258043317518417</c:v>
                </c:pt>
                <c:pt idx="144">
                  <c:v>0.47456520474257785</c:v>
                </c:pt>
                <c:pt idx="145">
                  <c:v>0.4825172112269342</c:v>
                </c:pt>
                <c:pt idx="146">
                  <c:v>0.48471943945543267</c:v>
                </c:pt>
                <c:pt idx="147">
                  <c:v>0.47597357314870431</c:v>
                </c:pt>
                <c:pt idx="148">
                  <c:v>0.47499743870613576</c:v>
                </c:pt>
                <c:pt idx="149">
                  <c:v>0.47764688986992287</c:v>
                </c:pt>
                <c:pt idx="150">
                  <c:v>0.48217488085184068</c:v>
                </c:pt>
                <c:pt idx="151">
                  <c:v>0.48458276353195318</c:v>
                </c:pt>
                <c:pt idx="152">
                  <c:v>0.46760577120031516</c:v>
                </c:pt>
                <c:pt idx="153">
                  <c:v>0.48204539570747434</c:v>
                </c:pt>
                <c:pt idx="154">
                  <c:v>0.4659711027305985</c:v>
                </c:pt>
                <c:pt idx="155">
                  <c:v>0.45441224975803501</c:v>
                </c:pt>
                <c:pt idx="156">
                  <c:v>0.4548424369962325</c:v>
                </c:pt>
                <c:pt idx="157">
                  <c:v>0.45178782349491875</c:v>
                </c:pt>
                <c:pt idx="158">
                  <c:v>0.4515538022992921</c:v>
                </c:pt>
                <c:pt idx="159">
                  <c:v>0.4563866116691242</c:v>
                </c:pt>
                <c:pt idx="160">
                  <c:v>0.45740172288426212</c:v>
                </c:pt>
                <c:pt idx="161">
                  <c:v>0.45904480100495826</c:v>
                </c:pt>
                <c:pt idx="162">
                  <c:v>0.46214616914936174</c:v>
                </c:pt>
                <c:pt idx="163">
                  <c:v>0.4638888197243497</c:v>
                </c:pt>
                <c:pt idx="164">
                  <c:v>0.46311670828539858</c:v>
                </c:pt>
                <c:pt idx="165">
                  <c:v>0.46688601899643373</c:v>
                </c:pt>
                <c:pt idx="166">
                  <c:v>0.4604162066263543</c:v>
                </c:pt>
                <c:pt idx="167">
                  <c:v>0.45701786461864063</c:v>
                </c:pt>
                <c:pt idx="168">
                  <c:v>0.45831500268236935</c:v>
                </c:pt>
                <c:pt idx="169">
                  <c:v>0.45425643474153643</c:v>
                </c:pt>
                <c:pt idx="170">
                  <c:v>0.4577313070115826</c:v>
                </c:pt>
                <c:pt idx="171">
                  <c:v>0.45883364676369748</c:v>
                </c:pt>
                <c:pt idx="172">
                  <c:v>0.46088982491816499</c:v>
                </c:pt>
                <c:pt idx="173">
                  <c:v>0.46274795953536541</c:v>
                </c:pt>
                <c:pt idx="174">
                  <c:v>0.47375326267966711</c:v>
                </c:pt>
                <c:pt idx="175">
                  <c:v>0.46832162781831643</c:v>
                </c:pt>
                <c:pt idx="176">
                  <c:v>0.47278756890310014</c:v>
                </c:pt>
                <c:pt idx="177">
                  <c:v>0.47882137585847101</c:v>
                </c:pt>
                <c:pt idx="178">
                  <c:v>0.46793861154229471</c:v>
                </c:pt>
                <c:pt idx="179">
                  <c:v>0.45740701490188607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A-4E24-9636-ACA0537957B2}"/>
            </c:ext>
          </c:extLst>
        </c:ser>
        <c:ser>
          <c:idx val="4"/>
          <c:order val="3"/>
          <c:tx>
            <c:strRef>
              <c:f>TimeVanguardInvGrade!$A$7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TimeVanguardInvGrade!$B$7:$FY$7</c:f>
              <c:numCache>
                <c:formatCode>General</c:formatCode>
                <c:ptCount val="180"/>
                <c:pt idx="0">
                  <c:v>0.24240040791399337</c:v>
                </c:pt>
                <c:pt idx="1">
                  <c:v>0.28109123951587389</c:v>
                </c:pt>
                <c:pt idx="2">
                  <c:v>0.29563598782038231</c:v>
                </c:pt>
                <c:pt idx="3">
                  <c:v>0.25261516901060799</c:v>
                </c:pt>
                <c:pt idx="4">
                  <c:v>0.26414185650433275</c:v>
                </c:pt>
                <c:pt idx="5">
                  <c:v>0.25565843410385708</c:v>
                </c:pt>
                <c:pt idx="6">
                  <c:v>0.2521030559212753</c:v>
                </c:pt>
                <c:pt idx="7">
                  <c:v>0.2558185703473409</c:v>
                </c:pt>
                <c:pt idx="8">
                  <c:v>0.24783378781750862</c:v>
                </c:pt>
                <c:pt idx="9">
                  <c:v>0.28087947722247597</c:v>
                </c:pt>
                <c:pt idx="10">
                  <c:v>0.287663331676552</c:v>
                </c:pt>
                <c:pt idx="11">
                  <c:v>0.29229928101455821</c:v>
                </c:pt>
                <c:pt idx="12">
                  <c:v>0.28086583745994037</c:v>
                </c:pt>
                <c:pt idx="13">
                  <c:v>0.27330285530804793</c:v>
                </c:pt>
                <c:pt idx="14">
                  <c:v>0.26268223037400384</c:v>
                </c:pt>
                <c:pt idx="15">
                  <c:v>0.30689326175039922</c:v>
                </c:pt>
                <c:pt idx="16">
                  <c:v>0.32178945981046353</c:v>
                </c:pt>
                <c:pt idx="17">
                  <c:v>0.31816109220421146</c:v>
                </c:pt>
                <c:pt idx="18">
                  <c:v>0.3501385304580012</c:v>
                </c:pt>
                <c:pt idx="19">
                  <c:v>0.35392746223505772</c:v>
                </c:pt>
                <c:pt idx="20">
                  <c:v>0.34132964908822416</c:v>
                </c:pt>
                <c:pt idx="21">
                  <c:v>0.35422078557046527</c:v>
                </c:pt>
                <c:pt idx="22">
                  <c:v>0.36281578182565205</c:v>
                </c:pt>
                <c:pt idx="23">
                  <c:v>0.36232234008441111</c:v>
                </c:pt>
                <c:pt idx="24">
                  <c:v>0.37555115086517604</c:v>
                </c:pt>
                <c:pt idx="25">
                  <c:v>0.42581002399530465</c:v>
                </c:pt>
                <c:pt idx="26">
                  <c:v>0.43606853824338654</c:v>
                </c:pt>
                <c:pt idx="27">
                  <c:v>0.42866747205789124</c:v>
                </c:pt>
                <c:pt idx="28">
                  <c:v>0.43133320072134801</c:v>
                </c:pt>
                <c:pt idx="29">
                  <c:v>0.44021287121939395</c:v>
                </c:pt>
                <c:pt idx="30">
                  <c:v>0.43920200533139619</c:v>
                </c:pt>
                <c:pt idx="31">
                  <c:v>0.45235151756557695</c:v>
                </c:pt>
                <c:pt idx="32">
                  <c:v>0.45760895222383341</c:v>
                </c:pt>
                <c:pt idx="33">
                  <c:v>0.42230133003505133</c:v>
                </c:pt>
                <c:pt idx="34">
                  <c:v>0.43117590142356571</c:v>
                </c:pt>
                <c:pt idx="35">
                  <c:v>0.42793237508935644</c:v>
                </c:pt>
                <c:pt idx="36">
                  <c:v>0.43954061651588089</c:v>
                </c:pt>
                <c:pt idx="37">
                  <c:v>0.44241555929180998</c:v>
                </c:pt>
                <c:pt idx="38">
                  <c:v>0.44512374181788783</c:v>
                </c:pt>
                <c:pt idx="39">
                  <c:v>0.44876293035935733</c:v>
                </c:pt>
                <c:pt idx="40">
                  <c:v>0.44614393469256791</c:v>
                </c:pt>
                <c:pt idx="41">
                  <c:v>0.45036669840982196</c:v>
                </c:pt>
                <c:pt idx="42">
                  <c:v>0.458283389169444</c:v>
                </c:pt>
                <c:pt idx="43">
                  <c:v>0.47330594751003335</c:v>
                </c:pt>
                <c:pt idx="44">
                  <c:v>0.47659163873700483</c:v>
                </c:pt>
                <c:pt idx="45">
                  <c:v>0.47453562343254724</c:v>
                </c:pt>
                <c:pt idx="46">
                  <c:v>0.44448186580111448</c:v>
                </c:pt>
                <c:pt idx="47">
                  <c:v>0.45545630084254368</c:v>
                </c:pt>
                <c:pt idx="48">
                  <c:v>0.45501696614354092</c:v>
                </c:pt>
                <c:pt idx="49">
                  <c:v>0.45745644876925184</c:v>
                </c:pt>
                <c:pt idx="50">
                  <c:v>0.46488345340040949</c:v>
                </c:pt>
                <c:pt idx="51">
                  <c:v>0.44859091366938897</c:v>
                </c:pt>
                <c:pt idx="52">
                  <c:v>0.45265595203736503</c:v>
                </c:pt>
                <c:pt idx="53">
                  <c:v>0.43111412043724245</c:v>
                </c:pt>
                <c:pt idx="54">
                  <c:v>0.42328079317313422</c:v>
                </c:pt>
                <c:pt idx="55">
                  <c:v>0.38663716040616225</c:v>
                </c:pt>
                <c:pt idx="56">
                  <c:v>0.39582137394108435</c:v>
                </c:pt>
                <c:pt idx="57">
                  <c:v>0.39997912692301579</c:v>
                </c:pt>
                <c:pt idx="58">
                  <c:v>0.4025785730005762</c:v>
                </c:pt>
                <c:pt idx="59">
                  <c:v>0.4010859603603727</c:v>
                </c:pt>
                <c:pt idx="60">
                  <c:v>0.37091296714456046</c:v>
                </c:pt>
                <c:pt idx="61">
                  <c:v>0.36761883743219775</c:v>
                </c:pt>
                <c:pt idx="62">
                  <c:v>0.34974978171814097</c:v>
                </c:pt>
                <c:pt idx="63">
                  <c:v>0.35729147778517589</c:v>
                </c:pt>
                <c:pt idx="64">
                  <c:v>0.32704684564823955</c:v>
                </c:pt>
                <c:pt idx="65">
                  <c:v>0.3277473285097306</c:v>
                </c:pt>
                <c:pt idx="66">
                  <c:v>0.32115562593292224</c:v>
                </c:pt>
                <c:pt idx="67">
                  <c:v>0.32117370962039848</c:v>
                </c:pt>
                <c:pt idx="68">
                  <c:v>0.32126326608566097</c:v>
                </c:pt>
                <c:pt idx="69">
                  <c:v>0.31968315828883892</c:v>
                </c:pt>
                <c:pt idx="70">
                  <c:v>0.32105061479720348</c:v>
                </c:pt>
                <c:pt idx="71">
                  <c:v>0.32633260740232223</c:v>
                </c:pt>
                <c:pt idx="72">
                  <c:v>0.32520779599724203</c:v>
                </c:pt>
                <c:pt idx="73">
                  <c:v>0.32283252533328538</c:v>
                </c:pt>
                <c:pt idx="74">
                  <c:v>0.29172501721084976</c:v>
                </c:pt>
                <c:pt idx="75">
                  <c:v>0.28650718767579392</c:v>
                </c:pt>
                <c:pt idx="76">
                  <c:v>0.28371689425814789</c:v>
                </c:pt>
                <c:pt idx="77">
                  <c:v>0.29537155134572285</c:v>
                </c:pt>
                <c:pt idx="78">
                  <c:v>0.28724900082237492</c:v>
                </c:pt>
                <c:pt idx="79">
                  <c:v>0.27673708366979172</c:v>
                </c:pt>
                <c:pt idx="80">
                  <c:v>0.27526220549427105</c:v>
                </c:pt>
                <c:pt idx="81">
                  <c:v>0.23614662383278659</c:v>
                </c:pt>
                <c:pt idx="82">
                  <c:v>0.22576552023094398</c:v>
                </c:pt>
                <c:pt idx="83">
                  <c:v>0.23395044059856751</c:v>
                </c:pt>
                <c:pt idx="84">
                  <c:v>0.23344460790259264</c:v>
                </c:pt>
                <c:pt idx="85">
                  <c:v>0.17358343160692416</c:v>
                </c:pt>
                <c:pt idx="86">
                  <c:v>0.18039848716305998</c:v>
                </c:pt>
                <c:pt idx="87">
                  <c:v>0.14346620913232211</c:v>
                </c:pt>
                <c:pt idx="88">
                  <c:v>0.13430083090897976</c:v>
                </c:pt>
                <c:pt idx="89">
                  <c:v>0.12900365169235223</c:v>
                </c:pt>
                <c:pt idx="90">
                  <c:v>0.13288287988919664</c:v>
                </c:pt>
                <c:pt idx="91">
                  <c:v>0.12736954702336808</c:v>
                </c:pt>
                <c:pt idx="92">
                  <c:v>0.12094515227477894</c:v>
                </c:pt>
                <c:pt idx="93">
                  <c:v>0.15335334559846023</c:v>
                </c:pt>
                <c:pt idx="94">
                  <c:v>0.14722925615430316</c:v>
                </c:pt>
                <c:pt idx="95">
                  <c:v>9.4258425414671165E-2</c:v>
                </c:pt>
                <c:pt idx="96">
                  <c:v>8.6226569096943165E-2</c:v>
                </c:pt>
                <c:pt idx="97">
                  <c:v>7.657849502554448E-2</c:v>
                </c:pt>
                <c:pt idx="98">
                  <c:v>8.1748658572245683E-2</c:v>
                </c:pt>
                <c:pt idx="99">
                  <c:v>6.8190761711990275E-2</c:v>
                </c:pt>
                <c:pt idx="100">
                  <c:v>6.4178479574353353E-2</c:v>
                </c:pt>
                <c:pt idx="101">
                  <c:v>3.8067271366833265E-2</c:v>
                </c:pt>
                <c:pt idx="102">
                  <c:v>3.5545371959937996E-2</c:v>
                </c:pt>
                <c:pt idx="103">
                  <c:v>7.0285430361109319E-2</c:v>
                </c:pt>
                <c:pt idx="104">
                  <c:v>7.0089316077029853E-2</c:v>
                </c:pt>
                <c:pt idx="105">
                  <c:v>9.2750762846804627E-2</c:v>
                </c:pt>
                <c:pt idx="106">
                  <c:v>9.8123996467678762E-2</c:v>
                </c:pt>
                <c:pt idx="107">
                  <c:v>5.6752599633861471E-2</c:v>
                </c:pt>
                <c:pt idx="108">
                  <c:v>5.19941533439345E-2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6.2860039963047957E-3</c:v>
                </c:pt>
                <c:pt idx="116">
                  <c:v>2.614630238536321E-2</c:v>
                </c:pt>
                <c:pt idx="117">
                  <c:v>0.41646639934429586</c:v>
                </c:pt>
                <c:pt idx="118">
                  <c:v>0.33590758779005092</c:v>
                </c:pt>
                <c:pt idx="119">
                  <c:v>0.30366655496302869</c:v>
                </c:pt>
                <c:pt idx="120">
                  <c:v>0.10308559274910896</c:v>
                </c:pt>
                <c:pt idx="121">
                  <c:v>0.2176807351946794</c:v>
                </c:pt>
                <c:pt idx="122">
                  <c:v>0.20897397577949095</c:v>
                </c:pt>
                <c:pt idx="123">
                  <c:v>0.32029040920766816</c:v>
                </c:pt>
                <c:pt idx="124">
                  <c:v>0.34137798189540247</c:v>
                </c:pt>
                <c:pt idx="125">
                  <c:v>0.39799564428884243</c:v>
                </c:pt>
                <c:pt idx="126">
                  <c:v>0.43207158432919995</c:v>
                </c:pt>
                <c:pt idx="127">
                  <c:v>0.45209363605109265</c:v>
                </c:pt>
                <c:pt idx="128">
                  <c:v>0.45259822265740113</c:v>
                </c:pt>
                <c:pt idx="129">
                  <c:v>0.45617872817509159</c:v>
                </c:pt>
                <c:pt idx="130">
                  <c:v>0.44684622425840748</c:v>
                </c:pt>
                <c:pt idx="131">
                  <c:v>0.43884045372567948</c:v>
                </c:pt>
                <c:pt idx="132">
                  <c:v>0.44285932397789085</c:v>
                </c:pt>
                <c:pt idx="133">
                  <c:v>0.44224575863624171</c:v>
                </c:pt>
                <c:pt idx="134">
                  <c:v>0.43905130914808271</c:v>
                </c:pt>
                <c:pt idx="135">
                  <c:v>0.43936760044569212</c:v>
                </c:pt>
                <c:pt idx="136">
                  <c:v>0.44251181934994893</c:v>
                </c:pt>
                <c:pt idx="137">
                  <c:v>0.43972962463771864</c:v>
                </c:pt>
                <c:pt idx="138">
                  <c:v>0.43989215047910979</c:v>
                </c:pt>
                <c:pt idx="139">
                  <c:v>0.44039054439290276</c:v>
                </c:pt>
                <c:pt idx="140">
                  <c:v>0.4404951809691553</c:v>
                </c:pt>
                <c:pt idx="141">
                  <c:v>0.41986253822536107</c:v>
                </c:pt>
                <c:pt idx="142">
                  <c:v>0.41461017824440971</c:v>
                </c:pt>
                <c:pt idx="143">
                  <c:v>0.411120513990962</c:v>
                </c:pt>
                <c:pt idx="144">
                  <c:v>0.40067580490039156</c:v>
                </c:pt>
                <c:pt idx="145">
                  <c:v>0.38159851921413057</c:v>
                </c:pt>
                <c:pt idx="146">
                  <c:v>0.37316963188424129</c:v>
                </c:pt>
                <c:pt idx="147">
                  <c:v>0.38102869504880921</c:v>
                </c:pt>
                <c:pt idx="148">
                  <c:v>0.3775903665485934</c:v>
                </c:pt>
                <c:pt idx="149">
                  <c:v>0.37253674173879742</c:v>
                </c:pt>
                <c:pt idx="150">
                  <c:v>0.36929486492090641</c:v>
                </c:pt>
                <c:pt idx="151">
                  <c:v>0.36381084458409835</c:v>
                </c:pt>
                <c:pt idx="152">
                  <c:v>0.37289398865942114</c:v>
                </c:pt>
                <c:pt idx="153">
                  <c:v>0.35473722590014839</c:v>
                </c:pt>
                <c:pt idx="154">
                  <c:v>0.38088494110298965</c:v>
                </c:pt>
                <c:pt idx="155">
                  <c:v>0.3890673121290687</c:v>
                </c:pt>
                <c:pt idx="156">
                  <c:v>0.38186905688178058</c:v>
                </c:pt>
                <c:pt idx="157">
                  <c:v>0.38537826585920665</c:v>
                </c:pt>
                <c:pt idx="158">
                  <c:v>0.38673222074121688</c:v>
                </c:pt>
                <c:pt idx="159">
                  <c:v>0.38275110309663068</c:v>
                </c:pt>
                <c:pt idx="160">
                  <c:v>0.38261408080049936</c:v>
                </c:pt>
                <c:pt idx="161">
                  <c:v>0.38404648617711562</c:v>
                </c:pt>
                <c:pt idx="162">
                  <c:v>0.38069920745769215</c:v>
                </c:pt>
                <c:pt idx="163">
                  <c:v>0.38922444763825886</c:v>
                </c:pt>
                <c:pt idx="164">
                  <c:v>0.39089661988594454</c:v>
                </c:pt>
                <c:pt idx="165">
                  <c:v>0.38440983163894793</c:v>
                </c:pt>
                <c:pt idx="166">
                  <c:v>0.39716840313397583</c:v>
                </c:pt>
                <c:pt idx="167">
                  <c:v>0.40525411344574475</c:v>
                </c:pt>
                <c:pt idx="168">
                  <c:v>0.40939187543426414</c:v>
                </c:pt>
                <c:pt idx="169">
                  <c:v>0.41809517264237372</c:v>
                </c:pt>
                <c:pt idx="170">
                  <c:v>0.41166278745476198</c:v>
                </c:pt>
                <c:pt idx="171">
                  <c:v>0.41074747470807149</c:v>
                </c:pt>
                <c:pt idx="172">
                  <c:v>0.40249175217018424</c:v>
                </c:pt>
                <c:pt idx="173">
                  <c:v>0.39718146492233009</c:v>
                </c:pt>
                <c:pt idx="174">
                  <c:v>0.38029911080371859</c:v>
                </c:pt>
                <c:pt idx="175">
                  <c:v>0.3906092338437161</c:v>
                </c:pt>
                <c:pt idx="176">
                  <c:v>0.37995602369877496</c:v>
                </c:pt>
                <c:pt idx="177">
                  <c:v>0.38352641321639303</c:v>
                </c:pt>
                <c:pt idx="178">
                  <c:v>0.41875756068482661</c:v>
                </c:pt>
                <c:pt idx="179">
                  <c:v>0.42456337412467077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AA-4E24-9636-ACA0537957B2}"/>
            </c:ext>
          </c:extLst>
        </c:ser>
        <c:ser>
          <c:idx val="5"/>
          <c:order val="4"/>
          <c:tx>
            <c:strRef>
              <c:f>TimeVanguardInvGrade!$A$8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AA-4E24-9636-ACA0537957B2}"/>
            </c:ext>
          </c:extLst>
        </c:ser>
        <c:ser>
          <c:idx val="6"/>
          <c:order val="5"/>
          <c:tx>
            <c:strRef>
              <c:f>TimeVanguardInvGrade!$A$9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TimeVanguardInvGrade!$B$9:$FY$9</c:f>
              <c:numCache>
                <c:formatCode>General</c:formatCode>
                <c:ptCount val="180"/>
                <c:pt idx="0">
                  <c:v>0.29048342269612176</c:v>
                </c:pt>
                <c:pt idx="1">
                  <c:v>0.28412376337393519</c:v>
                </c:pt>
                <c:pt idx="2">
                  <c:v>0.31279896725620054</c:v>
                </c:pt>
                <c:pt idx="3">
                  <c:v>0.30497983195291978</c:v>
                </c:pt>
                <c:pt idx="4">
                  <c:v>0.29764173831631552</c:v>
                </c:pt>
                <c:pt idx="5">
                  <c:v>0.32655052629964443</c:v>
                </c:pt>
                <c:pt idx="6">
                  <c:v>0.35611241420848216</c:v>
                </c:pt>
                <c:pt idx="7">
                  <c:v>0.32023238988224134</c:v>
                </c:pt>
                <c:pt idx="8">
                  <c:v>0.32918740389933909</c:v>
                </c:pt>
                <c:pt idx="9">
                  <c:v>0.30404723526510752</c:v>
                </c:pt>
                <c:pt idx="10">
                  <c:v>0.30600697793552617</c:v>
                </c:pt>
                <c:pt idx="11">
                  <c:v>0.32093481845285021</c:v>
                </c:pt>
                <c:pt idx="12">
                  <c:v>0.31375981187825508</c:v>
                </c:pt>
                <c:pt idx="13">
                  <c:v>0.32202277097823173</c:v>
                </c:pt>
                <c:pt idx="14">
                  <c:v>0.31815659557266779</c:v>
                </c:pt>
                <c:pt idx="15">
                  <c:v>0.30412346797116041</c:v>
                </c:pt>
                <c:pt idx="16">
                  <c:v>0.29476951390844275</c:v>
                </c:pt>
                <c:pt idx="17">
                  <c:v>0.30543385461002814</c:v>
                </c:pt>
                <c:pt idx="18">
                  <c:v>0.2874037751328013</c:v>
                </c:pt>
                <c:pt idx="19">
                  <c:v>0.29559529289417741</c:v>
                </c:pt>
                <c:pt idx="20">
                  <c:v>0.30664703391278314</c:v>
                </c:pt>
                <c:pt idx="21">
                  <c:v>0.3099866880946277</c:v>
                </c:pt>
                <c:pt idx="22">
                  <c:v>0.30808915029040124</c:v>
                </c:pt>
                <c:pt idx="23">
                  <c:v>0.3107000287463707</c:v>
                </c:pt>
                <c:pt idx="24">
                  <c:v>0.29172400815165583</c:v>
                </c:pt>
                <c:pt idx="25">
                  <c:v>0.24849459602482898</c:v>
                </c:pt>
                <c:pt idx="26">
                  <c:v>0.23807799364816054</c:v>
                </c:pt>
                <c:pt idx="27">
                  <c:v>0.26454864441680365</c:v>
                </c:pt>
                <c:pt idx="28">
                  <c:v>0.29015279199349464</c:v>
                </c:pt>
                <c:pt idx="29">
                  <c:v>0.28062891458180328</c:v>
                </c:pt>
                <c:pt idx="30">
                  <c:v>0.27833879580928</c:v>
                </c:pt>
                <c:pt idx="31">
                  <c:v>0.27003819312406102</c:v>
                </c:pt>
                <c:pt idx="32">
                  <c:v>0.27395829093187318</c:v>
                </c:pt>
                <c:pt idx="33">
                  <c:v>0.33964055202136301</c:v>
                </c:pt>
                <c:pt idx="34">
                  <c:v>0.32645317230373627</c:v>
                </c:pt>
                <c:pt idx="35">
                  <c:v>0.32342131383319528</c:v>
                </c:pt>
                <c:pt idx="36">
                  <c:v>0.35582372492221953</c:v>
                </c:pt>
                <c:pt idx="37">
                  <c:v>0.35870825720967769</c:v>
                </c:pt>
                <c:pt idx="38">
                  <c:v>0.35078154919196741</c:v>
                </c:pt>
                <c:pt idx="39">
                  <c:v>0.32900159392971973</c:v>
                </c:pt>
                <c:pt idx="40">
                  <c:v>0.31701466955465324</c:v>
                </c:pt>
                <c:pt idx="41">
                  <c:v>0.31245962058536453</c:v>
                </c:pt>
                <c:pt idx="42">
                  <c:v>0.29514813358886249</c:v>
                </c:pt>
                <c:pt idx="43">
                  <c:v>0.30440655730937727</c:v>
                </c:pt>
                <c:pt idx="44">
                  <c:v>0.2866956540719352</c:v>
                </c:pt>
                <c:pt idx="45">
                  <c:v>0.29166766011399187</c:v>
                </c:pt>
                <c:pt idx="46">
                  <c:v>0.28247270116387885</c:v>
                </c:pt>
                <c:pt idx="47">
                  <c:v>0.29281119970784364</c:v>
                </c:pt>
                <c:pt idx="48">
                  <c:v>0.29587933662231986</c:v>
                </c:pt>
                <c:pt idx="49">
                  <c:v>0.28822142810881751</c:v>
                </c:pt>
                <c:pt idx="50">
                  <c:v>0.26528742608985367</c:v>
                </c:pt>
                <c:pt idx="51">
                  <c:v>0.2768841442388647</c:v>
                </c:pt>
                <c:pt idx="52">
                  <c:v>0.25939448648961971</c:v>
                </c:pt>
                <c:pt idx="53">
                  <c:v>0.22364708173230588</c:v>
                </c:pt>
                <c:pt idx="54">
                  <c:v>0.23470573732806291</c:v>
                </c:pt>
                <c:pt idx="55">
                  <c:v>9.6368054977260295E-2</c:v>
                </c:pt>
                <c:pt idx="56">
                  <c:v>9.955317423480968E-2</c:v>
                </c:pt>
                <c:pt idx="57">
                  <c:v>7.663880653512424E-2</c:v>
                </c:pt>
                <c:pt idx="58">
                  <c:v>4.3982430889492913E-2</c:v>
                </c:pt>
                <c:pt idx="59">
                  <c:v>4.4067873531270896E-2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6.39484453251438E-3</c:v>
                </c:pt>
                <c:pt idx="103">
                  <c:v>3.1736214537452564E-3</c:v>
                </c:pt>
                <c:pt idx="104">
                  <c:v>1.0863316217530759E-2</c:v>
                </c:pt>
                <c:pt idx="105">
                  <c:v>5.4353900130147488E-4</c:v>
                </c:pt>
                <c:pt idx="106">
                  <c:v>0</c:v>
                </c:pt>
                <c:pt idx="107">
                  <c:v>5.5137442123870645E-2</c:v>
                </c:pt>
                <c:pt idx="108">
                  <c:v>5.6614577206282948E-2</c:v>
                </c:pt>
                <c:pt idx="109">
                  <c:v>3.042134352994082E-2</c:v>
                </c:pt>
                <c:pt idx="110">
                  <c:v>2.2919996962398773E-2</c:v>
                </c:pt>
                <c:pt idx="111">
                  <c:v>3.7573722242778822E-2</c:v>
                </c:pt>
                <c:pt idx="112">
                  <c:v>3.7519401820048759E-2</c:v>
                </c:pt>
                <c:pt idx="113">
                  <c:v>2.7538076013862125E-2</c:v>
                </c:pt>
                <c:pt idx="114">
                  <c:v>2.2878733888179775E-2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AA-4E24-9636-ACA0537957B2}"/>
            </c:ext>
          </c:extLst>
        </c:ser>
        <c:ser>
          <c:idx val="7"/>
          <c:order val="6"/>
          <c:tx>
            <c:strRef>
              <c:f>TimeVanguardInvGrade!$A$10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TimeVanguardInvGrade!$B$10:$FY$10</c:f>
              <c:numCache>
                <c:formatCode>General</c:formatCode>
                <c:ptCount val="180"/>
                <c:pt idx="0">
                  <c:v>5.22901164441007E-3</c:v>
                </c:pt>
                <c:pt idx="1">
                  <c:v>4.9853190513398085E-3</c:v>
                </c:pt>
                <c:pt idx="2">
                  <c:v>5.4045099819266694E-3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2.901984151284267E-3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AA-4E24-9636-ACA0537957B2}"/>
            </c:ext>
          </c:extLst>
        </c:ser>
        <c:ser>
          <c:idx val="8"/>
          <c:order val="7"/>
          <c:tx>
            <c:strRef>
              <c:f>TimeVanguardInvGrade!$A$11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6.7270856953149577E-2</c:v>
                </c:pt>
                <c:pt idx="110">
                  <c:v>6.5248772553752957E-2</c:v>
                </c:pt>
                <c:pt idx="111">
                  <c:v>6.9440932810287681E-2</c:v>
                </c:pt>
                <c:pt idx="112">
                  <c:v>8.3417514274789689E-2</c:v>
                </c:pt>
                <c:pt idx="113">
                  <c:v>7.5923242569173655E-2</c:v>
                </c:pt>
                <c:pt idx="114">
                  <c:v>7.8778948921974776E-2</c:v>
                </c:pt>
                <c:pt idx="115">
                  <c:v>0.10022457166617189</c:v>
                </c:pt>
                <c:pt idx="116">
                  <c:v>9.5212808240983784E-2</c:v>
                </c:pt>
                <c:pt idx="117">
                  <c:v>3.1325946192217159E-2</c:v>
                </c:pt>
                <c:pt idx="118">
                  <c:v>1.8302854284608323E-2</c:v>
                </c:pt>
                <c:pt idx="119">
                  <c:v>3.1368472952378484E-3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AA-4E24-9636-ACA0537957B2}"/>
            </c:ext>
          </c:extLst>
        </c:ser>
        <c:ser>
          <c:idx val="9"/>
          <c:order val="8"/>
          <c:tx>
            <c:strRef>
              <c:f>TimeVanguardInvGrade!$A$12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TimeVanguardInvGrade!$B$12:$FY$12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1.2844346011798975E-2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1.2831854385804002E-2</c:v>
                </c:pt>
                <c:pt idx="61">
                  <c:v>1.1930902290079263E-2</c:v>
                </c:pt>
                <c:pt idx="62">
                  <c:v>1.099435969204955E-2</c:v>
                </c:pt>
                <c:pt idx="63">
                  <c:v>7.5194725097495136E-3</c:v>
                </c:pt>
                <c:pt idx="64">
                  <c:v>6.0873246487348964E-3</c:v>
                </c:pt>
                <c:pt idx="65">
                  <c:v>3.3909090279904391E-3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1.9210307564631022E-2</c:v>
                </c:pt>
                <c:pt idx="86">
                  <c:v>2.4025648457269653E-2</c:v>
                </c:pt>
                <c:pt idx="87">
                  <c:v>3.4347369149768714E-2</c:v>
                </c:pt>
                <c:pt idx="88">
                  <c:v>3.0301068073290943E-2</c:v>
                </c:pt>
                <c:pt idx="89">
                  <c:v>3.412634158850078E-2</c:v>
                </c:pt>
                <c:pt idx="90">
                  <c:v>3.0875818206019714E-2</c:v>
                </c:pt>
                <c:pt idx="91">
                  <c:v>3.1138984215063684E-2</c:v>
                </c:pt>
                <c:pt idx="92">
                  <c:v>3.3758466300646023E-2</c:v>
                </c:pt>
                <c:pt idx="93">
                  <c:v>3.4205527375610112E-2</c:v>
                </c:pt>
                <c:pt idx="94">
                  <c:v>2.7589623630825788E-2</c:v>
                </c:pt>
                <c:pt idx="95">
                  <c:v>3.7087812539567201E-2</c:v>
                </c:pt>
                <c:pt idx="96">
                  <c:v>3.1908443465199027E-2</c:v>
                </c:pt>
                <c:pt idx="97">
                  <c:v>3.3630042958372186E-2</c:v>
                </c:pt>
                <c:pt idx="98">
                  <c:v>1.5546861692558575E-2</c:v>
                </c:pt>
                <c:pt idx="99">
                  <c:v>1.8101222748273207E-2</c:v>
                </c:pt>
                <c:pt idx="100">
                  <c:v>1.6972687347036573E-2</c:v>
                </c:pt>
                <c:pt idx="101">
                  <c:v>0</c:v>
                </c:pt>
                <c:pt idx="102">
                  <c:v>1.0884770793838209E-4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1.0263842508593309E-2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AA-4E24-9636-ACA0537957B2}"/>
            </c:ext>
          </c:extLst>
        </c:ser>
        <c:ser>
          <c:idx val="10"/>
          <c:order val="9"/>
          <c:tx>
            <c:strRef>
              <c:f>TimeVanguardInvGrade!$A$13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3.8696150297126771E-5</c:v>
                </c:pt>
                <c:pt idx="114">
                  <c:v>0</c:v>
                </c:pt>
                <c:pt idx="115">
                  <c:v>1.731723531448039E-2</c:v>
                </c:pt>
                <c:pt idx="116">
                  <c:v>1.2416982784389154E-2</c:v>
                </c:pt>
                <c:pt idx="117">
                  <c:v>0</c:v>
                </c:pt>
                <c:pt idx="118">
                  <c:v>4.7984533325221339E-2</c:v>
                </c:pt>
                <c:pt idx="119">
                  <c:v>4.7290909698076269E-2</c:v>
                </c:pt>
                <c:pt idx="120">
                  <c:v>5.4764739240106865E-2</c:v>
                </c:pt>
                <c:pt idx="121">
                  <c:v>4.6950895092751285E-2</c:v>
                </c:pt>
                <c:pt idx="122">
                  <c:v>4.8248192213673831E-2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AA-4E24-9636-ACA0537957B2}"/>
            </c:ext>
          </c:extLst>
        </c:ser>
        <c:ser>
          <c:idx val="11"/>
          <c:order val="10"/>
          <c:tx>
            <c:strRef>
              <c:f>TimeVanguardInvGrade!$A$14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3.8481199525287326E-4</c:v>
                </c:pt>
                <c:pt idx="10">
                  <c:v>1.6527225097388986E-3</c:v>
                </c:pt>
                <c:pt idx="11">
                  <c:v>1.0974946009765618E-3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6.4026244782016436E-4</c:v>
                </c:pt>
                <c:pt idx="61">
                  <c:v>0</c:v>
                </c:pt>
                <c:pt idx="62">
                  <c:v>1.8619395163833332E-3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2.5175531366679122E-2</c:v>
                </c:pt>
                <c:pt idx="75">
                  <c:v>1.8637724514980501E-2</c:v>
                </c:pt>
                <c:pt idx="76">
                  <c:v>1.9823936815712206E-2</c:v>
                </c:pt>
                <c:pt idx="77">
                  <c:v>1.6687802431431219E-2</c:v>
                </c:pt>
                <c:pt idx="78">
                  <c:v>1.3060933258793489E-2</c:v>
                </c:pt>
                <c:pt idx="79">
                  <c:v>1.6024184892362073E-2</c:v>
                </c:pt>
                <c:pt idx="80">
                  <c:v>2.2967276804074024E-2</c:v>
                </c:pt>
                <c:pt idx="81">
                  <c:v>3.190661505413761E-2</c:v>
                </c:pt>
                <c:pt idx="82">
                  <c:v>3.0726098437808217E-2</c:v>
                </c:pt>
                <c:pt idx="83">
                  <c:v>2.6344276693776782E-2</c:v>
                </c:pt>
                <c:pt idx="84">
                  <c:v>2.6032012770021998E-2</c:v>
                </c:pt>
                <c:pt idx="85">
                  <c:v>1.863457169551869E-2</c:v>
                </c:pt>
                <c:pt idx="86">
                  <c:v>1.9283985168793785E-2</c:v>
                </c:pt>
                <c:pt idx="87">
                  <c:v>2.1626046285143481E-2</c:v>
                </c:pt>
                <c:pt idx="88">
                  <c:v>2.2954780343949238E-2</c:v>
                </c:pt>
                <c:pt idx="89">
                  <c:v>2.2239727014628938E-2</c:v>
                </c:pt>
                <c:pt idx="90">
                  <c:v>2.4298908253424685E-2</c:v>
                </c:pt>
                <c:pt idx="91">
                  <c:v>3.1222439247430345E-2</c:v>
                </c:pt>
                <c:pt idx="92">
                  <c:v>3.2478952605068508E-2</c:v>
                </c:pt>
                <c:pt idx="93">
                  <c:v>2.3555723452819668E-2</c:v>
                </c:pt>
                <c:pt idx="94">
                  <c:v>3.1815205489432515E-2</c:v>
                </c:pt>
                <c:pt idx="95">
                  <c:v>2.2983485273843914E-2</c:v>
                </c:pt>
                <c:pt idx="96">
                  <c:v>2.8070113451711176E-2</c:v>
                </c:pt>
                <c:pt idx="97">
                  <c:v>2.9759813172824383E-2</c:v>
                </c:pt>
                <c:pt idx="98">
                  <c:v>4.3705833059218796E-2</c:v>
                </c:pt>
                <c:pt idx="99">
                  <c:v>4.1770140454978635E-2</c:v>
                </c:pt>
                <c:pt idx="100">
                  <c:v>4.0591394742313089E-2</c:v>
                </c:pt>
                <c:pt idx="101">
                  <c:v>6.5116355810202295E-2</c:v>
                </c:pt>
                <c:pt idx="102">
                  <c:v>5.7764984820642691E-2</c:v>
                </c:pt>
                <c:pt idx="103">
                  <c:v>4.336552434904507E-3</c:v>
                </c:pt>
                <c:pt idx="104">
                  <c:v>4.6641354976014703E-3</c:v>
                </c:pt>
                <c:pt idx="105">
                  <c:v>0</c:v>
                </c:pt>
                <c:pt idx="106">
                  <c:v>3.0929912244957562E-2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AA-4E24-9636-ACA0537957B2}"/>
            </c:ext>
          </c:extLst>
        </c:ser>
        <c:ser>
          <c:idx val="12"/>
          <c:order val="11"/>
          <c:tx>
            <c:strRef>
              <c:f>TimeVanguardInvGrade!$A$15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TimeVanguardInvGrade!$B$15:$FY$15</c:f>
              <c:numCache>
                <c:formatCode>General</c:formatCode>
                <c:ptCount val="180"/>
                <c:pt idx="0">
                  <c:v>2.2784231030685612E-2</c:v>
                </c:pt>
                <c:pt idx="1">
                  <c:v>1.3669834015920446E-2</c:v>
                </c:pt>
                <c:pt idx="2">
                  <c:v>2.1986987628416078E-3</c:v>
                </c:pt>
                <c:pt idx="3">
                  <c:v>2.1272228637482113E-2</c:v>
                </c:pt>
                <c:pt idx="4">
                  <c:v>1.4733850444438925E-2</c:v>
                </c:pt>
                <c:pt idx="5">
                  <c:v>1.3352094529363775E-2</c:v>
                </c:pt>
                <c:pt idx="6">
                  <c:v>1.1883233118510698E-2</c:v>
                </c:pt>
                <c:pt idx="7">
                  <c:v>1.2280486756186986E-2</c:v>
                </c:pt>
                <c:pt idx="8">
                  <c:v>1.29024970173064E-2</c:v>
                </c:pt>
                <c:pt idx="9">
                  <c:v>8.9680860894926964E-3</c:v>
                </c:pt>
                <c:pt idx="10">
                  <c:v>5.9772075052634595E-3</c:v>
                </c:pt>
                <c:pt idx="11">
                  <c:v>4.8668469383841154E-3</c:v>
                </c:pt>
                <c:pt idx="12">
                  <c:v>8.5843820481389249E-3</c:v>
                </c:pt>
                <c:pt idx="13">
                  <c:v>1.2034111177631753E-2</c:v>
                </c:pt>
                <c:pt idx="14">
                  <c:v>6.0360654935850896E-3</c:v>
                </c:pt>
                <c:pt idx="15">
                  <c:v>7.2308760863274372E-3</c:v>
                </c:pt>
                <c:pt idx="16">
                  <c:v>2.7361393531942363E-3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1.9353881574039878E-3</c:v>
                </c:pt>
                <c:pt idx="34">
                  <c:v>2.4809826301247779E-3</c:v>
                </c:pt>
                <c:pt idx="35">
                  <c:v>1.8526545030916591E-3</c:v>
                </c:pt>
                <c:pt idx="36">
                  <c:v>6.2348950356739818E-3</c:v>
                </c:pt>
                <c:pt idx="37">
                  <c:v>5.6300725410088868E-3</c:v>
                </c:pt>
                <c:pt idx="38">
                  <c:v>6.2240785799141697E-3</c:v>
                </c:pt>
                <c:pt idx="39">
                  <c:v>0</c:v>
                </c:pt>
                <c:pt idx="40">
                  <c:v>0</c:v>
                </c:pt>
                <c:pt idx="41">
                  <c:v>8.2309017352721631E-4</c:v>
                </c:pt>
                <c:pt idx="42">
                  <c:v>1.3815610084481668E-3</c:v>
                </c:pt>
                <c:pt idx="43">
                  <c:v>5.757261769211112E-3</c:v>
                </c:pt>
                <c:pt idx="44">
                  <c:v>8.0279484950017931E-3</c:v>
                </c:pt>
                <c:pt idx="45">
                  <c:v>9.3616602792262645E-3</c:v>
                </c:pt>
                <c:pt idx="46">
                  <c:v>1.2489192377681728E-2</c:v>
                </c:pt>
                <c:pt idx="47">
                  <c:v>1.2875585218398981E-2</c:v>
                </c:pt>
                <c:pt idx="48">
                  <c:v>1.2988337622175992E-2</c:v>
                </c:pt>
                <c:pt idx="49">
                  <c:v>1.3880755726118563E-2</c:v>
                </c:pt>
                <c:pt idx="50">
                  <c:v>1.160496836849428E-2</c:v>
                </c:pt>
                <c:pt idx="51">
                  <c:v>1.4209068387375423E-2</c:v>
                </c:pt>
                <c:pt idx="52">
                  <c:v>1.8889726791263602E-2</c:v>
                </c:pt>
                <c:pt idx="53">
                  <c:v>2.3341717179952249E-2</c:v>
                </c:pt>
                <c:pt idx="54">
                  <c:v>2.4456150492672659E-2</c:v>
                </c:pt>
                <c:pt idx="55">
                  <c:v>5.3297774796726115E-3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5.5859177774899293E-3</c:v>
                </c:pt>
                <c:pt idx="63">
                  <c:v>0</c:v>
                </c:pt>
                <c:pt idx="64">
                  <c:v>4.4433771617951069E-3</c:v>
                </c:pt>
                <c:pt idx="65">
                  <c:v>8.0170349395041127E-3</c:v>
                </c:pt>
                <c:pt idx="66">
                  <c:v>1.2654915137080192E-2</c:v>
                </c:pt>
                <c:pt idx="67">
                  <c:v>1.6467578291503342E-2</c:v>
                </c:pt>
                <c:pt idx="68">
                  <c:v>1.5125095266431535E-2</c:v>
                </c:pt>
                <c:pt idx="69">
                  <c:v>1.5504201354805382E-2</c:v>
                </c:pt>
                <c:pt idx="70">
                  <c:v>1.5037328386306368E-2</c:v>
                </c:pt>
                <c:pt idx="71">
                  <c:v>1.1038107086998962E-2</c:v>
                </c:pt>
                <c:pt idx="72">
                  <c:v>7.4793778524380929E-3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5.075517882054491E-5</c:v>
                </c:pt>
                <c:pt idx="78">
                  <c:v>5.5882359433924575E-3</c:v>
                </c:pt>
                <c:pt idx="79">
                  <c:v>6.936023084686576E-4</c:v>
                </c:pt>
                <c:pt idx="80">
                  <c:v>1.5760908017364949E-3</c:v>
                </c:pt>
                <c:pt idx="81">
                  <c:v>1.486126182243423E-3</c:v>
                </c:pt>
                <c:pt idx="82">
                  <c:v>3.7621534883839568E-3</c:v>
                </c:pt>
                <c:pt idx="83">
                  <c:v>7.0116932152230063E-3</c:v>
                </c:pt>
                <c:pt idx="84">
                  <c:v>8.693428340500747E-3</c:v>
                </c:pt>
                <c:pt idx="85">
                  <c:v>2.6048093602144665E-2</c:v>
                </c:pt>
                <c:pt idx="86">
                  <c:v>2.0174953274865386E-2</c:v>
                </c:pt>
                <c:pt idx="87">
                  <c:v>1.1901591892971103E-2</c:v>
                </c:pt>
                <c:pt idx="88">
                  <c:v>1.5830351373978101E-2</c:v>
                </c:pt>
                <c:pt idx="89">
                  <c:v>1.3196410837138279E-2</c:v>
                </c:pt>
                <c:pt idx="90">
                  <c:v>1.2910449219850227E-2</c:v>
                </c:pt>
                <c:pt idx="91">
                  <c:v>2.6270843163173109E-3</c:v>
                </c:pt>
                <c:pt idx="92">
                  <c:v>1.1754488412320549E-3</c:v>
                </c:pt>
                <c:pt idx="93">
                  <c:v>2.3559327929942855E-3</c:v>
                </c:pt>
                <c:pt idx="94">
                  <c:v>3.0425935138920596E-4</c:v>
                </c:pt>
                <c:pt idx="95">
                  <c:v>4.3548501645357491E-3</c:v>
                </c:pt>
                <c:pt idx="96">
                  <c:v>3.0000256825451154E-3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6.2054526982117872E-3</c:v>
                </c:pt>
                <c:pt idx="103">
                  <c:v>5.7764064736922305E-2</c:v>
                </c:pt>
                <c:pt idx="104">
                  <c:v>5.4942345830208739E-2</c:v>
                </c:pt>
                <c:pt idx="105">
                  <c:v>5.1992837596486811E-2</c:v>
                </c:pt>
                <c:pt idx="106">
                  <c:v>1.5335238062022572E-2</c:v>
                </c:pt>
                <c:pt idx="107">
                  <c:v>6.545567390874335E-2</c:v>
                </c:pt>
                <c:pt idx="108">
                  <c:v>6.6712119113039259E-2</c:v>
                </c:pt>
                <c:pt idx="109">
                  <c:v>4.3099424594300585E-2</c:v>
                </c:pt>
                <c:pt idx="110">
                  <c:v>4.5836394945448826E-2</c:v>
                </c:pt>
                <c:pt idx="111">
                  <c:v>4.158945760184405E-2</c:v>
                </c:pt>
                <c:pt idx="112">
                  <c:v>2.7583768968291685E-2</c:v>
                </c:pt>
                <c:pt idx="113">
                  <c:v>3.2233257491098934E-2</c:v>
                </c:pt>
                <c:pt idx="114">
                  <c:v>2.9782904097002107E-2</c:v>
                </c:pt>
                <c:pt idx="115">
                  <c:v>2.0207455378024623E-3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AA-4E24-9636-ACA0537957B2}"/>
            </c:ext>
          </c:extLst>
        </c:ser>
        <c:ser>
          <c:idx val="13"/>
          <c:order val="12"/>
          <c:tx>
            <c:strRef>
              <c:f>TimeVanguardInvGrade!$A$16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TimeVanguardInvGrade!$B$16:$FY$16</c:f>
              <c:numCache>
                <c:formatCode>General</c:formatCode>
                <c:ptCount val="180"/>
                <c:pt idx="0">
                  <c:v>1.3858621571394314E-2</c:v>
                </c:pt>
                <c:pt idx="1">
                  <c:v>1.6039272177739247E-2</c:v>
                </c:pt>
                <c:pt idx="2">
                  <c:v>1.9991918014104448E-2</c:v>
                </c:pt>
                <c:pt idx="3">
                  <c:v>8.3103104051237865E-3</c:v>
                </c:pt>
                <c:pt idx="4">
                  <c:v>6.4621764257361356E-3</c:v>
                </c:pt>
                <c:pt idx="5">
                  <c:v>6.6769788942877351E-3</c:v>
                </c:pt>
                <c:pt idx="6">
                  <c:v>5.6097419006628227E-3</c:v>
                </c:pt>
                <c:pt idx="7">
                  <c:v>7.1588817849577062E-3</c:v>
                </c:pt>
                <c:pt idx="8">
                  <c:v>6.4923095858076879E-3</c:v>
                </c:pt>
                <c:pt idx="9">
                  <c:v>6.2976670163735794E-3</c:v>
                </c:pt>
                <c:pt idx="10">
                  <c:v>6.0461304051277007E-3</c:v>
                </c:pt>
                <c:pt idx="11">
                  <c:v>5.5284375285747488E-3</c:v>
                </c:pt>
                <c:pt idx="12">
                  <c:v>4.2247382226761523E-3</c:v>
                </c:pt>
                <c:pt idx="13">
                  <c:v>2.9064751166939236E-3</c:v>
                </c:pt>
                <c:pt idx="14">
                  <c:v>0</c:v>
                </c:pt>
                <c:pt idx="15">
                  <c:v>1.343372424360079E-3</c:v>
                </c:pt>
                <c:pt idx="16">
                  <c:v>5.0823852103198371E-3</c:v>
                </c:pt>
                <c:pt idx="17">
                  <c:v>8.4120325540763211E-3</c:v>
                </c:pt>
                <c:pt idx="18">
                  <c:v>7.948949424240315E-3</c:v>
                </c:pt>
                <c:pt idx="19">
                  <c:v>7.6594392695978385E-3</c:v>
                </c:pt>
                <c:pt idx="20">
                  <c:v>8.1327896360859162E-3</c:v>
                </c:pt>
                <c:pt idx="21">
                  <c:v>6.5130372027664704E-3</c:v>
                </c:pt>
                <c:pt idx="22">
                  <c:v>6.5318719339981044E-3</c:v>
                </c:pt>
                <c:pt idx="23">
                  <c:v>8.6682363196443173E-3</c:v>
                </c:pt>
                <c:pt idx="24">
                  <c:v>8.8483250013443385E-3</c:v>
                </c:pt>
                <c:pt idx="25">
                  <c:v>1.1136198287422549E-2</c:v>
                </c:pt>
                <c:pt idx="26">
                  <c:v>1.0378592557250975E-2</c:v>
                </c:pt>
                <c:pt idx="27">
                  <c:v>1.1760224150764784E-2</c:v>
                </c:pt>
                <c:pt idx="28">
                  <c:v>1.1728075490348979E-2</c:v>
                </c:pt>
                <c:pt idx="29">
                  <c:v>1.1350648459513325E-2</c:v>
                </c:pt>
                <c:pt idx="30">
                  <c:v>1.1546353638421361E-2</c:v>
                </c:pt>
                <c:pt idx="31">
                  <c:v>8.8458493513512409E-3</c:v>
                </c:pt>
                <c:pt idx="32">
                  <c:v>8.5576063067585827E-3</c:v>
                </c:pt>
                <c:pt idx="33">
                  <c:v>1.1651284120935418E-2</c:v>
                </c:pt>
                <c:pt idx="34">
                  <c:v>1.127585605553417E-2</c:v>
                </c:pt>
                <c:pt idx="35">
                  <c:v>1.1509060924119699E-2</c:v>
                </c:pt>
                <c:pt idx="36">
                  <c:v>8.1270631175485199E-3</c:v>
                </c:pt>
                <c:pt idx="37">
                  <c:v>9.1653749381391987E-3</c:v>
                </c:pt>
                <c:pt idx="38">
                  <c:v>9.4134123188883475E-3</c:v>
                </c:pt>
                <c:pt idx="39">
                  <c:v>1.0279504646834173E-2</c:v>
                </c:pt>
                <c:pt idx="40">
                  <c:v>1.0845312108828343E-2</c:v>
                </c:pt>
                <c:pt idx="41">
                  <c:v>1.0399124517754581E-2</c:v>
                </c:pt>
                <c:pt idx="42">
                  <c:v>1.1592004461077469E-2</c:v>
                </c:pt>
                <c:pt idx="43">
                  <c:v>1.0811603954503653E-2</c:v>
                </c:pt>
                <c:pt idx="44">
                  <c:v>8.9581124439402932E-3</c:v>
                </c:pt>
                <c:pt idx="45">
                  <c:v>8.6372008655101907E-3</c:v>
                </c:pt>
                <c:pt idx="46">
                  <c:v>7.5052786895182296E-3</c:v>
                </c:pt>
                <c:pt idx="47">
                  <c:v>6.2891166199907202E-3</c:v>
                </c:pt>
                <c:pt idx="48">
                  <c:v>5.8416412075126519E-3</c:v>
                </c:pt>
                <c:pt idx="49">
                  <c:v>4.6343083360148073E-3</c:v>
                </c:pt>
                <c:pt idx="50">
                  <c:v>5.3071568191338436E-3</c:v>
                </c:pt>
                <c:pt idx="51">
                  <c:v>6.9354303471456085E-3</c:v>
                </c:pt>
                <c:pt idx="52">
                  <c:v>6.4469653199783501E-3</c:v>
                </c:pt>
                <c:pt idx="53">
                  <c:v>1.0047252423251146E-2</c:v>
                </c:pt>
                <c:pt idx="54">
                  <c:v>8.5025876803203563E-3</c:v>
                </c:pt>
                <c:pt idx="55">
                  <c:v>2.2407461545104097E-2</c:v>
                </c:pt>
                <c:pt idx="56">
                  <c:v>1.6543556347460721E-2</c:v>
                </c:pt>
                <c:pt idx="57">
                  <c:v>1.7132509469097272E-2</c:v>
                </c:pt>
                <c:pt idx="58">
                  <c:v>2.3618076568966074E-2</c:v>
                </c:pt>
                <c:pt idx="59">
                  <c:v>2.1972874072631449E-2</c:v>
                </c:pt>
                <c:pt idx="60">
                  <c:v>1.7223990644532956E-2</c:v>
                </c:pt>
                <c:pt idx="61">
                  <c:v>1.9223528830014994E-2</c:v>
                </c:pt>
                <c:pt idx="62">
                  <c:v>1.6248913229899707E-2</c:v>
                </c:pt>
                <c:pt idx="63">
                  <c:v>2.6622044707351612E-2</c:v>
                </c:pt>
                <c:pt idx="64">
                  <c:v>3.3478991533204105E-2</c:v>
                </c:pt>
                <c:pt idx="65">
                  <c:v>3.3418709504816416E-2</c:v>
                </c:pt>
                <c:pt idx="66">
                  <c:v>3.8387020578871563E-2</c:v>
                </c:pt>
                <c:pt idx="67">
                  <c:v>3.3495176003560195E-2</c:v>
                </c:pt>
                <c:pt idx="68">
                  <c:v>3.4713406204558449E-2</c:v>
                </c:pt>
                <c:pt idx="69">
                  <c:v>3.51954396007177E-2</c:v>
                </c:pt>
                <c:pt idx="70">
                  <c:v>3.520188515948252E-2</c:v>
                </c:pt>
                <c:pt idx="71">
                  <c:v>3.6020451597034972E-2</c:v>
                </c:pt>
                <c:pt idx="72">
                  <c:v>4.0695672430460392E-2</c:v>
                </c:pt>
                <c:pt idx="73">
                  <c:v>4.6963474452662642E-2</c:v>
                </c:pt>
                <c:pt idx="74">
                  <c:v>2.4199049510292749E-2</c:v>
                </c:pt>
                <c:pt idx="75">
                  <c:v>3.1143566116171535E-2</c:v>
                </c:pt>
                <c:pt idx="76">
                  <c:v>3.0005497785018639E-2</c:v>
                </c:pt>
                <c:pt idx="77">
                  <c:v>3.1451699836090835E-2</c:v>
                </c:pt>
                <c:pt idx="78">
                  <c:v>3.3169315948594708E-2</c:v>
                </c:pt>
                <c:pt idx="79">
                  <c:v>3.2688123708165095E-2</c:v>
                </c:pt>
                <c:pt idx="80">
                  <c:v>2.1636831450915637E-2</c:v>
                </c:pt>
                <c:pt idx="81">
                  <c:v>1.8810385832174856E-2</c:v>
                </c:pt>
                <c:pt idx="82">
                  <c:v>2.0249141831049363E-2</c:v>
                </c:pt>
                <c:pt idx="83">
                  <c:v>1.9380995358392262E-2</c:v>
                </c:pt>
                <c:pt idx="84">
                  <c:v>1.8321499611488649E-2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AA-4E24-9636-ACA0537957B2}"/>
            </c:ext>
          </c:extLst>
        </c:ser>
        <c:ser>
          <c:idx val="14"/>
          <c:order val="13"/>
          <c:tx>
            <c:strRef>
              <c:f>TimeVanguardInvGrade!$A$17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1.307743926723792E-3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1.3813547854369702E-2</c:v>
                </c:pt>
                <c:pt idx="119">
                  <c:v>2.7234546092858102E-2</c:v>
                </c:pt>
                <c:pt idx="120">
                  <c:v>3.7067824306416731E-2</c:v>
                </c:pt>
                <c:pt idx="121">
                  <c:v>1.5367199327782628E-4</c:v>
                </c:pt>
                <c:pt idx="122">
                  <c:v>3.811205683847429E-3</c:v>
                </c:pt>
                <c:pt idx="123">
                  <c:v>3.7935299431263288E-2</c:v>
                </c:pt>
                <c:pt idx="124">
                  <c:v>4.8592228228612151E-2</c:v>
                </c:pt>
                <c:pt idx="125">
                  <c:v>4.3080832291236874E-2</c:v>
                </c:pt>
                <c:pt idx="126">
                  <c:v>2.0470621860428615E-2</c:v>
                </c:pt>
                <c:pt idx="127">
                  <c:v>3.3144572149144798E-2</c:v>
                </c:pt>
                <c:pt idx="128">
                  <c:v>4.6416680860135721E-2</c:v>
                </c:pt>
                <c:pt idx="129">
                  <c:v>4.9575389100219434E-2</c:v>
                </c:pt>
                <c:pt idx="130">
                  <c:v>5.1764703113051411E-2</c:v>
                </c:pt>
                <c:pt idx="131">
                  <c:v>5.1751594854832467E-2</c:v>
                </c:pt>
                <c:pt idx="132">
                  <c:v>5.0375061628387702E-2</c:v>
                </c:pt>
                <c:pt idx="133">
                  <c:v>5.4263112916228894E-2</c:v>
                </c:pt>
                <c:pt idx="134">
                  <c:v>6.1142196437150728E-2</c:v>
                </c:pt>
                <c:pt idx="135">
                  <c:v>6.1479243317259749E-2</c:v>
                </c:pt>
                <c:pt idx="136">
                  <c:v>5.0279067683594462E-2</c:v>
                </c:pt>
                <c:pt idx="137">
                  <c:v>5.9896975316012895E-2</c:v>
                </c:pt>
                <c:pt idx="138">
                  <c:v>5.7964622717154989E-2</c:v>
                </c:pt>
                <c:pt idx="139">
                  <c:v>4.9575805114914384E-2</c:v>
                </c:pt>
                <c:pt idx="140">
                  <c:v>4.2344399943927684E-2</c:v>
                </c:pt>
                <c:pt idx="141">
                  <c:v>6.579072804782868E-3</c:v>
                </c:pt>
                <c:pt idx="142">
                  <c:v>3.4251351557197116E-3</c:v>
                </c:pt>
                <c:pt idx="143">
                  <c:v>3.6496850778064052E-3</c:v>
                </c:pt>
                <c:pt idx="144">
                  <c:v>1.24358644573789E-3</c:v>
                </c:pt>
                <c:pt idx="145">
                  <c:v>0</c:v>
                </c:pt>
                <c:pt idx="146">
                  <c:v>0</c:v>
                </c:pt>
                <c:pt idx="147">
                  <c:v>8.5930633544879145E-3</c:v>
                </c:pt>
                <c:pt idx="148">
                  <c:v>1.4856756824061507E-2</c:v>
                </c:pt>
                <c:pt idx="149">
                  <c:v>8.5327676711359681E-3</c:v>
                </c:pt>
                <c:pt idx="150">
                  <c:v>1.1976706060616437E-2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1.4086634455536776E-2</c:v>
                </c:pt>
                <c:pt idx="155">
                  <c:v>6.2982234509956258E-3</c:v>
                </c:pt>
                <c:pt idx="156">
                  <c:v>1.7004060333094279E-3</c:v>
                </c:pt>
                <c:pt idx="157">
                  <c:v>6.8043647762398775E-4</c:v>
                </c:pt>
                <c:pt idx="158">
                  <c:v>2.5963854298002784E-3</c:v>
                </c:pt>
                <c:pt idx="159">
                  <c:v>9.8227578643669579E-3</c:v>
                </c:pt>
                <c:pt idx="160">
                  <c:v>6.8758941138148807E-3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AA-4E24-9636-ACA0537957B2}"/>
            </c:ext>
          </c:extLst>
        </c:ser>
        <c:ser>
          <c:idx val="15"/>
          <c:order val="14"/>
          <c:tx>
            <c:strRef>
              <c:f>TimeVanguardInvGrade!$A$18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TimeVanguardInvGrade!$B$18:$FY$18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7.5461271790283136E-4</c:v>
                </c:pt>
                <c:pt idx="112">
                  <c:v>1.3607877517884319E-3</c:v>
                </c:pt>
                <c:pt idx="113">
                  <c:v>3.7185538790653529E-3</c:v>
                </c:pt>
                <c:pt idx="114">
                  <c:v>3.3806128027000881E-3</c:v>
                </c:pt>
                <c:pt idx="115">
                  <c:v>1.5348726562160347E-3</c:v>
                </c:pt>
                <c:pt idx="116">
                  <c:v>6.8376894484720356E-3</c:v>
                </c:pt>
                <c:pt idx="117">
                  <c:v>1.8950713038203296E-2</c:v>
                </c:pt>
                <c:pt idx="118">
                  <c:v>2.5409142540461786E-2</c:v>
                </c:pt>
                <c:pt idx="119">
                  <c:v>2.5976494998785682E-2</c:v>
                </c:pt>
                <c:pt idx="120">
                  <c:v>4.7200256179182054E-2</c:v>
                </c:pt>
                <c:pt idx="121">
                  <c:v>6.1425448144221836E-2</c:v>
                </c:pt>
                <c:pt idx="122">
                  <c:v>5.9577388958115027E-2</c:v>
                </c:pt>
                <c:pt idx="123">
                  <c:v>1.5388896337213404E-2</c:v>
                </c:pt>
                <c:pt idx="124">
                  <c:v>1.0705961935819654E-2</c:v>
                </c:pt>
                <c:pt idx="125">
                  <c:v>1.2781466928150232E-2</c:v>
                </c:pt>
                <c:pt idx="126">
                  <c:v>1.7762792834496926E-2</c:v>
                </c:pt>
                <c:pt idx="127">
                  <c:v>2.4366887593597883E-2</c:v>
                </c:pt>
                <c:pt idx="128">
                  <c:v>1.354220780006144E-2</c:v>
                </c:pt>
                <c:pt idx="129">
                  <c:v>1.7938986895969528E-2</c:v>
                </c:pt>
                <c:pt idx="130">
                  <c:v>1.6302826564376906E-2</c:v>
                </c:pt>
                <c:pt idx="131">
                  <c:v>1.7451960932327294E-2</c:v>
                </c:pt>
                <c:pt idx="132">
                  <c:v>1.8646715685212881E-2</c:v>
                </c:pt>
                <c:pt idx="133">
                  <c:v>1.4736895347190932E-2</c:v>
                </c:pt>
                <c:pt idx="134">
                  <c:v>1.2749620900382442E-2</c:v>
                </c:pt>
                <c:pt idx="135">
                  <c:v>1.253878195652129E-2</c:v>
                </c:pt>
                <c:pt idx="136">
                  <c:v>1.8916446494039323E-2</c:v>
                </c:pt>
                <c:pt idx="137">
                  <c:v>1.3381947825466152E-2</c:v>
                </c:pt>
                <c:pt idx="138">
                  <c:v>1.6249685595335579E-2</c:v>
                </c:pt>
                <c:pt idx="139">
                  <c:v>2.3603626913687562E-2</c:v>
                </c:pt>
                <c:pt idx="140">
                  <c:v>3.1428465932148854E-2</c:v>
                </c:pt>
                <c:pt idx="141">
                  <c:v>3.4128034580489582E-2</c:v>
                </c:pt>
                <c:pt idx="142">
                  <c:v>3.4220310901901342E-2</c:v>
                </c:pt>
                <c:pt idx="143">
                  <c:v>3.5858121198198721E-2</c:v>
                </c:pt>
                <c:pt idx="144">
                  <c:v>3.5228149018615366E-2</c:v>
                </c:pt>
                <c:pt idx="145">
                  <c:v>3.8119743266642178E-2</c:v>
                </c:pt>
                <c:pt idx="146">
                  <c:v>3.2990507605751833E-2</c:v>
                </c:pt>
                <c:pt idx="147">
                  <c:v>2.8841906556960558E-2</c:v>
                </c:pt>
                <c:pt idx="148">
                  <c:v>3.0911263467973467E-2</c:v>
                </c:pt>
                <c:pt idx="149">
                  <c:v>3.507460255208792E-2</c:v>
                </c:pt>
                <c:pt idx="150">
                  <c:v>3.6595418320577472E-2</c:v>
                </c:pt>
                <c:pt idx="151">
                  <c:v>4.2083469846828231E-2</c:v>
                </c:pt>
                <c:pt idx="152">
                  <c:v>4.1155721101156471E-2</c:v>
                </c:pt>
                <c:pt idx="153">
                  <c:v>3.5506454609325423E-2</c:v>
                </c:pt>
                <c:pt idx="154">
                  <c:v>3.7763203195813499E-2</c:v>
                </c:pt>
                <c:pt idx="155">
                  <c:v>4.244598183277621E-2</c:v>
                </c:pt>
                <c:pt idx="156">
                  <c:v>4.6203964466104051E-2</c:v>
                </c:pt>
                <c:pt idx="157">
                  <c:v>4.7553206920171988E-2</c:v>
                </c:pt>
                <c:pt idx="158">
                  <c:v>4.734461873346052E-2</c:v>
                </c:pt>
                <c:pt idx="159">
                  <c:v>4.800530511831775E-2</c:v>
                </c:pt>
                <c:pt idx="160">
                  <c:v>5.0123871510154953E-2</c:v>
                </c:pt>
                <c:pt idx="161">
                  <c:v>5.5616813603648688E-2</c:v>
                </c:pt>
                <c:pt idx="162">
                  <c:v>6.0372012378374029E-2</c:v>
                </c:pt>
                <c:pt idx="163">
                  <c:v>7.1121480562606754E-2</c:v>
                </c:pt>
                <c:pt idx="164">
                  <c:v>7.1027334715078452E-2</c:v>
                </c:pt>
                <c:pt idx="165">
                  <c:v>7.6306644218936764E-2</c:v>
                </c:pt>
                <c:pt idx="166">
                  <c:v>7.7367581825862217E-2</c:v>
                </c:pt>
                <c:pt idx="167">
                  <c:v>7.4984697532454112E-2</c:v>
                </c:pt>
                <c:pt idx="168">
                  <c:v>7.6586592170963044E-2</c:v>
                </c:pt>
                <c:pt idx="169">
                  <c:v>7.2364237252204131E-2</c:v>
                </c:pt>
                <c:pt idx="170">
                  <c:v>7.8505861544980862E-2</c:v>
                </c:pt>
                <c:pt idx="171">
                  <c:v>8.16302708242021E-2</c:v>
                </c:pt>
                <c:pt idx="172">
                  <c:v>8.1242396855528184E-2</c:v>
                </c:pt>
                <c:pt idx="173">
                  <c:v>7.8994367906900759E-2</c:v>
                </c:pt>
                <c:pt idx="174">
                  <c:v>9.3582108544711162E-2</c:v>
                </c:pt>
                <c:pt idx="175">
                  <c:v>9.3010054119392019E-2</c:v>
                </c:pt>
                <c:pt idx="176">
                  <c:v>9.6256573469842927E-2</c:v>
                </c:pt>
                <c:pt idx="177">
                  <c:v>9.4269531966390166E-2</c:v>
                </c:pt>
                <c:pt idx="178">
                  <c:v>7.5614167437154683E-2</c:v>
                </c:pt>
                <c:pt idx="179">
                  <c:v>7.8286167694502043E-2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AA-4E24-9636-ACA0537957B2}"/>
            </c:ext>
          </c:extLst>
        </c:ser>
        <c:ser>
          <c:idx val="16"/>
          <c:order val="15"/>
          <c:tx>
            <c:strRef>
              <c:f>TimeVanguardInvGrade!$A$19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TimeVanguardInvGrade!$B$2:$FY$2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TimeVanguardInvGrade!$B$19:$FY$19</c:f>
              <c:numCache>
                <c:formatCode>General</c:formatCode>
                <c:ptCount val="180"/>
                <c:pt idx="0">
                  <c:v>2.2490327245672979E-3</c:v>
                </c:pt>
                <c:pt idx="1">
                  <c:v>2.8737087423000898E-4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6.1561449215059407E-3</c:v>
                </c:pt>
                <c:pt idx="68">
                  <c:v>5.4858289213739172E-3</c:v>
                </c:pt>
                <c:pt idx="69">
                  <c:v>4.9283712718710942E-3</c:v>
                </c:pt>
                <c:pt idx="70">
                  <c:v>5.0701336446243644E-3</c:v>
                </c:pt>
                <c:pt idx="71">
                  <c:v>4.7428213958511344E-3</c:v>
                </c:pt>
                <c:pt idx="72">
                  <c:v>5.337287210531858E-3</c:v>
                </c:pt>
                <c:pt idx="73">
                  <c:v>1.6354646804703601E-3</c:v>
                </c:pt>
                <c:pt idx="74">
                  <c:v>0</c:v>
                </c:pt>
                <c:pt idx="75">
                  <c:v>6.0806071277876516E-4</c:v>
                </c:pt>
                <c:pt idx="76">
                  <c:v>1.2321519445555923E-3</c:v>
                </c:pt>
                <c:pt idx="77">
                  <c:v>0</c:v>
                </c:pt>
                <c:pt idx="78">
                  <c:v>0</c:v>
                </c:pt>
                <c:pt idx="79">
                  <c:v>3.7663253165431737E-4</c:v>
                </c:pt>
                <c:pt idx="80">
                  <c:v>4.8598860178880885E-3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4.8081814322585119E-3</c:v>
                </c:pt>
                <c:pt idx="86">
                  <c:v>4.0357159769913694E-3</c:v>
                </c:pt>
                <c:pt idx="87">
                  <c:v>3.697173808148586E-3</c:v>
                </c:pt>
                <c:pt idx="88">
                  <c:v>2.3702486792005952E-3</c:v>
                </c:pt>
                <c:pt idx="89">
                  <c:v>2.6839518712056189E-3</c:v>
                </c:pt>
                <c:pt idx="90">
                  <c:v>2.4778257843069656E-3</c:v>
                </c:pt>
                <c:pt idx="91">
                  <c:v>7.4819111714961384E-3</c:v>
                </c:pt>
                <c:pt idx="92">
                  <c:v>7.5929163626905823E-3</c:v>
                </c:pt>
                <c:pt idx="93">
                  <c:v>3.3117173500199931E-3</c:v>
                </c:pt>
                <c:pt idx="94">
                  <c:v>3.2993744023656893E-3</c:v>
                </c:pt>
                <c:pt idx="95">
                  <c:v>5.5400740637124189E-3</c:v>
                </c:pt>
                <c:pt idx="96">
                  <c:v>5.5771613240971785E-3</c:v>
                </c:pt>
                <c:pt idx="97">
                  <c:v>9.4171556425863088E-3</c:v>
                </c:pt>
                <c:pt idx="98">
                  <c:v>8.6319627794287802E-3</c:v>
                </c:pt>
                <c:pt idx="99">
                  <c:v>1.2165525683973779E-2</c:v>
                </c:pt>
                <c:pt idx="100">
                  <c:v>1.4798648309489822E-2</c:v>
                </c:pt>
                <c:pt idx="101">
                  <c:v>6.8946564597898597E-3</c:v>
                </c:pt>
                <c:pt idx="102">
                  <c:v>5.5131051999203528E-3</c:v>
                </c:pt>
                <c:pt idx="103">
                  <c:v>0</c:v>
                </c:pt>
                <c:pt idx="104">
                  <c:v>3.8009917828229454E-3</c:v>
                </c:pt>
                <c:pt idx="105">
                  <c:v>2.0345180911300539E-3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6.2941511855268218E-3</c:v>
                </c:pt>
                <c:pt idx="113">
                  <c:v>5.7001347299596066E-3</c:v>
                </c:pt>
                <c:pt idx="114">
                  <c:v>7.4747518481801303E-3</c:v>
                </c:pt>
                <c:pt idx="115">
                  <c:v>1.6025164920193707E-2</c:v>
                </c:pt>
                <c:pt idx="116">
                  <c:v>1.7449825770723695E-2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1.5102714134252774E-2</c:v>
                </c:pt>
                <c:pt idx="121">
                  <c:v>9.6226472319819664E-3</c:v>
                </c:pt>
                <c:pt idx="122">
                  <c:v>1.1027846576118813E-2</c:v>
                </c:pt>
                <c:pt idx="123">
                  <c:v>4.2442412992486828E-2</c:v>
                </c:pt>
                <c:pt idx="124">
                  <c:v>3.6787261075937515E-2</c:v>
                </c:pt>
                <c:pt idx="125">
                  <c:v>4.4187621438887929E-2</c:v>
                </c:pt>
                <c:pt idx="126">
                  <c:v>5.1268989114715655E-2</c:v>
                </c:pt>
                <c:pt idx="127">
                  <c:v>2.8992972743469306E-2</c:v>
                </c:pt>
                <c:pt idx="128">
                  <c:v>2.9218039179633969E-2</c:v>
                </c:pt>
                <c:pt idx="129">
                  <c:v>1.8210584851532877E-2</c:v>
                </c:pt>
                <c:pt idx="130">
                  <c:v>2.1599813869535418E-2</c:v>
                </c:pt>
                <c:pt idx="131">
                  <c:v>2.7302786271244543E-2</c:v>
                </c:pt>
                <c:pt idx="132">
                  <c:v>2.576066296044351E-2</c:v>
                </c:pt>
                <c:pt idx="133">
                  <c:v>2.8767683440594039E-2</c:v>
                </c:pt>
                <c:pt idx="134">
                  <c:v>2.5692017926351701E-2</c:v>
                </c:pt>
                <c:pt idx="135">
                  <c:v>2.5677981482891646E-2</c:v>
                </c:pt>
                <c:pt idx="136">
                  <c:v>2.8698096579970127E-2</c:v>
                </c:pt>
                <c:pt idx="137">
                  <c:v>3.0461447473971278E-2</c:v>
                </c:pt>
                <c:pt idx="138">
                  <c:v>2.6495384687582484E-2</c:v>
                </c:pt>
                <c:pt idx="139">
                  <c:v>2.8341210832437819E-2</c:v>
                </c:pt>
                <c:pt idx="140">
                  <c:v>2.0778194522763384E-2</c:v>
                </c:pt>
                <c:pt idx="141">
                  <c:v>7.4497304334131181E-2</c:v>
                </c:pt>
                <c:pt idx="142">
                  <c:v>7.7047591829243464E-2</c:v>
                </c:pt>
                <c:pt idx="143">
                  <c:v>7.6791246557848539E-2</c:v>
                </c:pt>
                <c:pt idx="144">
                  <c:v>8.8288254892676984E-2</c:v>
                </c:pt>
                <c:pt idx="145">
                  <c:v>9.7765526292292362E-2</c:v>
                </c:pt>
                <c:pt idx="146">
                  <c:v>0.10912142105457347</c:v>
                </c:pt>
                <c:pt idx="147">
                  <c:v>0.10556376189103739</c:v>
                </c:pt>
                <c:pt idx="148">
                  <c:v>0.10164517445323561</c:v>
                </c:pt>
                <c:pt idx="149">
                  <c:v>0.10620899816805571</c:v>
                </c:pt>
                <c:pt idx="150">
                  <c:v>9.9959129846058342E-2</c:v>
                </c:pt>
                <c:pt idx="151">
                  <c:v>0.10952392203711972</c:v>
                </c:pt>
                <c:pt idx="152">
                  <c:v>0.11834551903910683</c:v>
                </c:pt>
                <c:pt idx="153">
                  <c:v>0.12771192378305152</c:v>
                </c:pt>
                <c:pt idx="154">
                  <c:v>0.10129511851506123</c:v>
                </c:pt>
                <c:pt idx="155">
                  <c:v>0.10777723282912416</c:v>
                </c:pt>
                <c:pt idx="156">
                  <c:v>0.11538513562257328</c:v>
                </c:pt>
                <c:pt idx="157">
                  <c:v>0.11460126724807834</c:v>
                </c:pt>
                <c:pt idx="158">
                  <c:v>0.11177397279622998</c:v>
                </c:pt>
                <c:pt idx="159">
                  <c:v>0.10303522225156014</c:v>
                </c:pt>
                <c:pt idx="160">
                  <c:v>0.10298443069126852</c:v>
                </c:pt>
                <c:pt idx="161">
                  <c:v>0.10129289921427695</c:v>
                </c:pt>
                <c:pt idx="162">
                  <c:v>9.6783611014571738E-2</c:v>
                </c:pt>
                <c:pt idx="163">
                  <c:v>7.5766252074784268E-2</c:v>
                </c:pt>
                <c:pt idx="164">
                  <c:v>7.4960337113577885E-2</c:v>
                </c:pt>
                <c:pt idx="165">
                  <c:v>7.2398505145681094E-2</c:v>
                </c:pt>
                <c:pt idx="166">
                  <c:v>6.5048808413807557E-2</c:v>
                </c:pt>
                <c:pt idx="167">
                  <c:v>6.2744324403160245E-2</c:v>
                </c:pt>
                <c:pt idx="168">
                  <c:v>5.5707529712402913E-2</c:v>
                </c:pt>
                <c:pt idx="169">
                  <c:v>5.5285155363885223E-2</c:v>
                </c:pt>
                <c:pt idx="170">
                  <c:v>5.2101043988673962E-2</c:v>
                </c:pt>
                <c:pt idx="171">
                  <c:v>4.878960770402848E-2</c:v>
                </c:pt>
                <c:pt idx="172">
                  <c:v>5.5377026056122283E-2</c:v>
                </c:pt>
                <c:pt idx="173">
                  <c:v>6.1077207635403516E-2</c:v>
                </c:pt>
                <c:pt idx="174">
                  <c:v>5.2365517971903072E-2</c:v>
                </c:pt>
                <c:pt idx="175">
                  <c:v>4.80600842185748E-2</c:v>
                </c:pt>
                <c:pt idx="176">
                  <c:v>5.0999833928281703E-2</c:v>
                </c:pt>
                <c:pt idx="177">
                  <c:v>4.3383678958745397E-2</c:v>
                </c:pt>
                <c:pt idx="178">
                  <c:v>3.7690660335723693E-2</c:v>
                </c:pt>
                <c:pt idx="179">
                  <c:v>3.9743443278940957E-2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AA-4E24-9636-ACA0537957B2}"/>
            </c:ext>
          </c:extLst>
        </c:ser>
        <c:ser>
          <c:idx val="0"/>
          <c:order val="16"/>
          <c:tx>
            <c:v>"Style"</c:v>
          </c:tx>
          <c:spPr>
            <a:ln w="25400">
              <a:noFill/>
            </a:ln>
          </c:spPr>
          <c:val>
            <c:numRef>
              <c:f>TimeVanguardInvGrade!$B$21:$FY$21</c:f>
              <c:numCache>
                <c:formatCode>General</c:formatCode>
                <c:ptCount val="180"/>
                <c:pt idx="0">
                  <c:v>0.92970619620200445</c:v>
                </c:pt>
                <c:pt idx="1">
                  <c:v>0.92759534283772949</c:v>
                </c:pt>
                <c:pt idx="2">
                  <c:v>0.92997536145004678</c:v>
                </c:pt>
                <c:pt idx="3">
                  <c:v>0.92057268906517331</c:v>
                </c:pt>
                <c:pt idx="4">
                  <c:v>0.91795131924589402</c:v>
                </c:pt>
                <c:pt idx="5">
                  <c:v>0.91955319143708758</c:v>
                </c:pt>
                <c:pt idx="6">
                  <c:v>0.92018318253471088</c:v>
                </c:pt>
                <c:pt idx="7">
                  <c:v>0.91830557636173915</c:v>
                </c:pt>
                <c:pt idx="8">
                  <c:v>0.91854815424872982</c:v>
                </c:pt>
                <c:pt idx="9">
                  <c:v>0.91514399665279023</c:v>
                </c:pt>
                <c:pt idx="10">
                  <c:v>0.91500835150195903</c:v>
                </c:pt>
                <c:pt idx="11">
                  <c:v>0.9154564447783855</c:v>
                </c:pt>
                <c:pt idx="12">
                  <c:v>0.91599165648485714</c:v>
                </c:pt>
                <c:pt idx="13">
                  <c:v>0.91526324017415073</c:v>
                </c:pt>
                <c:pt idx="14">
                  <c:v>0.91030476047871367</c:v>
                </c:pt>
                <c:pt idx="15">
                  <c:v>0.90991852051788591</c:v>
                </c:pt>
                <c:pt idx="16">
                  <c:v>0.91144895060482012</c:v>
                </c:pt>
                <c:pt idx="17">
                  <c:v>0.89642309175196655</c:v>
                </c:pt>
                <c:pt idx="18">
                  <c:v>0.89893610562644</c:v>
                </c:pt>
                <c:pt idx="19">
                  <c:v>0.89854520521022863</c:v>
                </c:pt>
                <c:pt idx="20">
                  <c:v>0.89822078599565514</c:v>
                </c:pt>
                <c:pt idx="21">
                  <c:v>0.89752261660938248</c:v>
                </c:pt>
                <c:pt idx="22">
                  <c:v>0.89715723452256724</c:v>
                </c:pt>
                <c:pt idx="23">
                  <c:v>0.89446915159236484</c:v>
                </c:pt>
                <c:pt idx="24">
                  <c:v>0.89345556822471572</c:v>
                </c:pt>
                <c:pt idx="25">
                  <c:v>0.89150689200132882</c:v>
                </c:pt>
                <c:pt idx="26">
                  <c:v>0.88147785602160478</c:v>
                </c:pt>
                <c:pt idx="27">
                  <c:v>0.87931231618080874</c:v>
                </c:pt>
                <c:pt idx="28">
                  <c:v>0.87953799702042523</c:v>
                </c:pt>
                <c:pt idx="29">
                  <c:v>0.87875483599144899</c:v>
                </c:pt>
                <c:pt idx="30">
                  <c:v>0.8777892114646717</c:v>
                </c:pt>
                <c:pt idx="31">
                  <c:v>0.88219070226748098</c:v>
                </c:pt>
                <c:pt idx="32">
                  <c:v>0.88139942994851395</c:v>
                </c:pt>
                <c:pt idx="33">
                  <c:v>0.87428082174163857</c:v>
                </c:pt>
                <c:pt idx="34">
                  <c:v>0.88118522512761921</c:v>
                </c:pt>
                <c:pt idx="35">
                  <c:v>0.88221266122632447</c:v>
                </c:pt>
                <c:pt idx="36">
                  <c:v>0.8876278051186175</c:v>
                </c:pt>
                <c:pt idx="37">
                  <c:v>0.88591765112303766</c:v>
                </c:pt>
                <c:pt idx="38">
                  <c:v>0.88457127797667567</c:v>
                </c:pt>
                <c:pt idx="39">
                  <c:v>0.88561418316986051</c:v>
                </c:pt>
                <c:pt idx="40">
                  <c:v>0.88536607925687882</c:v>
                </c:pt>
                <c:pt idx="41">
                  <c:v>0.88494460339255288</c:v>
                </c:pt>
                <c:pt idx="42">
                  <c:v>0.88330340119261086</c:v>
                </c:pt>
                <c:pt idx="43">
                  <c:v>0.87389969574706905</c:v>
                </c:pt>
                <c:pt idx="44">
                  <c:v>0.86707704054793766</c:v>
                </c:pt>
                <c:pt idx="45">
                  <c:v>0.86719015951714495</c:v>
                </c:pt>
                <c:pt idx="46">
                  <c:v>0.85827810015572037</c:v>
                </c:pt>
                <c:pt idx="47">
                  <c:v>0.85564787683569365</c:v>
                </c:pt>
                <c:pt idx="48">
                  <c:v>0.86288982772136213</c:v>
                </c:pt>
                <c:pt idx="49">
                  <c:v>0.86331493800133419</c:v>
                </c:pt>
                <c:pt idx="50">
                  <c:v>0.86397035951098655</c:v>
                </c:pt>
                <c:pt idx="51">
                  <c:v>0.86699634134476133</c:v>
                </c:pt>
                <c:pt idx="52">
                  <c:v>0.86555159409513782</c:v>
                </c:pt>
                <c:pt idx="53">
                  <c:v>0.87255174392688051</c:v>
                </c:pt>
                <c:pt idx="54">
                  <c:v>0.87282751357990784</c:v>
                </c:pt>
                <c:pt idx="55">
                  <c:v>0.88926260867225193</c:v>
                </c:pt>
                <c:pt idx="56">
                  <c:v>0.88950372751886164</c:v>
                </c:pt>
                <c:pt idx="57">
                  <c:v>0.8923029616268815</c:v>
                </c:pt>
                <c:pt idx="58">
                  <c:v>0.8958943432251969</c:v>
                </c:pt>
                <c:pt idx="59">
                  <c:v>0.89837585003183917</c:v>
                </c:pt>
                <c:pt idx="60">
                  <c:v>0.92148600933809188</c:v>
                </c:pt>
                <c:pt idx="61">
                  <c:v>0.9224673836444246</c:v>
                </c:pt>
                <c:pt idx="62">
                  <c:v>0.91999567364099011</c:v>
                </c:pt>
                <c:pt idx="63">
                  <c:v>0.92313613843470244</c:v>
                </c:pt>
                <c:pt idx="64">
                  <c:v>0.93110328316012947</c:v>
                </c:pt>
                <c:pt idx="65">
                  <c:v>0.93071847087912596</c:v>
                </c:pt>
                <c:pt idx="66">
                  <c:v>0.93194077397867348</c:v>
                </c:pt>
                <c:pt idx="67">
                  <c:v>0.93153420456084335</c:v>
                </c:pt>
                <c:pt idx="68">
                  <c:v>0.93241500898536256</c:v>
                </c:pt>
                <c:pt idx="69">
                  <c:v>0.93251632100265691</c:v>
                </c:pt>
                <c:pt idx="70">
                  <c:v>0.93258498388184352</c:v>
                </c:pt>
                <c:pt idx="71">
                  <c:v>0.93311304080590152</c:v>
                </c:pt>
                <c:pt idx="72">
                  <c:v>0.93271746959618052</c:v>
                </c:pt>
                <c:pt idx="73">
                  <c:v>0.93276262337812632</c:v>
                </c:pt>
                <c:pt idx="74">
                  <c:v>0.94003966700862274</c:v>
                </c:pt>
                <c:pt idx="75">
                  <c:v>0.94232470343664598</c:v>
                </c:pt>
                <c:pt idx="76">
                  <c:v>0.94220773643574407</c:v>
                </c:pt>
                <c:pt idx="77">
                  <c:v>0.94353282477543166</c:v>
                </c:pt>
                <c:pt idx="78">
                  <c:v>0.94339572303032537</c:v>
                </c:pt>
                <c:pt idx="79">
                  <c:v>0.94309877856246382</c:v>
                </c:pt>
                <c:pt idx="80">
                  <c:v>0.94532246741865311</c:v>
                </c:pt>
                <c:pt idx="81">
                  <c:v>0.94697011500936867</c:v>
                </c:pt>
                <c:pt idx="82">
                  <c:v>0.94787696276689282</c:v>
                </c:pt>
                <c:pt idx="83">
                  <c:v>0.94817604585323367</c:v>
                </c:pt>
                <c:pt idx="84">
                  <c:v>0.94803049043433796</c:v>
                </c:pt>
                <c:pt idx="85">
                  <c:v>0.95195567093340738</c:v>
                </c:pt>
                <c:pt idx="86">
                  <c:v>0.94855891348197574</c:v>
                </c:pt>
                <c:pt idx="87">
                  <c:v>0.94756805273645739</c:v>
                </c:pt>
                <c:pt idx="88">
                  <c:v>0.94728743977264918</c:v>
                </c:pt>
                <c:pt idx="89">
                  <c:v>0.94772265045326587</c:v>
                </c:pt>
                <c:pt idx="90">
                  <c:v>0.94751532911043956</c:v>
                </c:pt>
                <c:pt idx="91">
                  <c:v>0.9475618641020489</c:v>
                </c:pt>
                <c:pt idx="92">
                  <c:v>0.94650583821535161</c:v>
                </c:pt>
                <c:pt idx="93">
                  <c:v>0.94790412154119219</c:v>
                </c:pt>
                <c:pt idx="94">
                  <c:v>0.94576504389414173</c:v>
                </c:pt>
                <c:pt idx="95">
                  <c:v>0.94886507261126218</c:v>
                </c:pt>
                <c:pt idx="96">
                  <c:v>0.94826095828569257</c:v>
                </c:pt>
                <c:pt idx="97">
                  <c:v>0.94917503158291183</c:v>
                </c:pt>
                <c:pt idx="98">
                  <c:v>0.94952090184265958</c:v>
                </c:pt>
                <c:pt idx="99">
                  <c:v>0.94545661921168767</c:v>
                </c:pt>
                <c:pt idx="100">
                  <c:v>0.94523913639408563</c:v>
                </c:pt>
                <c:pt idx="101">
                  <c:v>0.94870071915635579</c:v>
                </c:pt>
                <c:pt idx="102">
                  <c:v>0.94892399735209376</c:v>
                </c:pt>
                <c:pt idx="103">
                  <c:v>0.95189295394161821</c:v>
                </c:pt>
                <c:pt idx="104">
                  <c:v>0.94914462965382529</c:v>
                </c:pt>
                <c:pt idx="105">
                  <c:v>0.94983097303415709</c:v>
                </c:pt>
                <c:pt idx="106">
                  <c:v>0.95247723443385035</c:v>
                </c:pt>
                <c:pt idx="107">
                  <c:v>0.9512898792736777</c:v>
                </c:pt>
                <c:pt idx="108">
                  <c:v>0.94986643431138895</c:v>
                </c:pt>
                <c:pt idx="109">
                  <c:v>0.94396825958305608</c:v>
                </c:pt>
                <c:pt idx="110">
                  <c:v>0.94372189322357158</c:v>
                </c:pt>
                <c:pt idx="111">
                  <c:v>0.94131769134617749</c:v>
                </c:pt>
                <c:pt idx="112">
                  <c:v>0.9392067403437816</c:v>
                </c:pt>
                <c:pt idx="113">
                  <c:v>0.93569991574943501</c:v>
                </c:pt>
                <c:pt idx="114">
                  <c:v>0.93526096197520281</c:v>
                </c:pt>
                <c:pt idx="115">
                  <c:v>0.90911760586585688</c:v>
                </c:pt>
                <c:pt idx="116">
                  <c:v>0.90849851093418799</c:v>
                </c:pt>
                <c:pt idx="117">
                  <c:v>0.88566238023876243</c:v>
                </c:pt>
                <c:pt idx="118">
                  <c:v>0.89437280350866621</c:v>
                </c:pt>
                <c:pt idx="119">
                  <c:v>0.9069865081080265</c:v>
                </c:pt>
                <c:pt idx="120">
                  <c:v>0.89366856905486591</c:v>
                </c:pt>
                <c:pt idx="121">
                  <c:v>0.89737320877726456</c:v>
                </c:pt>
                <c:pt idx="122">
                  <c:v>0.89843363580941737</c:v>
                </c:pt>
                <c:pt idx="123">
                  <c:v>0.87743515711064335</c:v>
                </c:pt>
                <c:pt idx="124">
                  <c:v>0.87004968309012465</c:v>
                </c:pt>
                <c:pt idx="125">
                  <c:v>0.8538851434701199</c:v>
                </c:pt>
                <c:pt idx="126">
                  <c:v>0.84785743490524235</c:v>
                </c:pt>
                <c:pt idx="127">
                  <c:v>0.84248719306860576</c:v>
                </c:pt>
                <c:pt idx="128">
                  <c:v>0.84079113498159608</c:v>
                </c:pt>
                <c:pt idx="129">
                  <c:v>0.84098684382292033</c:v>
                </c:pt>
                <c:pt idx="130">
                  <c:v>0.84042374758203509</c:v>
                </c:pt>
                <c:pt idx="131">
                  <c:v>0.84003092547687086</c:v>
                </c:pt>
                <c:pt idx="132">
                  <c:v>0.84133757262943998</c:v>
                </c:pt>
                <c:pt idx="133">
                  <c:v>0.84259091578343037</c:v>
                </c:pt>
                <c:pt idx="134">
                  <c:v>0.84202184058154472</c:v>
                </c:pt>
                <c:pt idx="135">
                  <c:v>0.84144227602389066</c:v>
                </c:pt>
                <c:pt idx="136">
                  <c:v>0.84017854965093164</c:v>
                </c:pt>
                <c:pt idx="137">
                  <c:v>0.839177108369069</c:v>
                </c:pt>
                <c:pt idx="138">
                  <c:v>0.84050311806789602</c:v>
                </c:pt>
                <c:pt idx="139">
                  <c:v>0.84087225176110314</c:v>
                </c:pt>
                <c:pt idx="140">
                  <c:v>0.8410841362526934</c:v>
                </c:pt>
                <c:pt idx="141">
                  <c:v>0.84084420334915577</c:v>
                </c:pt>
                <c:pt idx="142">
                  <c:v>0.83969283089252822</c:v>
                </c:pt>
                <c:pt idx="143">
                  <c:v>0.84052894903372266</c:v>
                </c:pt>
                <c:pt idx="144">
                  <c:v>0.83987321808387394</c:v>
                </c:pt>
                <c:pt idx="145">
                  <c:v>0.8427345569419773</c:v>
                </c:pt>
                <c:pt idx="146">
                  <c:v>0.84366239105103968</c:v>
                </c:pt>
                <c:pt idx="147">
                  <c:v>0.84606793993370766</c:v>
                </c:pt>
                <c:pt idx="148">
                  <c:v>0.84905599255117581</c:v>
                </c:pt>
                <c:pt idx="149">
                  <c:v>0.84959963788847259</c:v>
                </c:pt>
                <c:pt idx="150">
                  <c:v>0.84957052764138385</c:v>
                </c:pt>
                <c:pt idx="151">
                  <c:v>0.85104240704316847</c:v>
                </c:pt>
                <c:pt idx="152">
                  <c:v>0.84711095255543423</c:v>
                </c:pt>
                <c:pt idx="153">
                  <c:v>0.8494366252266472</c:v>
                </c:pt>
                <c:pt idx="154">
                  <c:v>0.84160627870541671</c:v>
                </c:pt>
                <c:pt idx="155">
                  <c:v>0.83375009369757347</c:v>
                </c:pt>
                <c:pt idx="156">
                  <c:v>0.83680159834795853</c:v>
                </c:pt>
                <c:pt idx="157">
                  <c:v>0.83692781067228683</c:v>
                </c:pt>
                <c:pt idx="158">
                  <c:v>0.83562999910444979</c:v>
                </c:pt>
                <c:pt idx="159">
                  <c:v>0.83889938334040126</c:v>
                </c:pt>
                <c:pt idx="160">
                  <c:v>0.83958902863417495</c:v>
                </c:pt>
                <c:pt idx="161">
                  <c:v>0.83967686039597944</c:v>
                </c:pt>
                <c:pt idx="162">
                  <c:v>0.84136946688245384</c:v>
                </c:pt>
                <c:pt idx="163">
                  <c:v>0.83893732817110434</c:v>
                </c:pt>
                <c:pt idx="164">
                  <c:v>0.83936060197277629</c:v>
                </c:pt>
                <c:pt idx="165">
                  <c:v>0.84093507512751986</c:v>
                </c:pt>
                <c:pt idx="166">
                  <c:v>0.83860247631575668</c:v>
                </c:pt>
                <c:pt idx="167">
                  <c:v>0.83608954441507111</c:v>
                </c:pt>
                <c:pt idx="168">
                  <c:v>0.83439656505991122</c:v>
                </c:pt>
                <c:pt idx="169">
                  <c:v>0.83590631890317257</c:v>
                </c:pt>
                <c:pt idx="170">
                  <c:v>0.83866877086776792</c:v>
                </c:pt>
                <c:pt idx="171">
                  <c:v>0.83820038955740084</c:v>
                </c:pt>
                <c:pt idx="172">
                  <c:v>0.8404519056497175</c:v>
                </c:pt>
                <c:pt idx="173">
                  <c:v>0.84574689405926118</c:v>
                </c:pt>
                <c:pt idx="174">
                  <c:v>0.84861965240970805</c:v>
                </c:pt>
                <c:pt idx="175">
                  <c:v>0.84867906184185815</c:v>
                </c:pt>
                <c:pt idx="176">
                  <c:v>0.84949995536890954</c:v>
                </c:pt>
                <c:pt idx="177">
                  <c:v>0.84062907534189213</c:v>
                </c:pt>
                <c:pt idx="178">
                  <c:v>0.8213762994324223</c:v>
                </c:pt>
                <c:pt idx="179">
                  <c:v>0.80851804817071171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AA-4E24-9636-ACA053795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72224"/>
        <c:axId val="171586304"/>
      </c:areaChart>
      <c:dateAx>
        <c:axId val="1715722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1586304"/>
        <c:crosses val="autoZero"/>
        <c:auto val="1"/>
        <c:lblOffset val="100"/>
        <c:baseTimeUnit val="months"/>
      </c:dateAx>
      <c:valAx>
        <c:axId val="17158630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157222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TimeHarbor!$A$3</c:f>
          <c:strCache>
            <c:ptCount val="1"/>
            <c:pt idx="0">
              <c:v>02 - Harbor Large Cap Value Fund (Institutional)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775933093109125"/>
          <c:y val="0.12153568514308703"/>
          <c:w val="0.82490555629698825"/>
          <c:h val="0.73862741081646044"/>
        </c:manualLayout>
      </c:layout>
      <c:scatterChart>
        <c:scatterStyle val="lineMarker"/>
        <c:varyColors val="0"/>
        <c:ser>
          <c:idx val="0"/>
          <c:order val="0"/>
          <c:spPr>
            <a:ln w="34925"/>
          </c:spPr>
          <c:marker>
            <c:symbol val="none"/>
          </c:marker>
          <c:xVal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xVal>
          <c:yVal>
            <c:numRef>
              <c:f>TimeHarbor!$B$21:$FY$21</c:f>
              <c:numCache>
                <c:formatCode>General</c:formatCode>
                <c:ptCount val="180"/>
                <c:pt idx="0">
                  <c:v>0.46589592745916131</c:v>
                </c:pt>
                <c:pt idx="1">
                  <c:v>0.46244056650584398</c:v>
                </c:pt>
                <c:pt idx="2">
                  <c:v>0.4533970723040287</c:v>
                </c:pt>
                <c:pt idx="3">
                  <c:v>0.44486793982967154</c:v>
                </c:pt>
                <c:pt idx="4">
                  <c:v>0.47445372100878602</c:v>
                </c:pt>
                <c:pt idx="5">
                  <c:v>0.47410387780269458</c:v>
                </c:pt>
                <c:pt idx="6">
                  <c:v>0.47491899432963958</c:v>
                </c:pt>
                <c:pt idx="7">
                  <c:v>0.47835355478370789</c:v>
                </c:pt>
                <c:pt idx="8">
                  <c:v>0.48268037989111856</c:v>
                </c:pt>
                <c:pt idx="9">
                  <c:v>0.48747776279493948</c:v>
                </c:pt>
                <c:pt idx="10">
                  <c:v>0.49249659189754158</c:v>
                </c:pt>
                <c:pt idx="11">
                  <c:v>0.48602508850183079</c:v>
                </c:pt>
                <c:pt idx="12">
                  <c:v>0.43292890448477361</c:v>
                </c:pt>
                <c:pt idx="13">
                  <c:v>0.44341761496883236</c:v>
                </c:pt>
                <c:pt idx="14">
                  <c:v>0.4593049074577974</c:v>
                </c:pt>
                <c:pt idx="15">
                  <c:v>0.4902361138274921</c:v>
                </c:pt>
                <c:pt idx="16">
                  <c:v>0.48632173844992366</c:v>
                </c:pt>
                <c:pt idx="17">
                  <c:v>0.47755054857438228</c:v>
                </c:pt>
                <c:pt idx="18">
                  <c:v>0.48631343998303289</c:v>
                </c:pt>
                <c:pt idx="19">
                  <c:v>0.48476270698017176</c:v>
                </c:pt>
                <c:pt idx="20">
                  <c:v>0.49244522757568743</c:v>
                </c:pt>
                <c:pt idx="21">
                  <c:v>0.49279767602980995</c:v>
                </c:pt>
                <c:pt idx="22">
                  <c:v>0.49305152424447751</c:v>
                </c:pt>
                <c:pt idx="23">
                  <c:v>0.48923458517738805</c:v>
                </c:pt>
                <c:pt idx="24">
                  <c:v>0.51196708176936712</c:v>
                </c:pt>
                <c:pt idx="25">
                  <c:v>0.51370943795161406</c:v>
                </c:pt>
                <c:pt idx="26">
                  <c:v>0.51404285030938635</c:v>
                </c:pt>
                <c:pt idx="27">
                  <c:v>0.51646659909564452</c:v>
                </c:pt>
                <c:pt idx="28">
                  <c:v>0.52497308108063223</c:v>
                </c:pt>
                <c:pt idx="29">
                  <c:v>0.52433571615900809</c:v>
                </c:pt>
                <c:pt idx="30">
                  <c:v>0.5223033383888076</c:v>
                </c:pt>
                <c:pt idx="31">
                  <c:v>0.51313189359974953</c:v>
                </c:pt>
                <c:pt idx="32">
                  <c:v>0.51259618047598199</c:v>
                </c:pt>
                <c:pt idx="33">
                  <c:v>0.53394312170024094</c:v>
                </c:pt>
                <c:pt idx="34">
                  <c:v>0.53255523765092561</c:v>
                </c:pt>
                <c:pt idx="35">
                  <c:v>0.53544489606441004</c:v>
                </c:pt>
                <c:pt idx="36">
                  <c:v>0.55980105191141138</c:v>
                </c:pt>
                <c:pt idx="37">
                  <c:v>0.55800334711682786</c:v>
                </c:pt>
                <c:pt idx="38">
                  <c:v>0.55831209130179849</c:v>
                </c:pt>
                <c:pt idx="39">
                  <c:v>0.56113045877718559</c:v>
                </c:pt>
                <c:pt idx="40">
                  <c:v>0.5603601609635368</c:v>
                </c:pt>
                <c:pt idx="41">
                  <c:v>0.55173848610868725</c:v>
                </c:pt>
                <c:pt idx="42">
                  <c:v>0.56165335022905716</c:v>
                </c:pt>
                <c:pt idx="43">
                  <c:v>0.55619968554873922</c:v>
                </c:pt>
                <c:pt idx="44">
                  <c:v>0.55885239199536008</c:v>
                </c:pt>
                <c:pt idx="45">
                  <c:v>0.58127876727848671</c:v>
                </c:pt>
                <c:pt idx="46">
                  <c:v>0.59149676787263383</c:v>
                </c:pt>
                <c:pt idx="47">
                  <c:v>0.59767999797535665</c:v>
                </c:pt>
                <c:pt idx="48">
                  <c:v>0.73378466639024098</c:v>
                </c:pt>
                <c:pt idx="49">
                  <c:v>0.73362650862764178</c:v>
                </c:pt>
                <c:pt idx="50">
                  <c:v>0.72553491650094681</c:v>
                </c:pt>
                <c:pt idx="51">
                  <c:v>0.722005791513193</c:v>
                </c:pt>
                <c:pt idx="52">
                  <c:v>0.72781191591868633</c:v>
                </c:pt>
                <c:pt idx="53">
                  <c:v>0.73543621041733864</c:v>
                </c:pt>
                <c:pt idx="54">
                  <c:v>0.73604052294280353</c:v>
                </c:pt>
                <c:pt idx="55">
                  <c:v>0.73530540756887108</c:v>
                </c:pt>
                <c:pt idx="56">
                  <c:v>0.7088593488934225</c:v>
                </c:pt>
                <c:pt idx="57">
                  <c:v>0.70835194972788851</c:v>
                </c:pt>
                <c:pt idx="58">
                  <c:v>0.69757583456183392</c:v>
                </c:pt>
                <c:pt idx="59">
                  <c:v>0.69300815919262548</c:v>
                </c:pt>
                <c:pt idx="60">
                  <c:v>0.78522690259684658</c:v>
                </c:pt>
                <c:pt idx="61">
                  <c:v>0.78546298966671046</c:v>
                </c:pt>
                <c:pt idx="62">
                  <c:v>0.78907063882765238</c:v>
                </c:pt>
                <c:pt idx="63">
                  <c:v>0.78880803113633302</c:v>
                </c:pt>
                <c:pt idx="64">
                  <c:v>0.77089333434989993</c:v>
                </c:pt>
                <c:pt idx="65">
                  <c:v>0.77049252709142291</c:v>
                </c:pt>
                <c:pt idx="66">
                  <c:v>0.76840436600665196</c:v>
                </c:pt>
                <c:pt idx="67">
                  <c:v>0.76734113854993846</c:v>
                </c:pt>
                <c:pt idx="68">
                  <c:v>0.76581291962049547</c:v>
                </c:pt>
                <c:pt idx="69">
                  <c:v>0.76051738951882708</c:v>
                </c:pt>
                <c:pt idx="70">
                  <c:v>0.75775612118541658</c:v>
                </c:pt>
                <c:pt idx="71">
                  <c:v>0.76104967976172744</c:v>
                </c:pt>
                <c:pt idx="72">
                  <c:v>0.88866069957031724</c:v>
                </c:pt>
                <c:pt idx="73">
                  <c:v>0.88919610437059426</c:v>
                </c:pt>
                <c:pt idx="74">
                  <c:v>0.888107734846316</c:v>
                </c:pt>
                <c:pt idx="75">
                  <c:v>0.88439309682950573</c:v>
                </c:pt>
                <c:pt idx="76">
                  <c:v>0.88585297793739937</c:v>
                </c:pt>
                <c:pt idx="77">
                  <c:v>0.89572103549984505</c:v>
                </c:pt>
                <c:pt idx="78">
                  <c:v>0.90660079945740701</c:v>
                </c:pt>
                <c:pt idx="79">
                  <c:v>0.90474149343296362</c:v>
                </c:pt>
                <c:pt idx="80">
                  <c:v>0.90317703554840933</c:v>
                </c:pt>
                <c:pt idx="81">
                  <c:v>0.90189014074424156</c:v>
                </c:pt>
                <c:pt idx="82">
                  <c:v>0.90908028497318183</c:v>
                </c:pt>
                <c:pt idx="83">
                  <c:v>0.91119781919741261</c:v>
                </c:pt>
                <c:pt idx="84">
                  <c:v>0.90899269694050178</c:v>
                </c:pt>
                <c:pt idx="85">
                  <c:v>0.90295146543137439</c:v>
                </c:pt>
                <c:pt idx="86">
                  <c:v>0.91081152736701199</c:v>
                </c:pt>
                <c:pt idx="87">
                  <c:v>0.91396636898954342</c:v>
                </c:pt>
                <c:pt idx="88">
                  <c:v>0.91116574714292031</c:v>
                </c:pt>
                <c:pt idx="89">
                  <c:v>0.91248801282064629</c:v>
                </c:pt>
                <c:pt idx="90">
                  <c:v>0.91392768046697404</c:v>
                </c:pt>
                <c:pt idx="91">
                  <c:v>0.92333197350573126</c:v>
                </c:pt>
                <c:pt idx="92">
                  <c:v>0.92619583415219042</c:v>
                </c:pt>
                <c:pt idx="93">
                  <c:v>0.91683346695039769</c:v>
                </c:pt>
                <c:pt idx="94">
                  <c:v>0.91724454553558288</c:v>
                </c:pt>
                <c:pt idx="95">
                  <c:v>0.91225017667285302</c:v>
                </c:pt>
                <c:pt idx="96">
                  <c:v>0.9117244655763368</c:v>
                </c:pt>
                <c:pt idx="97">
                  <c:v>0.9112302435415619</c:v>
                </c:pt>
                <c:pt idx="98">
                  <c:v>0.91350046731367751</c:v>
                </c:pt>
                <c:pt idx="99">
                  <c:v>0.91233978713992225</c:v>
                </c:pt>
                <c:pt idx="100">
                  <c:v>0.92726415115157712</c:v>
                </c:pt>
                <c:pt idx="101">
                  <c:v>0.92742495915173995</c:v>
                </c:pt>
                <c:pt idx="102">
                  <c:v>0.92930751104365006</c:v>
                </c:pt>
                <c:pt idx="103">
                  <c:v>0.92533764791650663</c:v>
                </c:pt>
                <c:pt idx="104">
                  <c:v>0.92390347098838388</c:v>
                </c:pt>
                <c:pt idx="105">
                  <c:v>0.902721550398493</c:v>
                </c:pt>
                <c:pt idx="106">
                  <c:v>0.89453354333632906</c:v>
                </c:pt>
                <c:pt idx="107">
                  <c:v>0.89445774194255234</c:v>
                </c:pt>
                <c:pt idx="108">
                  <c:v>0.18504625456353041</c:v>
                </c:pt>
                <c:pt idx="109">
                  <c:v>0.19148327954867395</c:v>
                </c:pt>
                <c:pt idx="110">
                  <c:v>0.18792160465823837</c:v>
                </c:pt>
                <c:pt idx="111">
                  <c:v>0.18719043932073065</c:v>
                </c:pt>
                <c:pt idx="112">
                  <c:v>0.18110849145489072</c:v>
                </c:pt>
                <c:pt idx="113">
                  <c:v>0.16819022394671534</c:v>
                </c:pt>
                <c:pt idx="114">
                  <c:v>0.19117306502686715</c:v>
                </c:pt>
                <c:pt idx="115">
                  <c:v>0.18973080754992766</c:v>
                </c:pt>
                <c:pt idx="116">
                  <c:v>0.1883377536439288</c:v>
                </c:pt>
                <c:pt idx="117">
                  <c:v>0.19498239647671511</c:v>
                </c:pt>
                <c:pt idx="118">
                  <c:v>0.24551426281225786</c:v>
                </c:pt>
                <c:pt idx="119">
                  <c:v>0.25479062457962109</c:v>
                </c:pt>
                <c:pt idx="120">
                  <c:v>0.24886808579027264</c:v>
                </c:pt>
                <c:pt idx="121">
                  <c:v>0.25912916148123377</c:v>
                </c:pt>
                <c:pt idx="122">
                  <c:v>0.27492318372822477</c:v>
                </c:pt>
                <c:pt idx="123">
                  <c:v>0.29072702904460734</c:v>
                </c:pt>
                <c:pt idx="124">
                  <c:v>0.30596516605000956</c:v>
                </c:pt>
                <c:pt idx="125">
                  <c:v>0.31727836702960488</c:v>
                </c:pt>
                <c:pt idx="126">
                  <c:v>0.31604632599213911</c:v>
                </c:pt>
                <c:pt idx="127">
                  <c:v>0.32423341257293758</c:v>
                </c:pt>
                <c:pt idx="128">
                  <c:v>0.32669008306585201</c:v>
                </c:pt>
                <c:pt idx="129">
                  <c:v>0.32801086604942509</c:v>
                </c:pt>
                <c:pt idx="130">
                  <c:v>0.3262516737056127</c:v>
                </c:pt>
                <c:pt idx="131">
                  <c:v>0.32714294972567959</c:v>
                </c:pt>
                <c:pt idx="132">
                  <c:v>0.3241576244638984</c:v>
                </c:pt>
                <c:pt idx="133">
                  <c:v>0.32590087246710553</c:v>
                </c:pt>
                <c:pt idx="134">
                  <c:v>0.32616429055227047</c:v>
                </c:pt>
                <c:pt idx="135">
                  <c:v>0.33372580204575819</c:v>
                </c:pt>
                <c:pt idx="136">
                  <c:v>0.33413281084622326</c:v>
                </c:pt>
                <c:pt idx="137">
                  <c:v>0.34062293173125302</c:v>
                </c:pt>
                <c:pt idx="138">
                  <c:v>0.34423338898441191</c:v>
                </c:pt>
                <c:pt idx="139">
                  <c:v>0.35146296945010558</c:v>
                </c:pt>
                <c:pt idx="140">
                  <c:v>0.35223276901345213</c:v>
                </c:pt>
                <c:pt idx="141">
                  <c:v>0.36233649542595536</c:v>
                </c:pt>
                <c:pt idx="142">
                  <c:v>0.36335693257425417</c:v>
                </c:pt>
                <c:pt idx="143">
                  <c:v>0.3612304824762872</c:v>
                </c:pt>
                <c:pt idx="144">
                  <c:v>0.36764235319054939</c:v>
                </c:pt>
                <c:pt idx="145">
                  <c:v>0.36871066853586598</c:v>
                </c:pt>
                <c:pt idx="146">
                  <c:v>0.37118205043635277</c:v>
                </c:pt>
                <c:pt idx="147">
                  <c:v>0.36852871249812558</c:v>
                </c:pt>
                <c:pt idx="148">
                  <c:v>0.36905176789486671</c:v>
                </c:pt>
                <c:pt idx="149">
                  <c:v>0.36886791113697837</c:v>
                </c:pt>
                <c:pt idx="150">
                  <c:v>0.36930504140462139</c:v>
                </c:pt>
                <c:pt idx="151">
                  <c:v>0.36967630637551541</c:v>
                </c:pt>
                <c:pt idx="152">
                  <c:v>0.37108262073990028</c:v>
                </c:pt>
                <c:pt idx="153">
                  <c:v>0.37581012982617468</c:v>
                </c:pt>
                <c:pt idx="154">
                  <c:v>0.3895276214068103</c:v>
                </c:pt>
                <c:pt idx="155">
                  <c:v>0.38810693585502065</c:v>
                </c:pt>
                <c:pt idx="156">
                  <c:v>0.38797953111769179</c:v>
                </c:pt>
                <c:pt idx="157">
                  <c:v>0.39121757694874915</c:v>
                </c:pt>
                <c:pt idx="158">
                  <c:v>0.39521893349781323</c:v>
                </c:pt>
                <c:pt idx="159">
                  <c:v>0.39678738315520401</c:v>
                </c:pt>
                <c:pt idx="160">
                  <c:v>0.39353184599493085</c:v>
                </c:pt>
                <c:pt idx="161">
                  <c:v>0.39600293216125859</c:v>
                </c:pt>
                <c:pt idx="162">
                  <c:v>0.39806486368063609</c:v>
                </c:pt>
                <c:pt idx="163">
                  <c:v>0.39773731537510992</c:v>
                </c:pt>
                <c:pt idx="164">
                  <c:v>0.39858385935151286</c:v>
                </c:pt>
                <c:pt idx="165">
                  <c:v>0.39809744574009653</c:v>
                </c:pt>
                <c:pt idx="166">
                  <c:v>0.39723332756309437</c:v>
                </c:pt>
                <c:pt idx="167">
                  <c:v>0.39624425638438487</c:v>
                </c:pt>
                <c:pt idx="168">
                  <c:v>0.97927164592563631</c:v>
                </c:pt>
                <c:pt idx="169">
                  <c:v>0.97864318264762451</c:v>
                </c:pt>
                <c:pt idx="170">
                  <c:v>0.97889538852170233</c:v>
                </c:pt>
                <c:pt idx="171">
                  <c:v>0.97946574708067569</c:v>
                </c:pt>
                <c:pt idx="172">
                  <c:v>0.97976225404172279</c:v>
                </c:pt>
                <c:pt idx="173">
                  <c:v>0.97966116579338303</c:v>
                </c:pt>
                <c:pt idx="174">
                  <c:v>0.97862762375449497</c:v>
                </c:pt>
                <c:pt idx="175">
                  <c:v>0.97725553099133688</c:v>
                </c:pt>
                <c:pt idx="176">
                  <c:v>0.97739880752594899</c:v>
                </c:pt>
                <c:pt idx="177">
                  <c:v>0.97675024796594012</c:v>
                </c:pt>
                <c:pt idx="178">
                  <c:v>0.97155779158033562</c:v>
                </c:pt>
                <c:pt idx="179">
                  <c:v>0.96981604333788529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82-4CEF-A2A7-C433881C6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32128"/>
        <c:axId val="171633664"/>
      </c:scatterChart>
      <c:valAx>
        <c:axId val="171632128"/>
        <c:scaling>
          <c:orientation val="minMax"/>
          <c:min val="3600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171633664"/>
        <c:crosses val="autoZero"/>
        <c:crossBetween val="midCat"/>
      </c:valAx>
      <c:valAx>
        <c:axId val="171633664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TimeHarbor!$B$21:$FY$21</c:f>
              <c:strCache>
                <c:ptCount val="180"/>
                <c:pt idx="0">
                  <c:v>0.465895927</c:v>
                </c:pt>
                <c:pt idx="1">
                  <c:v>0.462440567</c:v>
                </c:pt>
                <c:pt idx="2">
                  <c:v>0.453397072</c:v>
                </c:pt>
                <c:pt idx="3">
                  <c:v>0.44486794</c:v>
                </c:pt>
                <c:pt idx="4">
                  <c:v>0.474453721</c:v>
                </c:pt>
                <c:pt idx="5">
                  <c:v>0.474103878</c:v>
                </c:pt>
                <c:pt idx="6">
                  <c:v>0.474918994</c:v>
                </c:pt>
                <c:pt idx="7">
                  <c:v>0.478353555</c:v>
                </c:pt>
                <c:pt idx="8">
                  <c:v>0.48268038</c:v>
                </c:pt>
                <c:pt idx="9">
                  <c:v>0.487477763</c:v>
                </c:pt>
                <c:pt idx="10">
                  <c:v>0.492496592</c:v>
                </c:pt>
                <c:pt idx="11">
                  <c:v>0.486025089</c:v>
                </c:pt>
                <c:pt idx="12">
                  <c:v>0.432928904</c:v>
                </c:pt>
                <c:pt idx="13">
                  <c:v>0.443417615</c:v>
                </c:pt>
                <c:pt idx="14">
                  <c:v>0.459304907</c:v>
                </c:pt>
                <c:pt idx="15">
                  <c:v>0.490236114</c:v>
                </c:pt>
                <c:pt idx="16">
                  <c:v>0.486321738</c:v>
                </c:pt>
                <c:pt idx="17">
                  <c:v>0.477550549</c:v>
                </c:pt>
                <c:pt idx="18">
                  <c:v>0.48631344</c:v>
                </c:pt>
                <c:pt idx="19">
                  <c:v>0.484762707</c:v>
                </c:pt>
                <c:pt idx="20">
                  <c:v>0.492445228</c:v>
                </c:pt>
                <c:pt idx="21">
                  <c:v>0.492797676</c:v>
                </c:pt>
                <c:pt idx="22">
                  <c:v>0.493051524</c:v>
                </c:pt>
                <c:pt idx="23">
                  <c:v>0.489234585</c:v>
                </c:pt>
                <c:pt idx="24">
                  <c:v>0.511967082</c:v>
                </c:pt>
                <c:pt idx="25">
                  <c:v>0.513709438</c:v>
                </c:pt>
                <c:pt idx="26">
                  <c:v>0.51404285</c:v>
                </c:pt>
                <c:pt idx="27">
                  <c:v>0.516466599</c:v>
                </c:pt>
                <c:pt idx="28">
                  <c:v>0.524973081</c:v>
                </c:pt>
                <c:pt idx="29">
                  <c:v>0.524335716</c:v>
                </c:pt>
                <c:pt idx="30">
                  <c:v>0.522303338</c:v>
                </c:pt>
                <c:pt idx="31">
                  <c:v>0.513131894</c:v>
                </c:pt>
                <c:pt idx="32">
                  <c:v>0.51259618</c:v>
                </c:pt>
                <c:pt idx="33">
                  <c:v>0.533943122</c:v>
                </c:pt>
                <c:pt idx="34">
                  <c:v>0.532555238</c:v>
                </c:pt>
                <c:pt idx="35">
                  <c:v>0.535444896</c:v>
                </c:pt>
                <c:pt idx="36">
                  <c:v>0.559801052</c:v>
                </c:pt>
                <c:pt idx="37">
                  <c:v>0.558003347</c:v>
                </c:pt>
                <c:pt idx="38">
                  <c:v>0.558312091</c:v>
                </c:pt>
                <c:pt idx="39">
                  <c:v>0.561130459</c:v>
                </c:pt>
                <c:pt idx="40">
                  <c:v>0.560360161</c:v>
                </c:pt>
                <c:pt idx="41">
                  <c:v>0.551738486</c:v>
                </c:pt>
                <c:pt idx="42">
                  <c:v>0.56165335</c:v>
                </c:pt>
                <c:pt idx="43">
                  <c:v>0.556199686</c:v>
                </c:pt>
                <c:pt idx="44">
                  <c:v>0.558852392</c:v>
                </c:pt>
                <c:pt idx="45">
                  <c:v>0.581278767</c:v>
                </c:pt>
                <c:pt idx="46">
                  <c:v>0.591496768</c:v>
                </c:pt>
                <c:pt idx="47">
                  <c:v>0.597679998</c:v>
                </c:pt>
                <c:pt idx="48">
                  <c:v>0.733784666</c:v>
                </c:pt>
                <c:pt idx="49">
                  <c:v>0.733626509</c:v>
                </c:pt>
                <c:pt idx="50">
                  <c:v>0.725534917</c:v>
                </c:pt>
                <c:pt idx="51">
                  <c:v>0.722005792</c:v>
                </c:pt>
                <c:pt idx="52">
                  <c:v>0.727811916</c:v>
                </c:pt>
                <c:pt idx="53">
                  <c:v>0.73543621</c:v>
                </c:pt>
                <c:pt idx="54">
                  <c:v>0.736040523</c:v>
                </c:pt>
                <c:pt idx="55">
                  <c:v>0.735305408</c:v>
                </c:pt>
                <c:pt idx="56">
                  <c:v>0.708859349</c:v>
                </c:pt>
                <c:pt idx="57">
                  <c:v>0.70835195</c:v>
                </c:pt>
                <c:pt idx="58">
                  <c:v>0.697575835</c:v>
                </c:pt>
                <c:pt idx="59">
                  <c:v>0.693008159</c:v>
                </c:pt>
                <c:pt idx="60">
                  <c:v>0.785226903</c:v>
                </c:pt>
                <c:pt idx="61">
                  <c:v>0.78546299</c:v>
                </c:pt>
                <c:pt idx="62">
                  <c:v>0.789070639</c:v>
                </c:pt>
                <c:pt idx="63">
                  <c:v>0.788808031</c:v>
                </c:pt>
                <c:pt idx="64">
                  <c:v>0.770893334</c:v>
                </c:pt>
                <c:pt idx="65">
                  <c:v>0.770492527</c:v>
                </c:pt>
                <c:pt idx="66">
                  <c:v>0.768404366</c:v>
                </c:pt>
                <c:pt idx="67">
                  <c:v>0.767341139</c:v>
                </c:pt>
                <c:pt idx="68">
                  <c:v>0.76581292</c:v>
                </c:pt>
                <c:pt idx="69">
                  <c:v>0.76051739</c:v>
                </c:pt>
                <c:pt idx="70">
                  <c:v>0.757756121</c:v>
                </c:pt>
                <c:pt idx="71">
                  <c:v>0.76104968</c:v>
                </c:pt>
                <c:pt idx="72">
                  <c:v>0.8886607</c:v>
                </c:pt>
                <c:pt idx="73">
                  <c:v>0.889196104</c:v>
                </c:pt>
                <c:pt idx="74">
                  <c:v>0.888107735</c:v>
                </c:pt>
                <c:pt idx="75">
                  <c:v>0.884393097</c:v>
                </c:pt>
                <c:pt idx="76">
                  <c:v>0.885852978</c:v>
                </c:pt>
                <c:pt idx="77">
                  <c:v>0.895721035</c:v>
                </c:pt>
                <c:pt idx="78">
                  <c:v>0.906600799</c:v>
                </c:pt>
                <c:pt idx="79">
                  <c:v>0.904741493</c:v>
                </c:pt>
                <c:pt idx="80">
                  <c:v>0.903177036</c:v>
                </c:pt>
                <c:pt idx="81">
                  <c:v>0.901890141</c:v>
                </c:pt>
                <c:pt idx="82">
                  <c:v>0.909080285</c:v>
                </c:pt>
                <c:pt idx="83">
                  <c:v>0.911197819</c:v>
                </c:pt>
                <c:pt idx="84">
                  <c:v>0.908992697</c:v>
                </c:pt>
                <c:pt idx="85">
                  <c:v>0.902951465</c:v>
                </c:pt>
                <c:pt idx="86">
                  <c:v>0.910811527</c:v>
                </c:pt>
                <c:pt idx="87">
                  <c:v>0.913966369</c:v>
                </c:pt>
                <c:pt idx="88">
                  <c:v>0.911165747</c:v>
                </c:pt>
                <c:pt idx="89">
                  <c:v>0.912488013</c:v>
                </c:pt>
                <c:pt idx="90">
                  <c:v>0.91392768</c:v>
                </c:pt>
                <c:pt idx="91">
                  <c:v>0.923331974</c:v>
                </c:pt>
                <c:pt idx="92">
                  <c:v>0.926195834</c:v>
                </c:pt>
                <c:pt idx="93">
                  <c:v>0.916833467</c:v>
                </c:pt>
                <c:pt idx="94">
                  <c:v>0.917244546</c:v>
                </c:pt>
                <c:pt idx="95">
                  <c:v>0.912250177</c:v>
                </c:pt>
                <c:pt idx="96">
                  <c:v>0.911724466</c:v>
                </c:pt>
                <c:pt idx="97">
                  <c:v>0.911230244</c:v>
                </c:pt>
                <c:pt idx="98">
                  <c:v>0.913500467</c:v>
                </c:pt>
                <c:pt idx="99">
                  <c:v>0.912339787</c:v>
                </c:pt>
                <c:pt idx="100">
                  <c:v>0.927264151</c:v>
                </c:pt>
                <c:pt idx="101">
                  <c:v>0.927424959</c:v>
                </c:pt>
                <c:pt idx="102">
                  <c:v>0.929307511</c:v>
                </c:pt>
                <c:pt idx="103">
                  <c:v>0.925337648</c:v>
                </c:pt>
                <c:pt idx="104">
                  <c:v>0.923903471</c:v>
                </c:pt>
                <c:pt idx="105">
                  <c:v>0.90272155</c:v>
                </c:pt>
                <c:pt idx="106">
                  <c:v>0.894533543</c:v>
                </c:pt>
                <c:pt idx="107">
                  <c:v>0.894457742</c:v>
                </c:pt>
                <c:pt idx="108">
                  <c:v>0.185046255</c:v>
                </c:pt>
                <c:pt idx="109">
                  <c:v>0.19148328</c:v>
                </c:pt>
                <c:pt idx="110">
                  <c:v>0.187921605</c:v>
                </c:pt>
                <c:pt idx="111">
                  <c:v>0.187190439</c:v>
                </c:pt>
                <c:pt idx="112">
                  <c:v>0.181108491</c:v>
                </c:pt>
                <c:pt idx="113">
                  <c:v>0.168190224</c:v>
                </c:pt>
                <c:pt idx="114">
                  <c:v>0.191173065</c:v>
                </c:pt>
                <c:pt idx="115">
                  <c:v>0.189730808</c:v>
                </c:pt>
                <c:pt idx="116">
                  <c:v>0.188337754</c:v>
                </c:pt>
                <c:pt idx="117">
                  <c:v>0.194982396</c:v>
                </c:pt>
                <c:pt idx="118">
                  <c:v>0.245514263</c:v>
                </c:pt>
                <c:pt idx="119">
                  <c:v>0.254790625</c:v>
                </c:pt>
                <c:pt idx="120">
                  <c:v>0.248868086</c:v>
                </c:pt>
                <c:pt idx="121">
                  <c:v>0.259129161</c:v>
                </c:pt>
                <c:pt idx="122">
                  <c:v>0.274923184</c:v>
                </c:pt>
                <c:pt idx="123">
                  <c:v>0.290727029</c:v>
                </c:pt>
                <c:pt idx="124">
                  <c:v>0.305965166</c:v>
                </c:pt>
                <c:pt idx="125">
                  <c:v>0.317278367</c:v>
                </c:pt>
                <c:pt idx="126">
                  <c:v>0.316046326</c:v>
                </c:pt>
                <c:pt idx="127">
                  <c:v>0.324233413</c:v>
                </c:pt>
                <c:pt idx="128">
                  <c:v>0.326690083</c:v>
                </c:pt>
                <c:pt idx="129">
                  <c:v>0.328010866</c:v>
                </c:pt>
                <c:pt idx="130">
                  <c:v>0.326251674</c:v>
                </c:pt>
                <c:pt idx="131">
                  <c:v>0.32714295</c:v>
                </c:pt>
                <c:pt idx="132">
                  <c:v>0.324157624</c:v>
                </c:pt>
                <c:pt idx="133">
                  <c:v>0.325900872</c:v>
                </c:pt>
                <c:pt idx="134">
                  <c:v>0.326164291</c:v>
                </c:pt>
                <c:pt idx="135">
                  <c:v>0.333725802</c:v>
                </c:pt>
                <c:pt idx="136">
                  <c:v>0.334132811</c:v>
                </c:pt>
                <c:pt idx="137">
                  <c:v>0.340622932</c:v>
                </c:pt>
                <c:pt idx="138">
                  <c:v>0.344233389</c:v>
                </c:pt>
                <c:pt idx="139">
                  <c:v>0.351462969</c:v>
                </c:pt>
                <c:pt idx="140">
                  <c:v>0.352232769</c:v>
                </c:pt>
                <c:pt idx="141">
                  <c:v>0.362336495</c:v>
                </c:pt>
                <c:pt idx="142">
                  <c:v>0.363356933</c:v>
                </c:pt>
                <c:pt idx="143">
                  <c:v>0.361230482</c:v>
                </c:pt>
                <c:pt idx="144">
                  <c:v>0.367642353</c:v>
                </c:pt>
                <c:pt idx="145">
                  <c:v>0.368710669</c:v>
                </c:pt>
                <c:pt idx="146">
                  <c:v>0.37118205</c:v>
                </c:pt>
                <c:pt idx="147">
                  <c:v>0.368528712</c:v>
                </c:pt>
                <c:pt idx="148">
                  <c:v>0.369051768</c:v>
                </c:pt>
                <c:pt idx="149">
                  <c:v>0.368867911</c:v>
                </c:pt>
                <c:pt idx="150">
                  <c:v>0.369305041</c:v>
                </c:pt>
                <c:pt idx="151">
                  <c:v>0.369676306</c:v>
                </c:pt>
                <c:pt idx="152">
                  <c:v>0.371082621</c:v>
                </c:pt>
                <c:pt idx="153">
                  <c:v>0.37581013</c:v>
                </c:pt>
                <c:pt idx="154">
                  <c:v>0.389527621</c:v>
                </c:pt>
                <c:pt idx="155">
                  <c:v>0.388106936</c:v>
                </c:pt>
                <c:pt idx="156">
                  <c:v>0.387979531</c:v>
                </c:pt>
                <c:pt idx="157">
                  <c:v>0.391217577</c:v>
                </c:pt>
                <c:pt idx="158">
                  <c:v>0.395218933</c:v>
                </c:pt>
                <c:pt idx="159">
                  <c:v>0.396787383</c:v>
                </c:pt>
                <c:pt idx="160">
                  <c:v>0.393531846</c:v>
                </c:pt>
                <c:pt idx="161">
                  <c:v>0.396002932</c:v>
                </c:pt>
                <c:pt idx="162">
                  <c:v>0.398064864</c:v>
                </c:pt>
                <c:pt idx="163">
                  <c:v>0.397737315</c:v>
                </c:pt>
                <c:pt idx="164">
                  <c:v>0.398583859</c:v>
                </c:pt>
                <c:pt idx="165">
                  <c:v>0.398097446</c:v>
                </c:pt>
                <c:pt idx="166">
                  <c:v>0.397233328</c:v>
                </c:pt>
                <c:pt idx="167">
                  <c:v>0.396244256</c:v>
                </c:pt>
                <c:pt idx="168">
                  <c:v>0.979271646</c:v>
                </c:pt>
                <c:pt idx="169">
                  <c:v>0.978643183</c:v>
                </c:pt>
                <c:pt idx="170">
                  <c:v>0.978895389</c:v>
                </c:pt>
                <c:pt idx="171">
                  <c:v>0.979465747</c:v>
                </c:pt>
                <c:pt idx="172">
                  <c:v>0.979762254</c:v>
                </c:pt>
                <c:pt idx="173">
                  <c:v>0.979661166</c:v>
                </c:pt>
                <c:pt idx="174">
                  <c:v>0.978627624</c:v>
                </c:pt>
                <c:pt idx="175">
                  <c:v>0.977255531</c:v>
                </c:pt>
                <c:pt idx="176">
                  <c:v>0.977398808</c:v>
                </c:pt>
                <c:pt idx="177">
                  <c:v>0.976750248</c:v>
                </c:pt>
                <c:pt idx="178">
                  <c:v>0.971557792</c:v>
                </c:pt>
                <c:pt idx="179">
                  <c:v>0.969816043</c:v>
                </c:pt>
              </c:strCache>
            </c:strRef>
          </c:tx>
          <c:layout>
            <c:manualLayout>
              <c:xMode val="edge"/>
              <c:yMode val="edge"/>
              <c:x val="2.1734774678588909E-2"/>
              <c:y val="0.4356277577198285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050"/>
            </a:pPr>
            <a:endParaRPr lang="en-US"/>
          </a:p>
        </c:txPr>
        <c:crossAx val="171632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TimeHarbor!$A$3</c:f>
          <c:strCache>
            <c:ptCount val="1"/>
            <c:pt idx="0">
              <c:v>02 - Harbor Large Cap Value Fund (Institutional)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TimeHarbor!$A$4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5.8823257978573877E-3</c:v>
                </c:pt>
                <c:pt idx="65">
                  <c:v>0</c:v>
                </c:pt>
                <c:pt idx="66">
                  <c:v>0</c:v>
                </c:pt>
                <c:pt idx="67">
                  <c:v>3.6804769881119562E-3</c:v>
                </c:pt>
                <c:pt idx="68">
                  <c:v>5.7682343497119006E-3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3.9872508812188248E-2</c:v>
                </c:pt>
                <c:pt idx="73">
                  <c:v>5.5669943572175404E-2</c:v>
                </c:pt>
                <c:pt idx="74">
                  <c:v>6.1372123665655365E-2</c:v>
                </c:pt>
                <c:pt idx="75">
                  <c:v>9.0137568901398651E-2</c:v>
                </c:pt>
                <c:pt idx="76">
                  <c:v>9.0334984019649359E-2</c:v>
                </c:pt>
                <c:pt idx="77">
                  <c:v>8.5516566697937405E-2</c:v>
                </c:pt>
                <c:pt idx="78">
                  <c:v>7.7457033561030203E-2</c:v>
                </c:pt>
                <c:pt idx="79">
                  <c:v>7.423275039985669E-2</c:v>
                </c:pt>
                <c:pt idx="80">
                  <c:v>5.9833418699915014E-2</c:v>
                </c:pt>
                <c:pt idx="81">
                  <c:v>3.1388927477310827E-2</c:v>
                </c:pt>
                <c:pt idx="82">
                  <c:v>1.1991779326694251E-2</c:v>
                </c:pt>
                <c:pt idx="83">
                  <c:v>1.1208687110614226E-2</c:v>
                </c:pt>
                <c:pt idx="84">
                  <c:v>4.0471930987090773E-2</c:v>
                </c:pt>
                <c:pt idx="85">
                  <c:v>1.1792091228927305E-2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5.2878949964516178E-3</c:v>
                </c:pt>
                <c:pt idx="92">
                  <c:v>2.5513342128547306E-2</c:v>
                </c:pt>
                <c:pt idx="93">
                  <c:v>4.8291840913821868E-2</c:v>
                </c:pt>
                <c:pt idx="94">
                  <c:v>3.3660852353483563E-3</c:v>
                </c:pt>
                <c:pt idx="95">
                  <c:v>5.2752639470015947E-2</c:v>
                </c:pt>
                <c:pt idx="96">
                  <c:v>0</c:v>
                </c:pt>
                <c:pt idx="97">
                  <c:v>0</c:v>
                </c:pt>
                <c:pt idx="98">
                  <c:v>7.620787051305488E-3</c:v>
                </c:pt>
                <c:pt idx="99">
                  <c:v>6.1328972128589152E-4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1.0752218910698091E-2</c:v>
                </c:pt>
                <c:pt idx="106">
                  <c:v>1.5535338390112717E-4</c:v>
                </c:pt>
                <c:pt idx="107">
                  <c:v>7.4070134480379284E-3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1.2746344872720876E-2</c:v>
                </c:pt>
                <c:pt idx="169">
                  <c:v>4.5384438235390075E-2</c:v>
                </c:pt>
                <c:pt idx="170">
                  <c:v>5.577890663879044E-2</c:v>
                </c:pt>
                <c:pt idx="171">
                  <c:v>5.0380328566824666E-2</c:v>
                </c:pt>
                <c:pt idx="172">
                  <c:v>1.3108925803504279E-2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B-465F-B1AC-7927475973BB}"/>
            </c:ext>
          </c:extLst>
        </c:ser>
        <c:ser>
          <c:idx val="2"/>
          <c:order val="1"/>
          <c:tx>
            <c:strRef>
              <c:f>TimeHarbor!$A$5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TimeHarbor!$B$5:$FY$5</c:f>
              <c:numCache>
                <c:formatCode>General</c:formatCode>
                <c:ptCount val="180"/>
                <c:pt idx="0">
                  <c:v>0.17001501390196305</c:v>
                </c:pt>
                <c:pt idx="1">
                  <c:v>0.16891886767399741</c:v>
                </c:pt>
                <c:pt idx="2">
                  <c:v>0.17182486530583024</c:v>
                </c:pt>
                <c:pt idx="3">
                  <c:v>0.18820954706014897</c:v>
                </c:pt>
                <c:pt idx="4">
                  <c:v>0.17316760739438564</c:v>
                </c:pt>
                <c:pt idx="5">
                  <c:v>0.17665927228708464</c:v>
                </c:pt>
                <c:pt idx="6">
                  <c:v>0.17938544754608046</c:v>
                </c:pt>
                <c:pt idx="7">
                  <c:v>0.18070356315894789</c:v>
                </c:pt>
                <c:pt idx="8">
                  <c:v>0.17802445326591257</c:v>
                </c:pt>
                <c:pt idx="9">
                  <c:v>0.17601310755211996</c:v>
                </c:pt>
                <c:pt idx="10">
                  <c:v>0.17296472007557065</c:v>
                </c:pt>
                <c:pt idx="11">
                  <c:v>0.17201435005046925</c:v>
                </c:pt>
                <c:pt idx="12">
                  <c:v>0.2107277739180233</c:v>
                </c:pt>
                <c:pt idx="13">
                  <c:v>0.19911214421428777</c:v>
                </c:pt>
                <c:pt idx="14">
                  <c:v>0.1839448411435067</c:v>
                </c:pt>
                <c:pt idx="15">
                  <c:v>0.13983610870769314</c:v>
                </c:pt>
                <c:pt idx="16">
                  <c:v>0.14100331216394299</c:v>
                </c:pt>
                <c:pt idx="17">
                  <c:v>0.14487814432601748</c:v>
                </c:pt>
                <c:pt idx="18">
                  <c:v>0.13498230438301126</c:v>
                </c:pt>
                <c:pt idx="19">
                  <c:v>0.13425964585812994</c:v>
                </c:pt>
                <c:pt idx="20">
                  <c:v>0.137654417376392</c:v>
                </c:pt>
                <c:pt idx="21">
                  <c:v>0.13648393854701035</c:v>
                </c:pt>
                <c:pt idx="22">
                  <c:v>0.1313878030861646</c:v>
                </c:pt>
                <c:pt idx="23">
                  <c:v>0.13793473033935427</c:v>
                </c:pt>
                <c:pt idx="24">
                  <c:v>0.11631856028814945</c:v>
                </c:pt>
                <c:pt idx="25">
                  <c:v>0.11601994593255921</c:v>
                </c:pt>
                <c:pt idx="26">
                  <c:v>0.12408052290951468</c:v>
                </c:pt>
                <c:pt idx="27">
                  <c:v>0.12323908765325098</c:v>
                </c:pt>
                <c:pt idx="28">
                  <c:v>0.11643017508618915</c:v>
                </c:pt>
                <c:pt idx="29">
                  <c:v>0.11234486529634731</c:v>
                </c:pt>
                <c:pt idx="30">
                  <c:v>0.11438198945573842</c:v>
                </c:pt>
                <c:pt idx="31">
                  <c:v>0.12384125459056645</c:v>
                </c:pt>
                <c:pt idx="32">
                  <c:v>0.12825694572671312</c:v>
                </c:pt>
                <c:pt idx="33">
                  <c:v>0.10703277673558116</c:v>
                </c:pt>
                <c:pt idx="34">
                  <c:v>0.10973385986808465</c:v>
                </c:pt>
                <c:pt idx="35">
                  <c:v>9.6111920336075587E-2</c:v>
                </c:pt>
                <c:pt idx="36">
                  <c:v>8.387454480984767E-2</c:v>
                </c:pt>
                <c:pt idx="37">
                  <c:v>8.4201889151935286E-2</c:v>
                </c:pt>
                <c:pt idx="38">
                  <c:v>8.0818626699548909E-2</c:v>
                </c:pt>
                <c:pt idx="39">
                  <c:v>7.9879183446484717E-2</c:v>
                </c:pt>
                <c:pt idx="40">
                  <c:v>8.3159728549124831E-2</c:v>
                </c:pt>
                <c:pt idx="41">
                  <c:v>8.8750823997154518E-2</c:v>
                </c:pt>
                <c:pt idx="42">
                  <c:v>7.2702353346152257E-2</c:v>
                </c:pt>
                <c:pt idx="43">
                  <c:v>9.6677854672516203E-2</c:v>
                </c:pt>
                <c:pt idx="44">
                  <c:v>9.9321368532788987E-2</c:v>
                </c:pt>
                <c:pt idx="45">
                  <c:v>7.4975485479408563E-2</c:v>
                </c:pt>
                <c:pt idx="46">
                  <c:v>7.0528672690934061E-2</c:v>
                </c:pt>
                <c:pt idx="47">
                  <c:v>7.1716197057454495E-2</c:v>
                </c:pt>
                <c:pt idx="48">
                  <c:v>3.0653393139001509E-2</c:v>
                </c:pt>
                <c:pt idx="49">
                  <c:v>3.1858675644615787E-2</c:v>
                </c:pt>
                <c:pt idx="50">
                  <c:v>4.7150774086152456E-3</c:v>
                </c:pt>
                <c:pt idx="51">
                  <c:v>3.0903131873801584E-2</c:v>
                </c:pt>
                <c:pt idx="52">
                  <c:v>4.5783245227037132E-2</c:v>
                </c:pt>
                <c:pt idx="53">
                  <c:v>4.5364086954169769E-2</c:v>
                </c:pt>
                <c:pt idx="54">
                  <c:v>4.5059655648292958E-2</c:v>
                </c:pt>
                <c:pt idx="55">
                  <c:v>4.673381150284827E-2</c:v>
                </c:pt>
                <c:pt idx="56">
                  <c:v>3.0522158991013345E-2</c:v>
                </c:pt>
                <c:pt idx="57">
                  <c:v>2.6566673070371256E-2</c:v>
                </c:pt>
                <c:pt idx="58">
                  <c:v>4.5088246849933428E-2</c:v>
                </c:pt>
                <c:pt idx="59">
                  <c:v>4.7525436648418538E-2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6.5250355985627187E-3</c:v>
                </c:pt>
                <c:pt idx="65">
                  <c:v>0</c:v>
                </c:pt>
                <c:pt idx="66">
                  <c:v>9.5145555213067261E-3</c:v>
                </c:pt>
                <c:pt idx="67">
                  <c:v>1.2942971450399115E-2</c:v>
                </c:pt>
                <c:pt idx="68">
                  <c:v>3.4836097319576489E-3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8.5321270322286861E-4</c:v>
                </c:pt>
                <c:pt idx="166">
                  <c:v>4.2442704420511679E-3</c:v>
                </c:pt>
                <c:pt idx="167">
                  <c:v>7.720112350055921E-4</c:v>
                </c:pt>
                <c:pt idx="168">
                  <c:v>4.5034778421752374E-2</c:v>
                </c:pt>
                <c:pt idx="169">
                  <c:v>4.9841134754497599E-2</c:v>
                </c:pt>
                <c:pt idx="170">
                  <c:v>2.2042839666192544E-2</c:v>
                </c:pt>
                <c:pt idx="171">
                  <c:v>3.4094600092115929E-2</c:v>
                </c:pt>
                <c:pt idx="172">
                  <c:v>8.0386381965608267E-2</c:v>
                </c:pt>
                <c:pt idx="173">
                  <c:v>9.3216160331763456E-2</c:v>
                </c:pt>
                <c:pt idx="174">
                  <c:v>9.8963615678099776E-2</c:v>
                </c:pt>
                <c:pt idx="175">
                  <c:v>9.3949987641121308E-2</c:v>
                </c:pt>
                <c:pt idx="176">
                  <c:v>9.503914871946012E-2</c:v>
                </c:pt>
                <c:pt idx="177">
                  <c:v>8.2728329449446664E-2</c:v>
                </c:pt>
                <c:pt idx="178">
                  <c:v>7.8573791668662393E-2</c:v>
                </c:pt>
                <c:pt idx="179">
                  <c:v>8.1172696976039946E-2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B-465F-B1AC-7927475973BB}"/>
            </c:ext>
          </c:extLst>
        </c:ser>
        <c:ser>
          <c:idx val="3"/>
          <c:order val="2"/>
          <c:tx>
            <c:strRef>
              <c:f>TimeHarbor!$A$6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1.5289526226409856E-2</c:v>
                </c:pt>
                <c:pt idx="61">
                  <c:v>1.7272190277730654E-2</c:v>
                </c:pt>
                <c:pt idx="62">
                  <c:v>2.11204047674028E-2</c:v>
                </c:pt>
                <c:pt idx="63">
                  <c:v>2.1276342008100857E-2</c:v>
                </c:pt>
                <c:pt idx="64">
                  <c:v>5.9104783042706914E-3</c:v>
                </c:pt>
                <c:pt idx="65">
                  <c:v>0</c:v>
                </c:pt>
                <c:pt idx="66">
                  <c:v>0</c:v>
                </c:pt>
                <c:pt idx="67">
                  <c:v>1.2455577525824199E-2</c:v>
                </c:pt>
                <c:pt idx="68">
                  <c:v>1.7062678747760077E-3</c:v>
                </c:pt>
                <c:pt idx="69">
                  <c:v>3.4861416668167406E-3</c:v>
                </c:pt>
                <c:pt idx="70">
                  <c:v>4.3886460205205232E-3</c:v>
                </c:pt>
                <c:pt idx="71">
                  <c:v>2.4428496806947787E-3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1.8069065970760245E-3</c:v>
                </c:pt>
                <c:pt idx="109">
                  <c:v>0</c:v>
                </c:pt>
                <c:pt idx="110">
                  <c:v>6.1323142926931846E-3</c:v>
                </c:pt>
                <c:pt idx="111">
                  <c:v>1.1522808905267972E-2</c:v>
                </c:pt>
                <c:pt idx="112">
                  <c:v>0</c:v>
                </c:pt>
                <c:pt idx="113">
                  <c:v>0</c:v>
                </c:pt>
                <c:pt idx="114">
                  <c:v>3.5236019425881181E-3</c:v>
                </c:pt>
                <c:pt idx="115">
                  <c:v>8.1459498750359946E-3</c:v>
                </c:pt>
                <c:pt idx="116">
                  <c:v>3.47095662682304E-3</c:v>
                </c:pt>
                <c:pt idx="117">
                  <c:v>2.0716434819416169E-2</c:v>
                </c:pt>
                <c:pt idx="118">
                  <c:v>7.8548602601155697E-3</c:v>
                </c:pt>
                <c:pt idx="119">
                  <c:v>1.2491229530004908E-2</c:v>
                </c:pt>
                <c:pt idx="120">
                  <c:v>1.4001142496259432E-3</c:v>
                </c:pt>
                <c:pt idx="121">
                  <c:v>3.3140007341679501E-3</c:v>
                </c:pt>
                <c:pt idx="122">
                  <c:v>2.1206801740036932E-2</c:v>
                </c:pt>
                <c:pt idx="123">
                  <c:v>1.1231763260179434E-2</c:v>
                </c:pt>
                <c:pt idx="124">
                  <c:v>4.0926145199864983E-2</c:v>
                </c:pt>
                <c:pt idx="125">
                  <c:v>3.6144895343314977E-2</c:v>
                </c:pt>
                <c:pt idx="126">
                  <c:v>3.4533098356611253E-2</c:v>
                </c:pt>
                <c:pt idx="127">
                  <c:v>3.6577164789522582E-2</c:v>
                </c:pt>
                <c:pt idx="128">
                  <c:v>3.961841997539562E-2</c:v>
                </c:pt>
                <c:pt idx="129">
                  <c:v>4.1100323381095143E-2</c:v>
                </c:pt>
                <c:pt idx="130">
                  <c:v>4.228251313041697E-2</c:v>
                </c:pt>
                <c:pt idx="131">
                  <c:v>4.3194049073167276E-2</c:v>
                </c:pt>
                <c:pt idx="132">
                  <c:v>4.3624674543262278E-2</c:v>
                </c:pt>
                <c:pt idx="133">
                  <c:v>3.8192400891619196E-2</c:v>
                </c:pt>
                <c:pt idx="134">
                  <c:v>4.1038735943046779E-2</c:v>
                </c:pt>
                <c:pt idx="135">
                  <c:v>4.1424202651297613E-2</c:v>
                </c:pt>
                <c:pt idx="136">
                  <c:v>4.0501883693893612E-2</c:v>
                </c:pt>
                <c:pt idx="137">
                  <c:v>3.849426759297981E-2</c:v>
                </c:pt>
                <c:pt idx="138">
                  <c:v>3.3554782988634395E-2</c:v>
                </c:pt>
                <c:pt idx="139">
                  <c:v>3.1786137178418591E-2</c:v>
                </c:pt>
                <c:pt idx="140">
                  <c:v>3.2010641506823069E-2</c:v>
                </c:pt>
                <c:pt idx="141">
                  <c:v>1.6056572712162265E-2</c:v>
                </c:pt>
                <c:pt idx="142">
                  <c:v>1.451215244715574E-2</c:v>
                </c:pt>
                <c:pt idx="143">
                  <c:v>1.3872858159471195E-2</c:v>
                </c:pt>
                <c:pt idx="144">
                  <c:v>1.9399434282733281E-2</c:v>
                </c:pt>
                <c:pt idx="145">
                  <c:v>1.3032090179572093E-2</c:v>
                </c:pt>
                <c:pt idx="146">
                  <c:v>1.3642782797862383E-2</c:v>
                </c:pt>
                <c:pt idx="147">
                  <c:v>2.4785811572297201E-2</c:v>
                </c:pt>
                <c:pt idx="148">
                  <c:v>2.4047651331918472E-2</c:v>
                </c:pt>
                <c:pt idx="149">
                  <c:v>2.3096668186402547E-2</c:v>
                </c:pt>
                <c:pt idx="150">
                  <c:v>2.4848863306764713E-2</c:v>
                </c:pt>
                <c:pt idx="151">
                  <c:v>2.3460928467932664E-2</c:v>
                </c:pt>
                <c:pt idx="152">
                  <c:v>3.2485887106646641E-2</c:v>
                </c:pt>
                <c:pt idx="153">
                  <c:v>2.4954189962925116E-2</c:v>
                </c:pt>
                <c:pt idx="154">
                  <c:v>2.369246406461931E-2</c:v>
                </c:pt>
                <c:pt idx="155">
                  <c:v>2.4663082144150267E-2</c:v>
                </c:pt>
                <c:pt idx="156">
                  <c:v>2.238622095486208E-2</c:v>
                </c:pt>
                <c:pt idx="157">
                  <c:v>2.2682206061590247E-2</c:v>
                </c:pt>
                <c:pt idx="158">
                  <c:v>1.9222776351138771E-2</c:v>
                </c:pt>
                <c:pt idx="159">
                  <c:v>1.5991648796586325E-2</c:v>
                </c:pt>
                <c:pt idx="160">
                  <c:v>1.6877599810173054E-2</c:v>
                </c:pt>
                <c:pt idx="161">
                  <c:v>1.7677117207421732E-2</c:v>
                </c:pt>
                <c:pt idx="162">
                  <c:v>2.195603660476584E-2</c:v>
                </c:pt>
                <c:pt idx="163">
                  <c:v>2.2316782401770621E-2</c:v>
                </c:pt>
                <c:pt idx="164">
                  <c:v>1.9320561558769978E-2</c:v>
                </c:pt>
                <c:pt idx="165">
                  <c:v>1.681888404637168E-2</c:v>
                </c:pt>
                <c:pt idx="166">
                  <c:v>1.3720226506937371E-2</c:v>
                </c:pt>
                <c:pt idx="167">
                  <c:v>1.4790592830646003E-2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6B-465F-B1AC-7927475973BB}"/>
            </c:ext>
          </c:extLst>
        </c:ser>
        <c:ser>
          <c:idx val="4"/>
          <c:order val="3"/>
          <c:tx>
            <c:strRef>
              <c:f>TimeHarbor!$A$7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3.4497394321801218E-2</c:v>
                </c:pt>
                <c:pt idx="87">
                  <c:v>5.2501348476225132E-2</c:v>
                </c:pt>
                <c:pt idx="88">
                  <c:v>4.7729901422630915E-2</c:v>
                </c:pt>
                <c:pt idx="89">
                  <c:v>2.2011427097125315E-2</c:v>
                </c:pt>
                <c:pt idx="90">
                  <c:v>4.9112420288378464E-2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6B-465F-B1AC-7927475973BB}"/>
            </c:ext>
          </c:extLst>
        </c:ser>
        <c:ser>
          <c:idx val="5"/>
          <c:order val="4"/>
          <c:tx>
            <c:strRef>
              <c:f>TimeHarbor!$A$8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2.7589529987680619E-2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8.5948236528722681E-3</c:v>
                </c:pt>
                <c:pt idx="61">
                  <c:v>5.8982324087660824E-3</c:v>
                </c:pt>
                <c:pt idx="62">
                  <c:v>0</c:v>
                </c:pt>
                <c:pt idx="63">
                  <c:v>0</c:v>
                </c:pt>
                <c:pt idx="64">
                  <c:v>8.145694508116471E-3</c:v>
                </c:pt>
                <c:pt idx="65">
                  <c:v>1.5356891005062599E-2</c:v>
                </c:pt>
                <c:pt idx="66">
                  <c:v>0</c:v>
                </c:pt>
                <c:pt idx="67">
                  <c:v>5.6061509411366639E-4</c:v>
                </c:pt>
                <c:pt idx="68">
                  <c:v>1.4759314729430414E-2</c:v>
                </c:pt>
                <c:pt idx="69">
                  <c:v>5.8969855258644011E-2</c:v>
                </c:pt>
                <c:pt idx="70">
                  <c:v>5.7437135615659558E-2</c:v>
                </c:pt>
                <c:pt idx="71">
                  <c:v>6.0016676412309448E-2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1.4448419596242389E-2</c:v>
                </c:pt>
                <c:pt idx="80">
                  <c:v>2.85360404037114E-2</c:v>
                </c:pt>
                <c:pt idx="81">
                  <c:v>6.1196414442356184E-2</c:v>
                </c:pt>
                <c:pt idx="82">
                  <c:v>7.9312893819132563E-2</c:v>
                </c:pt>
                <c:pt idx="83">
                  <c:v>7.6180068460596745E-2</c:v>
                </c:pt>
                <c:pt idx="84">
                  <c:v>4.5800591415350166E-2</c:v>
                </c:pt>
                <c:pt idx="85">
                  <c:v>7.8297514579026742E-2</c:v>
                </c:pt>
                <c:pt idx="86">
                  <c:v>3.5570435345947185E-2</c:v>
                </c:pt>
                <c:pt idx="87">
                  <c:v>0</c:v>
                </c:pt>
                <c:pt idx="88">
                  <c:v>0</c:v>
                </c:pt>
                <c:pt idx="89">
                  <c:v>8.8171739480403643E-3</c:v>
                </c:pt>
                <c:pt idx="90">
                  <c:v>0</c:v>
                </c:pt>
                <c:pt idx="91">
                  <c:v>3.4211021499296015E-2</c:v>
                </c:pt>
                <c:pt idx="92">
                  <c:v>0</c:v>
                </c:pt>
                <c:pt idx="93">
                  <c:v>0</c:v>
                </c:pt>
                <c:pt idx="94">
                  <c:v>3.4683996221376336E-2</c:v>
                </c:pt>
                <c:pt idx="95">
                  <c:v>2.3802968822620352E-3</c:v>
                </c:pt>
                <c:pt idx="96">
                  <c:v>4.6052673893830623E-2</c:v>
                </c:pt>
                <c:pt idx="97">
                  <c:v>4.0360417832282836E-2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4.1596826752105923E-2</c:v>
                </c:pt>
                <c:pt idx="169">
                  <c:v>0</c:v>
                </c:pt>
                <c:pt idx="170">
                  <c:v>1.7057981231048996E-2</c:v>
                </c:pt>
                <c:pt idx="171">
                  <c:v>5.8291616161669953E-3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6B-465F-B1AC-7927475973BB}"/>
            </c:ext>
          </c:extLst>
        </c:ser>
        <c:ser>
          <c:idx val="6"/>
          <c:order val="5"/>
          <c:tx>
            <c:strRef>
              <c:f>TimeHarbor!$A$9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1.5624023069795599E-2</c:v>
                </c:pt>
                <c:pt idx="65">
                  <c:v>2.8187884170212146E-2</c:v>
                </c:pt>
                <c:pt idx="66">
                  <c:v>3.5697259713476828E-2</c:v>
                </c:pt>
                <c:pt idx="67">
                  <c:v>1.7122850544944185E-2</c:v>
                </c:pt>
                <c:pt idx="68">
                  <c:v>2.536367873717818E-2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5.377503800338225E-3</c:v>
                </c:pt>
                <c:pt idx="90">
                  <c:v>0</c:v>
                </c:pt>
                <c:pt idx="91">
                  <c:v>6.5445471662820484E-3</c:v>
                </c:pt>
                <c:pt idx="92">
                  <c:v>1.656859229573458E-3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2.8136650627035419E-3</c:v>
                </c:pt>
                <c:pt idx="98">
                  <c:v>2.1001627710744437E-2</c:v>
                </c:pt>
                <c:pt idx="99">
                  <c:v>3.8566958658993553E-2</c:v>
                </c:pt>
                <c:pt idx="100">
                  <c:v>1.6253669850991022E-3</c:v>
                </c:pt>
                <c:pt idx="101">
                  <c:v>0</c:v>
                </c:pt>
                <c:pt idx="102">
                  <c:v>3.1083192513381031E-2</c:v>
                </c:pt>
                <c:pt idx="103">
                  <c:v>2.5921858100719931E-2</c:v>
                </c:pt>
                <c:pt idx="104">
                  <c:v>2.6319050977826761E-2</c:v>
                </c:pt>
                <c:pt idx="105">
                  <c:v>3.9638008081592492E-2</c:v>
                </c:pt>
                <c:pt idx="106">
                  <c:v>3.7004267502009913E-2</c:v>
                </c:pt>
                <c:pt idx="107">
                  <c:v>3.7137651399503015E-2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6B-465F-B1AC-7927475973BB}"/>
            </c:ext>
          </c:extLst>
        </c:ser>
        <c:ser>
          <c:idx val="7"/>
          <c:order val="6"/>
          <c:tx>
            <c:strRef>
              <c:f>TimeHarbor!$A$10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TimeHarbor!$B$10:$FY$10</c:f>
              <c:numCache>
                <c:formatCode>General</c:formatCode>
                <c:ptCount val="180"/>
                <c:pt idx="0">
                  <c:v>9.3946505422079149E-3</c:v>
                </c:pt>
                <c:pt idx="1">
                  <c:v>1.0357051243969339E-2</c:v>
                </c:pt>
                <c:pt idx="2">
                  <c:v>6.642522300215962E-3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5.1330500178514279E-3</c:v>
                </c:pt>
                <c:pt idx="37">
                  <c:v>4.7861862294503845E-3</c:v>
                </c:pt>
                <c:pt idx="38">
                  <c:v>1.0458296466642062E-2</c:v>
                </c:pt>
                <c:pt idx="39">
                  <c:v>1.0629668151163426E-2</c:v>
                </c:pt>
                <c:pt idx="40">
                  <c:v>9.72888745257754E-3</c:v>
                </c:pt>
                <c:pt idx="41">
                  <c:v>9.4852803165606184E-3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5.6587352329479394E-3</c:v>
                </c:pt>
                <c:pt idx="90">
                  <c:v>1.2193042376307693E-3</c:v>
                </c:pt>
                <c:pt idx="91">
                  <c:v>2.4948901869272307E-3</c:v>
                </c:pt>
                <c:pt idx="92">
                  <c:v>8.8006922254564024E-3</c:v>
                </c:pt>
                <c:pt idx="93">
                  <c:v>1.3329167260660759E-3</c:v>
                </c:pt>
                <c:pt idx="94">
                  <c:v>1.6026496198487386E-3</c:v>
                </c:pt>
                <c:pt idx="95">
                  <c:v>1.4238250831759649E-4</c:v>
                </c:pt>
                <c:pt idx="96">
                  <c:v>6.0265298301758188E-3</c:v>
                </c:pt>
                <c:pt idx="97">
                  <c:v>7.4387763342742596E-3</c:v>
                </c:pt>
                <c:pt idx="98">
                  <c:v>7.1005392337780224E-3</c:v>
                </c:pt>
                <c:pt idx="99">
                  <c:v>1.3419512060455906E-3</c:v>
                </c:pt>
                <c:pt idx="100">
                  <c:v>9.3586083072142185E-3</c:v>
                </c:pt>
                <c:pt idx="101">
                  <c:v>8.5677277652615388E-3</c:v>
                </c:pt>
                <c:pt idx="102">
                  <c:v>7.3884051237250994E-3</c:v>
                </c:pt>
                <c:pt idx="103">
                  <c:v>7.3298900476255488E-3</c:v>
                </c:pt>
                <c:pt idx="104">
                  <c:v>6.6584244769886782E-3</c:v>
                </c:pt>
                <c:pt idx="105">
                  <c:v>1.1706254539493076E-2</c:v>
                </c:pt>
                <c:pt idx="106">
                  <c:v>1.3146726872525641E-2</c:v>
                </c:pt>
                <c:pt idx="107">
                  <c:v>1.2439749900185842E-2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4.8714686888079076E-2</c:v>
                </c:pt>
                <c:pt idx="169">
                  <c:v>4.6164048304361625E-2</c:v>
                </c:pt>
                <c:pt idx="170">
                  <c:v>4.1861491483864678E-2</c:v>
                </c:pt>
                <c:pt idx="171">
                  <c:v>4.2098966212340015E-2</c:v>
                </c:pt>
                <c:pt idx="172">
                  <c:v>4.4232246536524217E-2</c:v>
                </c:pt>
                <c:pt idx="173">
                  <c:v>4.5858447164786265E-2</c:v>
                </c:pt>
                <c:pt idx="174">
                  <c:v>5.7316974440066427E-2</c:v>
                </c:pt>
                <c:pt idx="175">
                  <c:v>5.8384839024756281E-2</c:v>
                </c:pt>
                <c:pt idx="176">
                  <c:v>6.0177313444501515E-2</c:v>
                </c:pt>
                <c:pt idx="177">
                  <c:v>4.9859230398356255E-2</c:v>
                </c:pt>
                <c:pt idx="178">
                  <c:v>5.645888052539335E-2</c:v>
                </c:pt>
                <c:pt idx="179">
                  <c:v>5.9657310001083097E-2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6B-465F-B1AC-7927475973BB}"/>
            </c:ext>
          </c:extLst>
        </c:ser>
        <c:ser>
          <c:idx val="8"/>
          <c:order val="7"/>
          <c:tx>
            <c:strRef>
              <c:f>TimeHarbor!$A$11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7.7323672835629825E-3</c:v>
                </c:pt>
                <c:pt idx="78">
                  <c:v>9.8043611229052294E-2</c:v>
                </c:pt>
                <c:pt idx="79">
                  <c:v>8.5780602119116423E-2</c:v>
                </c:pt>
                <c:pt idx="80">
                  <c:v>8.4021716483620862E-2</c:v>
                </c:pt>
                <c:pt idx="81">
                  <c:v>6.5495778404319999E-2</c:v>
                </c:pt>
                <c:pt idx="82">
                  <c:v>8.4859247527158788E-2</c:v>
                </c:pt>
                <c:pt idx="83">
                  <c:v>0.10160590815606708</c:v>
                </c:pt>
                <c:pt idx="84">
                  <c:v>0.12062867264216255</c:v>
                </c:pt>
                <c:pt idx="85">
                  <c:v>0.12431650072712176</c:v>
                </c:pt>
                <c:pt idx="86">
                  <c:v>0.19337124496624244</c:v>
                </c:pt>
                <c:pt idx="87">
                  <c:v>0.25694671687921999</c:v>
                </c:pt>
                <c:pt idx="88">
                  <c:v>0.26606590736284091</c:v>
                </c:pt>
                <c:pt idx="89">
                  <c:v>0.32126608387391659</c:v>
                </c:pt>
                <c:pt idx="90">
                  <c:v>0.2649455955559174</c:v>
                </c:pt>
                <c:pt idx="91">
                  <c:v>0.23855239333327741</c:v>
                </c:pt>
                <c:pt idx="92">
                  <c:v>0.26216564603576303</c:v>
                </c:pt>
                <c:pt idx="93">
                  <c:v>0.26291390248550361</c:v>
                </c:pt>
                <c:pt idx="94">
                  <c:v>0.28940431043670711</c:v>
                </c:pt>
                <c:pt idx="95">
                  <c:v>0.25146241461875574</c:v>
                </c:pt>
                <c:pt idx="96">
                  <c:v>0.2740654028961631</c:v>
                </c:pt>
                <c:pt idx="97">
                  <c:v>0.27592861197392377</c:v>
                </c:pt>
                <c:pt idx="98">
                  <c:v>0.31922935665963253</c:v>
                </c:pt>
                <c:pt idx="99">
                  <c:v>0.32832614918145853</c:v>
                </c:pt>
                <c:pt idx="100">
                  <c:v>0.4172047177980544</c:v>
                </c:pt>
                <c:pt idx="101">
                  <c:v>0.4241814053711977</c:v>
                </c:pt>
                <c:pt idx="102">
                  <c:v>0.3400233823890666</c:v>
                </c:pt>
                <c:pt idx="103">
                  <c:v>0.30158856048048166</c:v>
                </c:pt>
                <c:pt idx="104">
                  <c:v>0.30485263140032887</c:v>
                </c:pt>
                <c:pt idx="105">
                  <c:v>0.31045023505077118</c:v>
                </c:pt>
                <c:pt idx="106">
                  <c:v>0.32950566660476205</c:v>
                </c:pt>
                <c:pt idx="107">
                  <c:v>0.33238440299792932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0.16910180202143804</c:v>
                </c:pt>
                <c:pt idx="169">
                  <c:v>0.1734867242162072</c:v>
                </c:pt>
                <c:pt idx="170">
                  <c:v>0.16946301593069271</c:v>
                </c:pt>
                <c:pt idx="171">
                  <c:v>0.17781505395502586</c:v>
                </c:pt>
                <c:pt idx="172">
                  <c:v>0.16149261879840626</c:v>
                </c:pt>
                <c:pt idx="173">
                  <c:v>0.16298620014565945</c:v>
                </c:pt>
                <c:pt idx="174">
                  <c:v>0.17351378403593493</c:v>
                </c:pt>
                <c:pt idx="175">
                  <c:v>0.18601069241839499</c:v>
                </c:pt>
                <c:pt idx="176">
                  <c:v>0.18264352653024429</c:v>
                </c:pt>
                <c:pt idx="177">
                  <c:v>0.23429019261658357</c:v>
                </c:pt>
                <c:pt idx="178">
                  <c:v>0.22490630777517559</c:v>
                </c:pt>
                <c:pt idx="179">
                  <c:v>0.20848377903252294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6B-465F-B1AC-7927475973BB}"/>
            </c:ext>
          </c:extLst>
        </c:ser>
        <c:ser>
          <c:idx val="9"/>
          <c:order val="8"/>
          <c:tx>
            <c:strRef>
              <c:f>TimeHarbor!$A$12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TimeHarbor!$B$12:$FY$12</c:f>
              <c:numCache>
                <c:formatCode>General</c:formatCode>
                <c:ptCount val="180"/>
                <c:pt idx="0">
                  <c:v>0.65262049011225809</c:v>
                </c:pt>
                <c:pt idx="1">
                  <c:v>0.65068109726506596</c:v>
                </c:pt>
                <c:pt idx="2">
                  <c:v>0.64294020980216926</c:v>
                </c:pt>
                <c:pt idx="3">
                  <c:v>0.65367462073647087</c:v>
                </c:pt>
                <c:pt idx="4">
                  <c:v>0.66296588196757567</c:v>
                </c:pt>
                <c:pt idx="5">
                  <c:v>0.66365532865207688</c:v>
                </c:pt>
                <c:pt idx="6">
                  <c:v>0.66493293478153626</c:v>
                </c:pt>
                <c:pt idx="7">
                  <c:v>0.66985857784534575</c:v>
                </c:pt>
                <c:pt idx="8">
                  <c:v>0.67725784712563275</c:v>
                </c:pt>
                <c:pt idx="9">
                  <c:v>0.68412887794633026</c:v>
                </c:pt>
                <c:pt idx="10">
                  <c:v>0.68705830265784418</c:v>
                </c:pt>
                <c:pt idx="11">
                  <c:v>0.69472920938891347</c:v>
                </c:pt>
                <c:pt idx="12">
                  <c:v>0.62261770575888564</c:v>
                </c:pt>
                <c:pt idx="13">
                  <c:v>0.57225075665790459</c:v>
                </c:pt>
                <c:pt idx="14">
                  <c:v>0.63558691888533003</c:v>
                </c:pt>
                <c:pt idx="15">
                  <c:v>0.71703902941102549</c:v>
                </c:pt>
                <c:pt idx="16">
                  <c:v>0.71614721454357888</c:v>
                </c:pt>
                <c:pt idx="17">
                  <c:v>0.73748302985912673</c:v>
                </c:pt>
                <c:pt idx="18">
                  <c:v>0.76865891612828197</c:v>
                </c:pt>
                <c:pt idx="19">
                  <c:v>0.76730150973655153</c:v>
                </c:pt>
                <c:pt idx="20">
                  <c:v>0.7695387863129074</c:v>
                </c:pt>
                <c:pt idx="21">
                  <c:v>0.76960902573021095</c:v>
                </c:pt>
                <c:pt idx="22">
                  <c:v>0.78257920663509195</c:v>
                </c:pt>
                <c:pt idx="23">
                  <c:v>0.76626191573656333</c:v>
                </c:pt>
                <c:pt idx="24">
                  <c:v>0.77184898382474332</c:v>
                </c:pt>
                <c:pt idx="25">
                  <c:v>0.77141553779867256</c:v>
                </c:pt>
                <c:pt idx="26">
                  <c:v>0.74195273780624738</c:v>
                </c:pt>
                <c:pt idx="27">
                  <c:v>0.74207436277882755</c:v>
                </c:pt>
                <c:pt idx="28">
                  <c:v>0.75169809284393641</c:v>
                </c:pt>
                <c:pt idx="29">
                  <c:v>0.74542978720807063</c:v>
                </c:pt>
                <c:pt idx="30">
                  <c:v>0.73334008933875161</c:v>
                </c:pt>
                <c:pt idx="31">
                  <c:v>0.72441634789546516</c:v>
                </c:pt>
                <c:pt idx="32">
                  <c:v>0.71110168089945514</c:v>
                </c:pt>
                <c:pt idx="33">
                  <c:v>0.71206518441303523</c:v>
                </c:pt>
                <c:pt idx="34">
                  <c:v>0.71398031500621562</c:v>
                </c:pt>
                <c:pt idx="35">
                  <c:v>0.71670996273585896</c:v>
                </c:pt>
                <c:pt idx="36">
                  <c:v>0.65290894743925298</c:v>
                </c:pt>
                <c:pt idx="37">
                  <c:v>0.65131810930318568</c:v>
                </c:pt>
                <c:pt idx="38">
                  <c:v>0.65073150895110399</c:v>
                </c:pt>
                <c:pt idx="39">
                  <c:v>0.64990081881110762</c:v>
                </c:pt>
                <c:pt idx="40">
                  <c:v>0.63765141111099832</c:v>
                </c:pt>
                <c:pt idx="41">
                  <c:v>0.63794102210793635</c:v>
                </c:pt>
                <c:pt idx="42">
                  <c:v>0.6685337244713323</c:v>
                </c:pt>
                <c:pt idx="43">
                  <c:v>0.63664036961549697</c:v>
                </c:pt>
                <c:pt idx="44">
                  <c:v>0.64713970998409287</c:v>
                </c:pt>
                <c:pt idx="45">
                  <c:v>0.67561120307839473</c:v>
                </c:pt>
                <c:pt idx="46">
                  <c:v>0.68355182783307011</c:v>
                </c:pt>
                <c:pt idx="47">
                  <c:v>0.67210472195019355</c:v>
                </c:pt>
                <c:pt idx="48">
                  <c:v>0.72469095639713321</c:v>
                </c:pt>
                <c:pt idx="49">
                  <c:v>0.71831253161433328</c:v>
                </c:pt>
                <c:pt idx="50">
                  <c:v>0.71418066488074439</c:v>
                </c:pt>
                <c:pt idx="51">
                  <c:v>0.72076552698933738</c:v>
                </c:pt>
                <c:pt idx="52">
                  <c:v>0.71488372391146993</c:v>
                </c:pt>
                <c:pt idx="53">
                  <c:v>0.71057018316870468</c:v>
                </c:pt>
                <c:pt idx="54">
                  <c:v>0.7223861789281194</c:v>
                </c:pt>
                <c:pt idx="55">
                  <c:v>0.72538990805268788</c:v>
                </c:pt>
                <c:pt idx="56">
                  <c:v>0.73203989220864629</c:v>
                </c:pt>
                <c:pt idx="57">
                  <c:v>0.73111652211897793</c:v>
                </c:pt>
                <c:pt idx="58">
                  <c:v>0.73238560943754005</c:v>
                </c:pt>
                <c:pt idx="59">
                  <c:v>0.73055812829397715</c:v>
                </c:pt>
                <c:pt idx="60">
                  <c:v>0.77059962086302436</c:v>
                </c:pt>
                <c:pt idx="61">
                  <c:v>0.77082792254532428</c:v>
                </c:pt>
                <c:pt idx="62">
                  <c:v>0.75584513961543276</c:v>
                </c:pt>
                <c:pt idx="63">
                  <c:v>0.7575921373441179</c:v>
                </c:pt>
                <c:pt idx="64">
                  <c:v>0.78838995054126104</c:v>
                </c:pt>
                <c:pt idx="65">
                  <c:v>0.79019206308788636</c:v>
                </c:pt>
                <c:pt idx="66">
                  <c:v>0.79241470744322484</c:v>
                </c:pt>
                <c:pt idx="67">
                  <c:v>0.79365988272424071</c:v>
                </c:pt>
                <c:pt idx="68">
                  <c:v>0.79111462630330476</c:v>
                </c:pt>
                <c:pt idx="69">
                  <c:v>0.79152670861505892</c:v>
                </c:pt>
                <c:pt idx="70">
                  <c:v>0.78500028932443788</c:v>
                </c:pt>
                <c:pt idx="71">
                  <c:v>0.78463975534938135</c:v>
                </c:pt>
                <c:pt idx="72">
                  <c:v>0.82081267896751531</c:v>
                </c:pt>
                <c:pt idx="73">
                  <c:v>0.82884446758238151</c:v>
                </c:pt>
                <c:pt idx="74">
                  <c:v>0.8013577599580578</c:v>
                </c:pt>
                <c:pt idx="75">
                  <c:v>0.7510436483344114</c:v>
                </c:pt>
                <c:pt idx="76">
                  <c:v>0.75104141876750952</c:v>
                </c:pt>
                <c:pt idx="77">
                  <c:v>0.72693090005745609</c:v>
                </c:pt>
                <c:pt idx="78">
                  <c:v>0.59715522669289667</c:v>
                </c:pt>
                <c:pt idx="79">
                  <c:v>0.60914471157061811</c:v>
                </c:pt>
                <c:pt idx="80">
                  <c:v>0.60935166852850298</c:v>
                </c:pt>
                <c:pt idx="81">
                  <c:v>0.62769867370567345</c:v>
                </c:pt>
                <c:pt idx="82">
                  <c:v>0.55542045167392828</c:v>
                </c:pt>
                <c:pt idx="83">
                  <c:v>0.53417047774834381</c:v>
                </c:pt>
                <c:pt idx="84">
                  <c:v>0.5263475363326533</c:v>
                </c:pt>
                <c:pt idx="85">
                  <c:v>0.5557807109598184</c:v>
                </c:pt>
                <c:pt idx="86">
                  <c:v>0.51965271192728679</c:v>
                </c:pt>
                <c:pt idx="87">
                  <c:v>0.45887479055293129</c:v>
                </c:pt>
                <c:pt idx="88">
                  <c:v>0.44490407856467074</c:v>
                </c:pt>
                <c:pt idx="89">
                  <c:v>0.36210296987994817</c:v>
                </c:pt>
                <c:pt idx="90">
                  <c:v>0.47312845057960479</c:v>
                </c:pt>
                <c:pt idx="91">
                  <c:v>0.52936751657749515</c:v>
                </c:pt>
                <c:pt idx="92">
                  <c:v>0.54816274510153773</c:v>
                </c:pt>
                <c:pt idx="93">
                  <c:v>0.55537125006760268</c:v>
                </c:pt>
                <c:pt idx="94">
                  <c:v>0.51993997093405175</c:v>
                </c:pt>
                <c:pt idx="95">
                  <c:v>0.56246330004819867</c:v>
                </c:pt>
                <c:pt idx="96">
                  <c:v>0.55526007752352491</c:v>
                </c:pt>
                <c:pt idx="97">
                  <c:v>0.56335866824919634</c:v>
                </c:pt>
                <c:pt idx="98">
                  <c:v>0.5609008684360457</c:v>
                </c:pt>
                <c:pt idx="99">
                  <c:v>0.55331845645454247</c:v>
                </c:pt>
                <c:pt idx="100">
                  <c:v>0.52991499647325901</c:v>
                </c:pt>
                <c:pt idx="101">
                  <c:v>0.51915876233916736</c:v>
                </c:pt>
                <c:pt idx="102">
                  <c:v>0.58196099786952815</c:v>
                </c:pt>
                <c:pt idx="103">
                  <c:v>0.63491797227113755</c:v>
                </c:pt>
                <c:pt idx="104">
                  <c:v>0.63607889348300439</c:v>
                </c:pt>
                <c:pt idx="105">
                  <c:v>0.59305988512388497</c:v>
                </c:pt>
                <c:pt idx="106">
                  <c:v>0.58617281467938442</c:v>
                </c:pt>
                <c:pt idx="107">
                  <c:v>0.57822078491767825</c:v>
                </c:pt>
                <c:pt idx="108">
                  <c:v>0.88095755851065727</c:v>
                </c:pt>
                <c:pt idx="109">
                  <c:v>0.87972949912224518</c:v>
                </c:pt>
                <c:pt idx="110">
                  <c:v>0.84735557985145216</c:v>
                </c:pt>
                <c:pt idx="111">
                  <c:v>0.83315779647766608</c:v>
                </c:pt>
                <c:pt idx="112">
                  <c:v>0.83770493132380719</c:v>
                </c:pt>
                <c:pt idx="113">
                  <c:v>0.83549262100806543</c:v>
                </c:pt>
                <c:pt idx="114">
                  <c:v>0.81946731566652797</c:v>
                </c:pt>
                <c:pt idx="115">
                  <c:v>0.80755739187355735</c:v>
                </c:pt>
                <c:pt idx="116">
                  <c:v>0.81920579304045282</c:v>
                </c:pt>
                <c:pt idx="117">
                  <c:v>0.83009258998436419</c:v>
                </c:pt>
                <c:pt idx="118">
                  <c:v>0.85061458319578487</c:v>
                </c:pt>
                <c:pt idx="119">
                  <c:v>0.8409881620367331</c:v>
                </c:pt>
                <c:pt idx="120">
                  <c:v>0.8552317728298825</c:v>
                </c:pt>
                <c:pt idx="121">
                  <c:v>0.84283060145316602</c:v>
                </c:pt>
                <c:pt idx="122">
                  <c:v>0.82309697995455511</c:v>
                </c:pt>
                <c:pt idx="123">
                  <c:v>0.79428802846074409</c:v>
                </c:pt>
                <c:pt idx="124">
                  <c:v>0.76953432334704619</c:v>
                </c:pt>
                <c:pt idx="125">
                  <c:v>0.76740620278386695</c:v>
                </c:pt>
                <c:pt idx="126">
                  <c:v>0.76845406184457699</c:v>
                </c:pt>
                <c:pt idx="127">
                  <c:v>0.75909239656261118</c:v>
                </c:pt>
                <c:pt idx="128">
                  <c:v>0.75571255601228093</c:v>
                </c:pt>
                <c:pt idx="129">
                  <c:v>0.76712439753731254</c:v>
                </c:pt>
                <c:pt idx="130">
                  <c:v>0.76486547223296042</c:v>
                </c:pt>
                <c:pt idx="131">
                  <c:v>0.77217613899971183</c:v>
                </c:pt>
                <c:pt idx="132">
                  <c:v>0.77322387567806594</c:v>
                </c:pt>
                <c:pt idx="133">
                  <c:v>0.78604197435637724</c:v>
                </c:pt>
                <c:pt idx="134">
                  <c:v>0.78597509207001237</c:v>
                </c:pt>
                <c:pt idx="135">
                  <c:v>0.784011308954353</c:v>
                </c:pt>
                <c:pt idx="136">
                  <c:v>0.7827868076259179</c:v>
                </c:pt>
                <c:pt idx="137">
                  <c:v>0.78215460229186895</c:v>
                </c:pt>
                <c:pt idx="138">
                  <c:v>0.78901309979641177</c:v>
                </c:pt>
                <c:pt idx="139">
                  <c:v>0.79182878362495945</c:v>
                </c:pt>
                <c:pt idx="140">
                  <c:v>0.77773695733468917</c:v>
                </c:pt>
                <c:pt idx="141">
                  <c:v>0.75898968175393744</c:v>
                </c:pt>
                <c:pt idx="142">
                  <c:v>0.75848736526212013</c:v>
                </c:pt>
                <c:pt idx="143">
                  <c:v>0.75931755593084127</c:v>
                </c:pt>
                <c:pt idx="144">
                  <c:v>0.73225453393796025</c:v>
                </c:pt>
                <c:pt idx="145">
                  <c:v>0.72582597463442999</c:v>
                </c:pt>
                <c:pt idx="146">
                  <c:v>0.72711522637627779</c:v>
                </c:pt>
                <c:pt idx="147">
                  <c:v>0.75060628518218586</c:v>
                </c:pt>
                <c:pt idx="148">
                  <c:v>0.74933635126781351</c:v>
                </c:pt>
                <c:pt idx="149">
                  <c:v>0.7448967769735283</c:v>
                </c:pt>
                <c:pt idx="150">
                  <c:v>0.74816442076443379</c:v>
                </c:pt>
                <c:pt idx="151">
                  <c:v>0.75289652338043245</c:v>
                </c:pt>
                <c:pt idx="152">
                  <c:v>0.75415612613897376</c:v>
                </c:pt>
                <c:pt idx="153">
                  <c:v>0.75246446272800949</c:v>
                </c:pt>
                <c:pt idx="154">
                  <c:v>0.76387071735724632</c:v>
                </c:pt>
                <c:pt idx="155">
                  <c:v>0.77032115051647942</c:v>
                </c:pt>
                <c:pt idx="156">
                  <c:v>0.76511804180500043</c:v>
                </c:pt>
                <c:pt idx="157">
                  <c:v>0.7653728986385101</c:v>
                </c:pt>
                <c:pt idx="158">
                  <c:v>0.74799226680621644</c:v>
                </c:pt>
                <c:pt idx="159">
                  <c:v>0.75681295918204072</c:v>
                </c:pt>
                <c:pt idx="160">
                  <c:v>0.74817432568746567</c:v>
                </c:pt>
                <c:pt idx="161">
                  <c:v>0.74585437609406535</c:v>
                </c:pt>
                <c:pt idx="162">
                  <c:v>0.7380710695646272</c:v>
                </c:pt>
                <c:pt idx="163">
                  <c:v>0.73803424848901455</c:v>
                </c:pt>
                <c:pt idx="164">
                  <c:v>0.73460472004343103</c:v>
                </c:pt>
                <c:pt idx="165">
                  <c:v>0.74069711445355113</c:v>
                </c:pt>
                <c:pt idx="166">
                  <c:v>0.74204268826504916</c:v>
                </c:pt>
                <c:pt idx="167">
                  <c:v>0.74023126924353932</c:v>
                </c:pt>
                <c:pt idx="168">
                  <c:v>0.63220767718034121</c:v>
                </c:pt>
                <c:pt idx="169">
                  <c:v>0.63313425334441442</c:v>
                </c:pt>
                <c:pt idx="170">
                  <c:v>0.64807349815389204</c:v>
                </c:pt>
                <c:pt idx="171">
                  <c:v>0.65285541736549513</c:v>
                </c:pt>
                <c:pt idx="172">
                  <c:v>0.66284882048045846</c:v>
                </c:pt>
                <c:pt idx="173">
                  <c:v>0.65826251927240986</c:v>
                </c:pt>
                <c:pt idx="174">
                  <c:v>0.61760092214412732</c:v>
                </c:pt>
                <c:pt idx="175">
                  <c:v>0.59746265883862648</c:v>
                </c:pt>
                <c:pt idx="176">
                  <c:v>0.59505091121013787</c:v>
                </c:pt>
                <c:pt idx="177">
                  <c:v>0.52481817772924033</c:v>
                </c:pt>
                <c:pt idx="178">
                  <c:v>0.51499914735562913</c:v>
                </c:pt>
                <c:pt idx="179">
                  <c:v>0.51648809363302539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6B-465F-B1AC-7927475973BB}"/>
            </c:ext>
          </c:extLst>
        </c:ser>
        <c:ser>
          <c:idx val="10"/>
          <c:order val="9"/>
          <c:tx>
            <c:strRef>
              <c:f>TimeHarbor!$A$13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5.4475054883988267E-5</c:v>
                </c:pt>
                <c:pt idx="77">
                  <c:v>0</c:v>
                </c:pt>
                <c:pt idx="78">
                  <c:v>1.743504080645816E-2</c:v>
                </c:pt>
                <c:pt idx="79">
                  <c:v>3.5061978593995673E-2</c:v>
                </c:pt>
                <c:pt idx="80">
                  <c:v>4.5549094472093439E-2</c:v>
                </c:pt>
                <c:pt idx="81">
                  <c:v>6.3008631179518909E-2</c:v>
                </c:pt>
                <c:pt idx="82">
                  <c:v>0.10568485542502357</c:v>
                </c:pt>
                <c:pt idx="83">
                  <c:v>0.15441148155102816</c:v>
                </c:pt>
                <c:pt idx="84">
                  <c:v>0.1374711363974766</c:v>
                </c:pt>
                <c:pt idx="85">
                  <c:v>0.11266225782866034</c:v>
                </c:pt>
                <c:pt idx="86">
                  <c:v>0.13445416314647821</c:v>
                </c:pt>
                <c:pt idx="87">
                  <c:v>0.13334000379115549</c:v>
                </c:pt>
                <c:pt idx="88">
                  <c:v>0.15276293883045436</c:v>
                </c:pt>
                <c:pt idx="89">
                  <c:v>0.15842814195424579</c:v>
                </c:pt>
                <c:pt idx="90">
                  <c:v>0.10957644929330293</c:v>
                </c:pt>
                <c:pt idx="91">
                  <c:v>6.6462163857096482E-2</c:v>
                </c:pt>
                <c:pt idx="92">
                  <c:v>4.6791047305044679E-2</c:v>
                </c:pt>
                <c:pt idx="93">
                  <c:v>2.747128343608303E-2</c:v>
                </c:pt>
                <c:pt idx="94">
                  <c:v>4.8249386469569264E-2</c:v>
                </c:pt>
                <c:pt idx="95">
                  <c:v>3.6551596383772013E-2</c:v>
                </c:pt>
                <c:pt idx="96">
                  <c:v>3.8871178760132137E-2</c:v>
                </c:pt>
                <c:pt idx="97">
                  <c:v>2.6889844495781551E-2</c:v>
                </c:pt>
                <c:pt idx="98">
                  <c:v>4.0232381638389885E-3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4.33999303890986E-3</c:v>
                </c:pt>
                <c:pt idx="175">
                  <c:v>9.9092712913493898E-3</c:v>
                </c:pt>
                <c:pt idx="176">
                  <c:v>1.0534010312660633E-2</c:v>
                </c:pt>
                <c:pt idx="177">
                  <c:v>2.1130991572592964E-2</c:v>
                </c:pt>
                <c:pt idx="178">
                  <c:v>3.4790919073267278E-2</c:v>
                </c:pt>
                <c:pt idx="179">
                  <c:v>4.467225849739883E-2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6B-465F-B1AC-7927475973BB}"/>
            </c:ext>
          </c:extLst>
        </c:ser>
        <c:ser>
          <c:idx val="11"/>
          <c:order val="10"/>
          <c:tx>
            <c:strRef>
              <c:f>TimeHarbor!$A$14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16B-465F-B1AC-7927475973BB}"/>
            </c:ext>
          </c:extLst>
        </c:ser>
        <c:ser>
          <c:idx val="12"/>
          <c:order val="11"/>
          <c:tx>
            <c:strRef>
              <c:f>TimeHarbor!$A$15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TimeHarbor!$B$15:$FY$15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6.6804071652048089E-2</c:v>
                </c:pt>
                <c:pt idx="13">
                  <c:v>0.11092365487340629</c:v>
                </c:pt>
                <c:pt idx="14">
                  <c:v>6.7980747732687363E-2</c:v>
                </c:pt>
                <c:pt idx="15">
                  <c:v>3.6654146798519908E-2</c:v>
                </c:pt>
                <c:pt idx="16">
                  <c:v>4.3053154849900757E-2</c:v>
                </c:pt>
                <c:pt idx="17">
                  <c:v>3.3798529778092369E-2</c:v>
                </c:pt>
                <c:pt idx="18">
                  <c:v>2.9827617812487595E-2</c:v>
                </c:pt>
                <c:pt idx="19">
                  <c:v>3.4649598466463719E-2</c:v>
                </c:pt>
                <c:pt idx="20">
                  <c:v>2.5545870930999963E-2</c:v>
                </c:pt>
                <c:pt idx="21">
                  <c:v>2.1271760084141309E-2</c:v>
                </c:pt>
                <c:pt idx="22">
                  <c:v>2.0574584114270888E-2</c:v>
                </c:pt>
                <c:pt idx="23">
                  <c:v>3.0503236271371456E-2</c:v>
                </c:pt>
                <c:pt idx="24">
                  <c:v>3.4093227486458939E-2</c:v>
                </c:pt>
                <c:pt idx="25">
                  <c:v>3.4839188529471633E-2</c:v>
                </c:pt>
                <c:pt idx="26">
                  <c:v>5.3995934939605812E-2</c:v>
                </c:pt>
                <c:pt idx="27">
                  <c:v>5.4662942686046684E-2</c:v>
                </c:pt>
                <c:pt idx="28">
                  <c:v>5.3245929567482198E-2</c:v>
                </c:pt>
                <c:pt idx="29">
                  <c:v>6.1233201560506365E-2</c:v>
                </c:pt>
                <c:pt idx="30">
                  <c:v>7.2260274661188173E-2</c:v>
                </c:pt>
                <c:pt idx="31">
                  <c:v>8.0028009892716828E-2</c:v>
                </c:pt>
                <c:pt idx="32">
                  <c:v>8.632747624049518E-2</c:v>
                </c:pt>
                <c:pt idx="33">
                  <c:v>0.10076796354110393</c:v>
                </c:pt>
                <c:pt idx="34">
                  <c:v>9.8488989375169866E-2</c:v>
                </c:pt>
                <c:pt idx="35">
                  <c:v>0.10906566017338166</c:v>
                </c:pt>
                <c:pt idx="36">
                  <c:v>0.18709945429838945</c:v>
                </c:pt>
                <c:pt idx="37">
                  <c:v>0.1883268347622781</c:v>
                </c:pt>
                <c:pt idx="38">
                  <c:v>0.18652555246926616</c:v>
                </c:pt>
                <c:pt idx="39">
                  <c:v>0.18801105168974813</c:v>
                </c:pt>
                <c:pt idx="40">
                  <c:v>0.19507752475148837</c:v>
                </c:pt>
                <c:pt idx="41">
                  <c:v>0.18877297844725713</c:v>
                </c:pt>
                <c:pt idx="42">
                  <c:v>0.18694101932652393</c:v>
                </c:pt>
                <c:pt idx="43">
                  <c:v>0.1847092297542928</c:v>
                </c:pt>
                <c:pt idx="44">
                  <c:v>0.16274195407665451</c:v>
                </c:pt>
                <c:pt idx="45">
                  <c:v>0.16227873028632139</c:v>
                </c:pt>
                <c:pt idx="46">
                  <c:v>0.14973548884561125</c:v>
                </c:pt>
                <c:pt idx="47">
                  <c:v>0.15528916041805665</c:v>
                </c:pt>
                <c:pt idx="48">
                  <c:v>0.1920721103057797</c:v>
                </c:pt>
                <c:pt idx="49">
                  <c:v>0.19090541520564303</c:v>
                </c:pt>
                <c:pt idx="50">
                  <c:v>0.19411778376016231</c:v>
                </c:pt>
                <c:pt idx="51">
                  <c:v>0.19170139385157836</c:v>
                </c:pt>
                <c:pt idx="52">
                  <c:v>0.17844069671236842</c:v>
                </c:pt>
                <c:pt idx="53">
                  <c:v>0.17973960092027924</c:v>
                </c:pt>
                <c:pt idx="54">
                  <c:v>0.17747575721153788</c:v>
                </c:pt>
                <c:pt idx="55">
                  <c:v>0.17237942525900904</c:v>
                </c:pt>
                <c:pt idx="56">
                  <c:v>0.18455264348836981</c:v>
                </c:pt>
                <c:pt idx="57">
                  <c:v>0.18570966383657253</c:v>
                </c:pt>
                <c:pt idx="58">
                  <c:v>0.18343287414625145</c:v>
                </c:pt>
                <c:pt idx="59">
                  <c:v>0.18524867402730946</c:v>
                </c:pt>
                <c:pt idx="60">
                  <c:v>0.18190528756188834</c:v>
                </c:pt>
                <c:pt idx="61">
                  <c:v>0.18084227285452847</c:v>
                </c:pt>
                <c:pt idx="62">
                  <c:v>0.20037660503227919</c:v>
                </c:pt>
                <c:pt idx="63">
                  <c:v>0.19677133111659992</c:v>
                </c:pt>
                <c:pt idx="64">
                  <c:v>0.16952249218013593</c:v>
                </c:pt>
                <c:pt idx="65">
                  <c:v>0.16626316173683861</c:v>
                </c:pt>
                <c:pt idx="66">
                  <c:v>0.16237410085708012</c:v>
                </c:pt>
                <c:pt idx="67">
                  <c:v>0.15957862567236603</c:v>
                </c:pt>
                <c:pt idx="68">
                  <c:v>0.15711331175122886</c:v>
                </c:pt>
                <c:pt idx="69">
                  <c:v>0.1460172944594802</c:v>
                </c:pt>
                <c:pt idx="70">
                  <c:v>0.15317392903938171</c:v>
                </c:pt>
                <c:pt idx="71">
                  <c:v>0.1529017185576142</c:v>
                </c:pt>
                <c:pt idx="72">
                  <c:v>9.6417354186469517E-2</c:v>
                </c:pt>
                <c:pt idx="73">
                  <c:v>6.688117378077657E-2</c:v>
                </c:pt>
                <c:pt idx="74">
                  <c:v>8.6701625958863535E-2</c:v>
                </c:pt>
                <c:pt idx="75">
                  <c:v>0.10018740503416035</c:v>
                </c:pt>
                <c:pt idx="76">
                  <c:v>9.324914959358345E-2</c:v>
                </c:pt>
                <c:pt idx="77">
                  <c:v>9.3726016152945998E-2</c:v>
                </c:pt>
                <c:pt idx="78">
                  <c:v>0.12808226794669961</c:v>
                </c:pt>
                <c:pt idx="79">
                  <c:v>9.7174102109404553E-2</c:v>
                </c:pt>
                <c:pt idx="80">
                  <c:v>9.1297685861778097E-2</c:v>
                </c:pt>
                <c:pt idx="81">
                  <c:v>7.8052149300535417E-2</c:v>
                </c:pt>
                <c:pt idx="82">
                  <c:v>6.5827966901850291E-2</c:v>
                </c:pt>
                <c:pt idx="83">
                  <c:v>3.3593243415251488E-2</c:v>
                </c:pt>
                <c:pt idx="84">
                  <c:v>4.3907123136541437E-2</c:v>
                </c:pt>
                <c:pt idx="85">
                  <c:v>2.4976103244273521E-2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16B-465F-B1AC-7927475973BB}"/>
            </c:ext>
          </c:extLst>
        </c:ser>
        <c:ser>
          <c:idx val="13"/>
          <c:order val="12"/>
          <c:tx>
            <c:strRef>
              <c:f>TimeHarbor!$A$16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TimeHarbor!$B$16:$FY$16</c:f>
              <c:numCache>
                <c:formatCode>General</c:formatCode>
                <c:ptCount val="180"/>
                <c:pt idx="0">
                  <c:v>2.1593648899155015E-3</c:v>
                </c:pt>
                <c:pt idx="1">
                  <c:v>3.3479028344406731E-3</c:v>
                </c:pt>
                <c:pt idx="2">
                  <c:v>1.2207396046867618E-2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16B-465F-B1AC-7927475973BB}"/>
            </c:ext>
          </c:extLst>
        </c:ser>
        <c:ser>
          <c:idx val="14"/>
          <c:order val="13"/>
          <c:tx>
            <c:strRef>
              <c:f>TimeHarbor!$A$17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3.5021225165684046E-2</c:v>
                </c:pt>
                <c:pt idx="90">
                  <c:v>4.0146125708778657E-3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1.437356805155836E-2</c:v>
                </c:pt>
                <c:pt idx="111">
                  <c:v>2.7232223306666831E-2</c:v>
                </c:pt>
                <c:pt idx="112">
                  <c:v>4.7765508759107497E-2</c:v>
                </c:pt>
                <c:pt idx="113">
                  <c:v>4.8592243645850353E-2</c:v>
                </c:pt>
                <c:pt idx="114">
                  <c:v>5.3635480349858725E-2</c:v>
                </c:pt>
                <c:pt idx="115">
                  <c:v>6.1218998080124286E-2</c:v>
                </c:pt>
                <c:pt idx="116">
                  <c:v>3.9901630903537301E-2</c:v>
                </c:pt>
                <c:pt idx="117">
                  <c:v>1.3216538829331905E-2</c:v>
                </c:pt>
                <c:pt idx="118">
                  <c:v>3.8154656852521229E-3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1.2763502877509752E-2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2.8554327213526211E-3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2.0151894872990289E-3</c:v>
                </c:pt>
                <c:pt idx="155">
                  <c:v>1.8088392522354124E-4</c:v>
                </c:pt>
                <c:pt idx="156">
                  <c:v>6.7202822185073929E-3</c:v>
                </c:pt>
                <c:pt idx="157">
                  <c:v>1.0173094732812244E-2</c:v>
                </c:pt>
                <c:pt idx="158">
                  <c:v>1.0195732498979981E-2</c:v>
                </c:pt>
                <c:pt idx="159">
                  <c:v>3.1715092880827359E-3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5.4013305590095619E-3</c:v>
                </c:pt>
                <c:pt idx="165">
                  <c:v>4.9716050470598478E-3</c:v>
                </c:pt>
                <c:pt idx="166">
                  <c:v>1.0099764085593339E-2</c:v>
                </c:pt>
                <c:pt idx="167">
                  <c:v>1.0390409458209923E-2</c:v>
                </c:pt>
                <c:pt idx="168">
                  <c:v>5.0597883863562093E-2</c:v>
                </c:pt>
                <c:pt idx="169">
                  <c:v>5.1989401145128879E-2</c:v>
                </c:pt>
                <c:pt idx="170">
                  <c:v>4.5723114637107369E-2</c:v>
                </c:pt>
                <c:pt idx="171">
                  <c:v>3.6926472192031316E-2</c:v>
                </c:pt>
                <c:pt idx="172">
                  <c:v>3.7931006415498458E-2</c:v>
                </c:pt>
                <c:pt idx="173">
                  <c:v>3.9676673085380698E-2</c:v>
                </c:pt>
                <c:pt idx="174">
                  <c:v>4.8264710662861303E-2</c:v>
                </c:pt>
                <c:pt idx="175">
                  <c:v>5.4283416584864061E-2</c:v>
                </c:pt>
                <c:pt idx="176">
                  <c:v>5.6556089782995367E-2</c:v>
                </c:pt>
                <c:pt idx="177">
                  <c:v>8.6917183064797357E-2</c:v>
                </c:pt>
                <c:pt idx="178">
                  <c:v>8.48574246833394E-2</c:v>
                </c:pt>
                <c:pt idx="179">
                  <c:v>8.5750865655700739E-2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16B-465F-B1AC-7927475973BB}"/>
            </c:ext>
          </c:extLst>
        </c:ser>
        <c:ser>
          <c:idx val="15"/>
          <c:order val="14"/>
          <c:tx>
            <c:strRef>
              <c:f>TimeHarbor!$A$18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TimeHarbor!$B$18:$FY$18</c:f>
              <c:numCache>
                <c:formatCode>General</c:formatCode>
                <c:ptCount val="180"/>
                <c:pt idx="0">
                  <c:v>9.0180180743443264E-2</c:v>
                </c:pt>
                <c:pt idx="1">
                  <c:v>8.9607339048430559E-2</c:v>
                </c:pt>
                <c:pt idx="2">
                  <c:v>8.2673044739851528E-2</c:v>
                </c:pt>
                <c:pt idx="3">
                  <c:v>8.6459871011326267E-2</c:v>
                </c:pt>
                <c:pt idx="4">
                  <c:v>0.10230281416298638</c:v>
                </c:pt>
                <c:pt idx="5">
                  <c:v>0.101282976582176</c:v>
                </c:pt>
                <c:pt idx="6">
                  <c:v>9.8334028277507715E-2</c:v>
                </c:pt>
                <c:pt idx="7">
                  <c:v>0.10099471295908638</c:v>
                </c:pt>
                <c:pt idx="8">
                  <c:v>9.2417800299313319E-2</c:v>
                </c:pt>
                <c:pt idx="9">
                  <c:v>9.6275029727248079E-2</c:v>
                </c:pt>
                <c:pt idx="10">
                  <c:v>9.5600604516233686E-2</c:v>
                </c:pt>
                <c:pt idx="11">
                  <c:v>9.0449820667926145E-2</c:v>
                </c:pt>
                <c:pt idx="12">
                  <c:v>7.7345682310038175E-2</c:v>
                </c:pt>
                <c:pt idx="13">
                  <c:v>8.5029344839802776E-2</c:v>
                </c:pt>
                <c:pt idx="14">
                  <c:v>7.9232297351500156E-2</c:v>
                </c:pt>
                <c:pt idx="15">
                  <c:v>6.0310684060002687E-2</c:v>
                </c:pt>
                <c:pt idx="16">
                  <c:v>5.8675757007401054E-2</c:v>
                </c:pt>
                <c:pt idx="17">
                  <c:v>5.4734420331657874E-2</c:v>
                </c:pt>
                <c:pt idx="18">
                  <c:v>4.8008932370394032E-2</c:v>
                </c:pt>
                <c:pt idx="19">
                  <c:v>4.802335442945075E-2</c:v>
                </c:pt>
                <c:pt idx="20">
                  <c:v>5.0779982970650145E-2</c:v>
                </c:pt>
                <c:pt idx="21">
                  <c:v>5.563649471285622E-2</c:v>
                </c:pt>
                <c:pt idx="22">
                  <c:v>4.9455239128773018E-2</c:v>
                </c:pt>
                <c:pt idx="23">
                  <c:v>5.2140142553931977E-2</c:v>
                </c:pt>
                <c:pt idx="24">
                  <c:v>5.0668007936306811E-2</c:v>
                </c:pt>
                <c:pt idx="25">
                  <c:v>5.0567473346434799E-2</c:v>
                </c:pt>
                <c:pt idx="26">
                  <c:v>5.344110588607965E-2</c:v>
                </c:pt>
                <c:pt idx="27">
                  <c:v>5.2754117749362048E-2</c:v>
                </c:pt>
                <c:pt idx="28">
                  <c:v>4.8964899232082797E-2</c:v>
                </c:pt>
                <c:pt idx="29">
                  <c:v>4.7468624867380141E-2</c:v>
                </c:pt>
                <c:pt idx="30">
                  <c:v>4.9181288379563252E-2</c:v>
                </c:pt>
                <c:pt idx="31">
                  <c:v>5.2364987254958202E-2</c:v>
                </c:pt>
                <c:pt idx="32">
                  <c:v>5.3864491360862431E-2</c:v>
                </c:pt>
                <c:pt idx="33">
                  <c:v>5.4061171709856547E-2</c:v>
                </c:pt>
                <c:pt idx="34">
                  <c:v>5.6249097846413951E-2</c:v>
                </c:pt>
                <c:pt idx="35">
                  <c:v>6.122652017768649E-2</c:v>
                </c:pt>
                <c:pt idx="36">
                  <c:v>7.0984003434658549E-2</c:v>
                </c:pt>
                <c:pt idx="37">
                  <c:v>7.1366980553150453E-2</c:v>
                </c:pt>
                <c:pt idx="38">
                  <c:v>7.1467015413438403E-2</c:v>
                </c:pt>
                <c:pt idx="39">
                  <c:v>7.1579277901495972E-2</c:v>
                </c:pt>
                <c:pt idx="40">
                  <c:v>7.4382448135811019E-2</c:v>
                </c:pt>
                <c:pt idx="41">
                  <c:v>7.505089513109113E-2</c:v>
                </c:pt>
                <c:pt idx="42">
                  <c:v>7.1823765278817592E-2</c:v>
                </c:pt>
                <c:pt idx="43">
                  <c:v>8.1973545957693766E-2</c:v>
                </c:pt>
                <c:pt idx="44">
                  <c:v>9.07969674064633E-2</c:v>
                </c:pt>
                <c:pt idx="45">
                  <c:v>8.7135581155875219E-2</c:v>
                </c:pt>
                <c:pt idx="46">
                  <c:v>9.6184064908491212E-2</c:v>
                </c:pt>
                <c:pt idx="47">
                  <c:v>0.10088992057429522</c:v>
                </c:pt>
                <c:pt idx="48">
                  <c:v>5.2584540158085225E-2</c:v>
                </c:pt>
                <c:pt idx="49">
                  <c:v>5.8924377535407538E-2</c:v>
                </c:pt>
                <c:pt idx="50">
                  <c:v>5.9396943962797238E-2</c:v>
                </c:pt>
                <c:pt idx="51">
                  <c:v>5.6630947285282188E-2</c:v>
                </c:pt>
                <c:pt idx="52">
                  <c:v>6.089233414912408E-2</c:v>
                </c:pt>
                <c:pt idx="53">
                  <c:v>6.4326128956846224E-2</c:v>
                </c:pt>
                <c:pt idx="54">
                  <c:v>5.5079408212049499E-2</c:v>
                </c:pt>
                <c:pt idx="55">
                  <c:v>5.5497855185454754E-2</c:v>
                </c:pt>
                <c:pt idx="56">
                  <c:v>5.288530531197011E-2</c:v>
                </c:pt>
                <c:pt idx="57">
                  <c:v>5.6608140974077917E-2</c:v>
                </c:pt>
                <c:pt idx="58">
                  <c:v>3.9093269566274957E-2</c:v>
                </c:pt>
                <c:pt idx="59">
                  <c:v>3.6667761030294614E-2</c:v>
                </c:pt>
                <c:pt idx="60">
                  <c:v>2.3610741695805328E-2</c:v>
                </c:pt>
                <c:pt idx="61">
                  <c:v>2.515938191365031E-2</c:v>
                </c:pt>
                <c:pt idx="62">
                  <c:v>2.2657850584885283E-2</c:v>
                </c:pt>
                <c:pt idx="63">
                  <c:v>2.4360189531181166E-2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6.919565224120692E-4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4.2897458033826552E-2</c:v>
                </c:pt>
                <c:pt idx="73">
                  <c:v>4.8604999145775499E-2</c:v>
                </c:pt>
                <c:pt idx="74">
                  <c:v>5.0568490417423194E-2</c:v>
                </c:pt>
                <c:pt idx="75">
                  <c:v>5.8632377730029259E-2</c:v>
                </c:pt>
                <c:pt idx="76">
                  <c:v>6.532097256437322E-2</c:v>
                </c:pt>
                <c:pt idx="77">
                  <c:v>8.6094149808097251E-2</c:v>
                </c:pt>
                <c:pt idx="78">
                  <c:v>8.1827582362251558E-2</c:v>
                </c:pt>
                <c:pt idx="79">
                  <c:v>8.4158207607962388E-2</c:v>
                </c:pt>
                <c:pt idx="80">
                  <c:v>8.1410375550378E-2</c:v>
                </c:pt>
                <c:pt idx="81">
                  <c:v>7.3160184885773971E-2</c:v>
                </c:pt>
                <c:pt idx="82">
                  <c:v>9.6903679961349007E-2</c:v>
                </c:pt>
                <c:pt idx="83">
                  <c:v>8.8830133558098254E-2</c:v>
                </c:pt>
                <c:pt idx="84">
                  <c:v>8.5373009088724985E-2</c:v>
                </c:pt>
                <c:pt idx="85">
                  <c:v>9.2174821432171705E-2</c:v>
                </c:pt>
                <c:pt idx="86">
                  <c:v>8.2454050292243897E-2</c:v>
                </c:pt>
                <c:pt idx="87">
                  <c:v>9.8337140300467807E-2</c:v>
                </c:pt>
                <c:pt idx="88">
                  <c:v>8.8537173819402584E-2</c:v>
                </c:pt>
                <c:pt idx="89">
                  <c:v>8.1316739047753481E-2</c:v>
                </c:pt>
                <c:pt idx="90">
                  <c:v>9.8003904382080148E-2</c:v>
                </c:pt>
                <c:pt idx="91">
                  <c:v>0.1170795723831738</c:v>
                </c:pt>
                <c:pt idx="92">
                  <c:v>0.1069106679740771</c:v>
                </c:pt>
                <c:pt idx="93">
                  <c:v>0.10461980637092222</c:v>
                </c:pt>
                <c:pt idx="94">
                  <c:v>0.10275460108309818</c:v>
                </c:pt>
                <c:pt idx="95">
                  <c:v>9.4247370088677687E-2</c:v>
                </c:pt>
                <c:pt idx="96">
                  <c:v>7.9724137096173209E-2</c:v>
                </c:pt>
                <c:pt idx="97">
                  <c:v>8.0362074736104433E-2</c:v>
                </c:pt>
                <c:pt idx="98">
                  <c:v>8.0123582744654656E-2</c:v>
                </c:pt>
                <c:pt idx="99">
                  <c:v>7.7833249679891831E-2</c:v>
                </c:pt>
                <c:pt idx="100">
                  <c:v>4.1896719027178016E-2</c:v>
                </c:pt>
                <c:pt idx="101">
                  <c:v>4.8092104524373069E-2</c:v>
                </c:pt>
                <c:pt idx="102">
                  <c:v>3.9544022104299019E-2</c:v>
                </c:pt>
                <c:pt idx="103">
                  <c:v>3.0242719100035148E-2</c:v>
                </c:pt>
                <c:pt idx="104">
                  <c:v>2.6090999661851015E-2</c:v>
                </c:pt>
                <c:pt idx="105">
                  <c:v>3.4393398293559814E-2</c:v>
                </c:pt>
                <c:pt idx="106">
                  <c:v>3.4015170957416692E-2</c:v>
                </c:pt>
                <c:pt idx="107">
                  <c:v>3.2411397336665343E-2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8.7674919335665943E-3</c:v>
                </c:pt>
                <c:pt idx="148">
                  <c:v>1.1619833675229042E-2</c:v>
                </c:pt>
                <c:pt idx="149">
                  <c:v>1.4960235866985869E-2</c:v>
                </c:pt>
                <c:pt idx="150">
                  <c:v>1.6252485506859159E-2</c:v>
                </c:pt>
                <c:pt idx="151">
                  <c:v>1.5398338391886668E-2</c:v>
                </c:pt>
                <c:pt idx="152">
                  <c:v>1.4900117918300313E-2</c:v>
                </c:pt>
                <c:pt idx="153">
                  <c:v>1.7887001935835239E-2</c:v>
                </c:pt>
                <c:pt idx="154">
                  <c:v>2.1510682585550635E-2</c:v>
                </c:pt>
                <c:pt idx="155">
                  <c:v>1.8067624752823329E-2</c:v>
                </c:pt>
                <c:pt idx="156">
                  <c:v>1.6732898890325462E-2</c:v>
                </c:pt>
                <c:pt idx="157">
                  <c:v>1.2783562004971471E-2</c:v>
                </c:pt>
                <c:pt idx="158">
                  <c:v>1.412102513896037E-2</c:v>
                </c:pt>
                <c:pt idx="159">
                  <c:v>1.2574876334161936E-2</c:v>
                </c:pt>
                <c:pt idx="160">
                  <c:v>1.3881426915646561E-2</c:v>
                </c:pt>
                <c:pt idx="161">
                  <c:v>1.2302962153268164E-2</c:v>
                </c:pt>
                <c:pt idx="162">
                  <c:v>2.0983168583443942E-2</c:v>
                </c:pt>
                <c:pt idx="163">
                  <c:v>2.1544156164641986E-2</c:v>
                </c:pt>
                <c:pt idx="164">
                  <c:v>1.7442895975430903E-2</c:v>
                </c:pt>
                <c:pt idx="165">
                  <c:v>9.8182544426114182E-3</c:v>
                </c:pt>
                <c:pt idx="166">
                  <c:v>2.9978627324554318E-4</c:v>
                </c:pt>
                <c:pt idx="167">
                  <c:v>1.7676372483539393E-3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16B-465F-B1AC-7927475973BB}"/>
            </c:ext>
          </c:extLst>
        </c:ser>
        <c:ser>
          <c:idx val="16"/>
          <c:order val="15"/>
          <c:tx>
            <c:strRef>
              <c:f>TimeHarbor!$A$19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TimeHarbor!$B$19:$FY$19</c:f>
              <c:numCache>
                <c:formatCode>General</c:formatCode>
                <c:ptCount val="180"/>
                <c:pt idx="0">
                  <c:v>7.5631299810211716E-2</c:v>
                </c:pt>
                <c:pt idx="1">
                  <c:v>7.7088416486582476E-2</c:v>
                </c:pt>
                <c:pt idx="2">
                  <c:v>8.3711961805065169E-2</c:v>
                </c:pt>
                <c:pt idx="3">
                  <c:v>7.1655961192053655E-2</c:v>
                </c:pt>
                <c:pt idx="4">
                  <c:v>6.156469647505227E-2</c:v>
                </c:pt>
                <c:pt idx="5">
                  <c:v>5.8403422478662176E-2</c:v>
                </c:pt>
                <c:pt idx="6">
                  <c:v>5.7348589394875464E-2</c:v>
                </c:pt>
                <c:pt idx="7">
                  <c:v>4.8444146036619666E-2</c:v>
                </c:pt>
                <c:pt idx="8">
                  <c:v>5.2299899309141196E-2</c:v>
                </c:pt>
                <c:pt idx="9">
                  <c:v>4.3583984774301518E-2</c:v>
                </c:pt>
                <c:pt idx="10">
                  <c:v>4.4376372750351376E-2</c:v>
                </c:pt>
                <c:pt idx="11">
                  <c:v>4.2806619892691036E-2</c:v>
                </c:pt>
                <c:pt idx="12">
                  <c:v>2.2504766361004635E-2</c:v>
                </c:pt>
                <c:pt idx="13">
                  <c:v>3.2685099414598531E-2</c:v>
                </c:pt>
                <c:pt idx="14">
                  <c:v>3.3256194886975628E-2</c:v>
                </c:pt>
                <c:pt idx="15">
                  <c:v>4.6160031022758612E-2</c:v>
                </c:pt>
                <c:pt idx="16">
                  <c:v>4.1120561435176554E-2</c:v>
                </c:pt>
                <c:pt idx="17">
                  <c:v>2.9105875705105221E-2</c:v>
                </c:pt>
                <c:pt idx="18">
                  <c:v>1.8522229305824818E-2</c:v>
                </c:pt>
                <c:pt idx="19">
                  <c:v>1.5765891509403888E-2</c:v>
                </c:pt>
                <c:pt idx="20">
                  <c:v>1.6480942409050098E-2</c:v>
                </c:pt>
                <c:pt idx="21">
                  <c:v>1.6998780925780953E-2</c:v>
                </c:pt>
                <c:pt idx="22">
                  <c:v>1.6003167035699109E-2</c:v>
                </c:pt>
                <c:pt idx="23">
                  <c:v>1.315997509877888E-2</c:v>
                </c:pt>
                <c:pt idx="24">
                  <c:v>2.7071220464341385E-2</c:v>
                </c:pt>
                <c:pt idx="25">
                  <c:v>2.7157854392861436E-2</c:v>
                </c:pt>
                <c:pt idx="26">
                  <c:v>2.6530698458552191E-2</c:v>
                </c:pt>
                <c:pt idx="27">
                  <c:v>2.726948913251255E-2</c:v>
                </c:pt>
                <c:pt idx="28">
                  <c:v>2.9661450323692544E-2</c:v>
                </c:pt>
                <c:pt idx="29">
                  <c:v>3.3523521067695232E-2</c:v>
                </c:pt>
                <c:pt idx="30">
                  <c:v>3.0836358164757993E-2</c:v>
                </c:pt>
                <c:pt idx="31">
                  <c:v>1.9350400366293097E-2</c:v>
                </c:pt>
                <c:pt idx="32">
                  <c:v>2.0449405772473919E-2</c:v>
                </c:pt>
                <c:pt idx="33">
                  <c:v>2.6073903600422978E-2</c:v>
                </c:pt>
                <c:pt idx="34">
                  <c:v>2.1547737904115429E-2</c:v>
                </c:pt>
                <c:pt idx="35">
                  <c:v>1.6886081246695869E-2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2.847941315732678E-3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0.11723653489226633</c:v>
                </c:pt>
                <c:pt idx="109">
                  <c:v>0.12027050087775465</c:v>
                </c:pt>
                <c:pt idx="110">
                  <c:v>0.13213853780429605</c:v>
                </c:pt>
                <c:pt idx="111">
                  <c:v>0.12808717131039871</c:v>
                </c:pt>
                <c:pt idx="112">
                  <c:v>0.11452955991708512</c:v>
                </c:pt>
                <c:pt idx="113">
                  <c:v>0.11591563172674023</c:v>
                </c:pt>
                <c:pt idx="114">
                  <c:v>0.12337429301447335</c:v>
                </c:pt>
                <c:pt idx="115">
                  <c:v>0.12307866017128231</c:v>
                </c:pt>
                <c:pt idx="116">
                  <c:v>0.13742261942918657</c:v>
                </c:pt>
                <c:pt idx="117">
                  <c:v>0.13597543636688744</c:v>
                </c:pt>
                <c:pt idx="118">
                  <c:v>0.13771509085884734</c:v>
                </c:pt>
                <c:pt idx="119">
                  <c:v>0.14652060843326178</c:v>
                </c:pt>
                <c:pt idx="120">
                  <c:v>0.14336884039998221</c:v>
                </c:pt>
                <c:pt idx="121">
                  <c:v>0.15385539781266602</c:v>
                </c:pt>
                <c:pt idx="122">
                  <c:v>0.14293271542789809</c:v>
                </c:pt>
                <c:pt idx="123">
                  <c:v>0.19448020827907631</c:v>
                </c:pt>
                <c:pt idx="124">
                  <c:v>0.18954053145308841</c:v>
                </c:pt>
                <c:pt idx="125">
                  <c:v>0.19644890187281788</c:v>
                </c:pt>
                <c:pt idx="126">
                  <c:v>0.19701283979881165</c:v>
                </c:pt>
                <c:pt idx="127">
                  <c:v>0.20433143864786593</c:v>
                </c:pt>
                <c:pt idx="128">
                  <c:v>0.20467002401232318</c:v>
                </c:pt>
                <c:pt idx="129">
                  <c:v>0.19177580717921319</c:v>
                </c:pt>
                <c:pt idx="130">
                  <c:v>0.19285201463662233</c:v>
                </c:pt>
                <c:pt idx="131">
                  <c:v>0.18462981192712058</c:v>
                </c:pt>
                <c:pt idx="132">
                  <c:v>0.1831516764658781</c:v>
                </c:pt>
                <c:pt idx="133">
                  <c:v>0.1757656247520033</c:v>
                </c:pt>
                <c:pt idx="134">
                  <c:v>0.17298717198694036</c:v>
                </c:pt>
                <c:pt idx="135">
                  <c:v>0.17456448839434913</c:v>
                </c:pt>
                <c:pt idx="136">
                  <c:v>0.17671207158861002</c:v>
                </c:pt>
                <c:pt idx="137">
                  <c:v>0.17935113011515094</c:v>
                </c:pt>
                <c:pt idx="138">
                  <c:v>0.1774331172149535</c:v>
                </c:pt>
                <c:pt idx="139">
                  <c:v>0.17638507919662169</c:v>
                </c:pt>
                <c:pt idx="140">
                  <c:v>0.19025240115848729</c:v>
                </c:pt>
                <c:pt idx="141">
                  <c:v>0.22495474553390016</c:v>
                </c:pt>
                <c:pt idx="142">
                  <c:v>0.22700148229072364</c:v>
                </c:pt>
                <c:pt idx="143">
                  <c:v>0.22680958590968756</c:v>
                </c:pt>
                <c:pt idx="144">
                  <c:v>0.24834603177930642</c:v>
                </c:pt>
                <c:pt idx="145">
                  <c:v>0.26114275282874644</c:v>
                </c:pt>
                <c:pt idx="146">
                  <c:v>0.25924280791248461</c:v>
                </c:pt>
                <c:pt idx="147">
                  <c:v>0.21584041131195014</c:v>
                </c:pt>
                <c:pt idx="148">
                  <c:v>0.2121415413171438</c:v>
                </c:pt>
                <c:pt idx="149">
                  <c:v>0.21704631897308316</c:v>
                </c:pt>
                <c:pt idx="150">
                  <c:v>0.21073423042194192</c:v>
                </c:pt>
                <c:pt idx="151">
                  <c:v>0.20824420975974808</c:v>
                </c:pt>
                <c:pt idx="152">
                  <c:v>0.19845886883607894</c:v>
                </c:pt>
                <c:pt idx="153">
                  <c:v>0.20469434537322995</c:v>
                </c:pt>
                <c:pt idx="154">
                  <c:v>0.18891116492259236</c:v>
                </c:pt>
                <c:pt idx="155">
                  <c:v>0.1867672586613231</c:v>
                </c:pt>
                <c:pt idx="156">
                  <c:v>0.18904334968905903</c:v>
                </c:pt>
                <c:pt idx="157">
                  <c:v>0.18898823856211588</c:v>
                </c:pt>
                <c:pt idx="158">
                  <c:v>0.20846919920470433</c:v>
                </c:pt>
                <c:pt idx="159">
                  <c:v>0.21144900639912814</c:v>
                </c:pt>
                <c:pt idx="160">
                  <c:v>0.22106764758671449</c:v>
                </c:pt>
                <c:pt idx="161">
                  <c:v>0.22416554454524468</c:v>
                </c:pt>
                <c:pt idx="162">
                  <c:v>0.21899055266043069</c:v>
                </c:pt>
                <c:pt idx="163">
                  <c:v>0.21810581294457265</c:v>
                </c:pt>
                <c:pt idx="164">
                  <c:v>0.22323126149107991</c:v>
                </c:pt>
                <c:pt idx="165">
                  <c:v>0.22684092930718297</c:v>
                </c:pt>
                <c:pt idx="166">
                  <c:v>0.22959326442712344</c:v>
                </c:pt>
                <c:pt idx="167">
                  <c:v>0.23204807998424498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2.5589516898260158E-4</c:v>
                </c:pt>
                <c:pt idx="178">
                  <c:v>5.4145289185328592E-3</c:v>
                </c:pt>
                <c:pt idx="179">
                  <c:v>3.774996204228929E-3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16B-465F-B1AC-792747597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19968"/>
        <c:axId val="171238144"/>
      </c:areaChart>
      <c:dateAx>
        <c:axId val="1712199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1238144"/>
        <c:crosses val="autoZero"/>
        <c:auto val="1"/>
        <c:lblOffset val="100"/>
        <c:baseTimeUnit val="months"/>
      </c:dateAx>
      <c:valAx>
        <c:axId val="171238144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712199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TimeHarbor!$A$3</c:f>
          <c:strCache>
            <c:ptCount val="1"/>
            <c:pt idx="0">
              <c:v>02 - Harbor Large Cap Value Fund (Institutional)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TimeHarbor!$A$4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5.8823257978573877E-3</c:v>
                </c:pt>
                <c:pt idx="65">
                  <c:v>0</c:v>
                </c:pt>
                <c:pt idx="66">
                  <c:v>0</c:v>
                </c:pt>
                <c:pt idx="67">
                  <c:v>3.6804769881119562E-3</c:v>
                </c:pt>
                <c:pt idx="68">
                  <c:v>5.7682343497119006E-3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3.9872508812188248E-2</c:v>
                </c:pt>
                <c:pt idx="73">
                  <c:v>5.5669943572175404E-2</c:v>
                </c:pt>
                <c:pt idx="74">
                  <c:v>6.1372123665655365E-2</c:v>
                </c:pt>
                <c:pt idx="75">
                  <c:v>9.0137568901398651E-2</c:v>
                </c:pt>
                <c:pt idx="76">
                  <c:v>9.0334984019649359E-2</c:v>
                </c:pt>
                <c:pt idx="77">
                  <c:v>8.5516566697937405E-2</c:v>
                </c:pt>
                <c:pt idx="78">
                  <c:v>7.7457033561030203E-2</c:v>
                </c:pt>
                <c:pt idx="79">
                  <c:v>7.423275039985669E-2</c:v>
                </c:pt>
                <c:pt idx="80">
                  <c:v>5.9833418699915014E-2</c:v>
                </c:pt>
                <c:pt idx="81">
                  <c:v>3.1388927477310827E-2</c:v>
                </c:pt>
                <c:pt idx="82">
                  <c:v>1.1991779326694251E-2</c:v>
                </c:pt>
                <c:pt idx="83">
                  <c:v>1.1208687110614226E-2</c:v>
                </c:pt>
                <c:pt idx="84">
                  <c:v>4.0471930987090773E-2</c:v>
                </c:pt>
                <c:pt idx="85">
                  <c:v>1.1792091228927305E-2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5.2878949964516178E-3</c:v>
                </c:pt>
                <c:pt idx="92">
                  <c:v>2.5513342128547306E-2</c:v>
                </c:pt>
                <c:pt idx="93">
                  <c:v>4.8291840913821868E-2</c:v>
                </c:pt>
                <c:pt idx="94">
                  <c:v>3.3660852353483563E-3</c:v>
                </c:pt>
                <c:pt idx="95">
                  <c:v>5.2752639470015947E-2</c:v>
                </c:pt>
                <c:pt idx="96">
                  <c:v>0</c:v>
                </c:pt>
                <c:pt idx="97">
                  <c:v>0</c:v>
                </c:pt>
                <c:pt idx="98">
                  <c:v>7.620787051305488E-3</c:v>
                </c:pt>
                <c:pt idx="99">
                  <c:v>6.1328972128589152E-4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1.0752218910698091E-2</c:v>
                </c:pt>
                <c:pt idx="106">
                  <c:v>1.5535338390112717E-4</c:v>
                </c:pt>
                <c:pt idx="107">
                  <c:v>7.4070134480379284E-3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1.2746344872720876E-2</c:v>
                </c:pt>
                <c:pt idx="169">
                  <c:v>4.5384438235390075E-2</c:v>
                </c:pt>
                <c:pt idx="170">
                  <c:v>5.577890663879044E-2</c:v>
                </c:pt>
                <c:pt idx="171">
                  <c:v>5.0380328566824666E-2</c:v>
                </c:pt>
                <c:pt idx="172">
                  <c:v>1.3108925803504279E-2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48-4DD6-9913-93EBDE43A075}"/>
            </c:ext>
          </c:extLst>
        </c:ser>
        <c:ser>
          <c:idx val="2"/>
          <c:order val="1"/>
          <c:tx>
            <c:strRef>
              <c:f>TimeHarbor!$A$5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TimeHarbor!$B$5:$FY$5</c:f>
              <c:numCache>
                <c:formatCode>General</c:formatCode>
                <c:ptCount val="180"/>
                <c:pt idx="0">
                  <c:v>0.17001501390196305</c:v>
                </c:pt>
                <c:pt idx="1">
                  <c:v>0.16891886767399741</c:v>
                </c:pt>
                <c:pt idx="2">
                  <c:v>0.17182486530583024</c:v>
                </c:pt>
                <c:pt idx="3">
                  <c:v>0.18820954706014897</c:v>
                </c:pt>
                <c:pt idx="4">
                  <c:v>0.17316760739438564</c:v>
                </c:pt>
                <c:pt idx="5">
                  <c:v>0.17665927228708464</c:v>
                </c:pt>
                <c:pt idx="6">
                  <c:v>0.17938544754608046</c:v>
                </c:pt>
                <c:pt idx="7">
                  <c:v>0.18070356315894789</c:v>
                </c:pt>
                <c:pt idx="8">
                  <c:v>0.17802445326591257</c:v>
                </c:pt>
                <c:pt idx="9">
                  <c:v>0.17601310755211996</c:v>
                </c:pt>
                <c:pt idx="10">
                  <c:v>0.17296472007557065</c:v>
                </c:pt>
                <c:pt idx="11">
                  <c:v>0.17201435005046925</c:v>
                </c:pt>
                <c:pt idx="12">
                  <c:v>0.2107277739180233</c:v>
                </c:pt>
                <c:pt idx="13">
                  <c:v>0.19911214421428777</c:v>
                </c:pt>
                <c:pt idx="14">
                  <c:v>0.1839448411435067</c:v>
                </c:pt>
                <c:pt idx="15">
                  <c:v>0.13983610870769314</c:v>
                </c:pt>
                <c:pt idx="16">
                  <c:v>0.14100331216394299</c:v>
                </c:pt>
                <c:pt idx="17">
                  <c:v>0.14487814432601748</c:v>
                </c:pt>
                <c:pt idx="18">
                  <c:v>0.13498230438301126</c:v>
                </c:pt>
                <c:pt idx="19">
                  <c:v>0.13425964585812994</c:v>
                </c:pt>
                <c:pt idx="20">
                  <c:v>0.137654417376392</c:v>
                </c:pt>
                <c:pt idx="21">
                  <c:v>0.13648393854701035</c:v>
                </c:pt>
                <c:pt idx="22">
                  <c:v>0.1313878030861646</c:v>
                </c:pt>
                <c:pt idx="23">
                  <c:v>0.13793473033935427</c:v>
                </c:pt>
                <c:pt idx="24">
                  <c:v>0.11631856028814945</c:v>
                </c:pt>
                <c:pt idx="25">
                  <c:v>0.11601994593255921</c:v>
                </c:pt>
                <c:pt idx="26">
                  <c:v>0.12408052290951468</c:v>
                </c:pt>
                <c:pt idx="27">
                  <c:v>0.12323908765325098</c:v>
                </c:pt>
                <c:pt idx="28">
                  <c:v>0.11643017508618915</c:v>
                </c:pt>
                <c:pt idx="29">
                  <c:v>0.11234486529634731</c:v>
                </c:pt>
                <c:pt idx="30">
                  <c:v>0.11438198945573842</c:v>
                </c:pt>
                <c:pt idx="31">
                  <c:v>0.12384125459056645</c:v>
                </c:pt>
                <c:pt idx="32">
                  <c:v>0.12825694572671312</c:v>
                </c:pt>
                <c:pt idx="33">
                  <c:v>0.10703277673558116</c:v>
                </c:pt>
                <c:pt idx="34">
                  <c:v>0.10973385986808465</c:v>
                </c:pt>
                <c:pt idx="35">
                  <c:v>9.6111920336075587E-2</c:v>
                </c:pt>
                <c:pt idx="36">
                  <c:v>8.387454480984767E-2</c:v>
                </c:pt>
                <c:pt idx="37">
                  <c:v>8.4201889151935286E-2</c:v>
                </c:pt>
                <c:pt idx="38">
                  <c:v>8.0818626699548909E-2</c:v>
                </c:pt>
                <c:pt idx="39">
                  <c:v>7.9879183446484717E-2</c:v>
                </c:pt>
                <c:pt idx="40">
                  <c:v>8.3159728549124831E-2</c:v>
                </c:pt>
                <c:pt idx="41">
                  <c:v>8.8750823997154518E-2</c:v>
                </c:pt>
                <c:pt idx="42">
                  <c:v>7.2702353346152257E-2</c:v>
                </c:pt>
                <c:pt idx="43">
                  <c:v>9.6677854672516203E-2</c:v>
                </c:pt>
                <c:pt idx="44">
                  <c:v>9.9321368532788987E-2</c:v>
                </c:pt>
                <c:pt idx="45">
                  <c:v>7.4975485479408563E-2</c:v>
                </c:pt>
                <c:pt idx="46">
                  <c:v>7.0528672690934061E-2</c:v>
                </c:pt>
                <c:pt idx="47">
                  <c:v>7.1716197057454495E-2</c:v>
                </c:pt>
                <c:pt idx="48">
                  <c:v>3.0653393139001509E-2</c:v>
                </c:pt>
                <c:pt idx="49">
                  <c:v>3.1858675644615787E-2</c:v>
                </c:pt>
                <c:pt idx="50">
                  <c:v>4.7150774086152456E-3</c:v>
                </c:pt>
                <c:pt idx="51">
                  <c:v>3.0903131873801584E-2</c:v>
                </c:pt>
                <c:pt idx="52">
                  <c:v>4.5783245227037132E-2</c:v>
                </c:pt>
                <c:pt idx="53">
                  <c:v>4.5364086954169769E-2</c:v>
                </c:pt>
                <c:pt idx="54">
                  <c:v>4.5059655648292958E-2</c:v>
                </c:pt>
                <c:pt idx="55">
                  <c:v>4.673381150284827E-2</c:v>
                </c:pt>
                <c:pt idx="56">
                  <c:v>3.0522158991013345E-2</c:v>
                </c:pt>
                <c:pt idx="57">
                  <c:v>2.6566673070371256E-2</c:v>
                </c:pt>
                <c:pt idx="58">
                  <c:v>4.5088246849933428E-2</c:v>
                </c:pt>
                <c:pt idx="59">
                  <c:v>4.7525436648418538E-2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6.5250355985627187E-3</c:v>
                </c:pt>
                <c:pt idx="65">
                  <c:v>0</c:v>
                </c:pt>
                <c:pt idx="66">
                  <c:v>9.5145555213067261E-3</c:v>
                </c:pt>
                <c:pt idx="67">
                  <c:v>1.2942971450399115E-2</c:v>
                </c:pt>
                <c:pt idx="68">
                  <c:v>3.4836097319576489E-3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8.5321270322286861E-4</c:v>
                </c:pt>
                <c:pt idx="166">
                  <c:v>4.2442704420511679E-3</c:v>
                </c:pt>
                <c:pt idx="167">
                  <c:v>7.720112350055921E-4</c:v>
                </c:pt>
                <c:pt idx="168">
                  <c:v>4.5034778421752374E-2</c:v>
                </c:pt>
                <c:pt idx="169">
                  <c:v>4.9841134754497599E-2</c:v>
                </c:pt>
                <c:pt idx="170">
                  <c:v>2.2042839666192544E-2</c:v>
                </c:pt>
                <c:pt idx="171">
                  <c:v>3.4094600092115929E-2</c:v>
                </c:pt>
                <c:pt idx="172">
                  <c:v>8.0386381965608267E-2</c:v>
                </c:pt>
                <c:pt idx="173">
                  <c:v>9.3216160331763456E-2</c:v>
                </c:pt>
                <c:pt idx="174">
                  <c:v>9.8963615678099776E-2</c:v>
                </c:pt>
                <c:pt idx="175">
                  <c:v>9.3949987641121308E-2</c:v>
                </c:pt>
                <c:pt idx="176">
                  <c:v>9.503914871946012E-2</c:v>
                </c:pt>
                <c:pt idx="177">
                  <c:v>8.2728329449446664E-2</c:v>
                </c:pt>
                <c:pt idx="178">
                  <c:v>7.8573791668662393E-2</c:v>
                </c:pt>
                <c:pt idx="179">
                  <c:v>8.1172696976039946E-2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48-4DD6-9913-93EBDE43A075}"/>
            </c:ext>
          </c:extLst>
        </c:ser>
        <c:ser>
          <c:idx val="3"/>
          <c:order val="2"/>
          <c:tx>
            <c:strRef>
              <c:f>TimeHarbor!$A$6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1.5289526226409856E-2</c:v>
                </c:pt>
                <c:pt idx="61">
                  <c:v>1.7272190277730654E-2</c:v>
                </c:pt>
                <c:pt idx="62">
                  <c:v>2.11204047674028E-2</c:v>
                </c:pt>
                <c:pt idx="63">
                  <c:v>2.1276342008100857E-2</c:v>
                </c:pt>
                <c:pt idx="64">
                  <c:v>5.9104783042706914E-3</c:v>
                </c:pt>
                <c:pt idx="65">
                  <c:v>0</c:v>
                </c:pt>
                <c:pt idx="66">
                  <c:v>0</c:v>
                </c:pt>
                <c:pt idx="67">
                  <c:v>1.2455577525824199E-2</c:v>
                </c:pt>
                <c:pt idx="68">
                  <c:v>1.7062678747760077E-3</c:v>
                </c:pt>
                <c:pt idx="69">
                  <c:v>3.4861416668167406E-3</c:v>
                </c:pt>
                <c:pt idx="70">
                  <c:v>4.3886460205205232E-3</c:v>
                </c:pt>
                <c:pt idx="71">
                  <c:v>2.4428496806947787E-3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1.8069065970760245E-3</c:v>
                </c:pt>
                <c:pt idx="109">
                  <c:v>0</c:v>
                </c:pt>
                <c:pt idx="110">
                  <c:v>6.1323142926931846E-3</c:v>
                </c:pt>
                <c:pt idx="111">
                  <c:v>1.1522808905267972E-2</c:v>
                </c:pt>
                <c:pt idx="112">
                  <c:v>0</c:v>
                </c:pt>
                <c:pt idx="113">
                  <c:v>0</c:v>
                </c:pt>
                <c:pt idx="114">
                  <c:v>3.5236019425881181E-3</c:v>
                </c:pt>
                <c:pt idx="115">
                  <c:v>8.1459498750359946E-3</c:v>
                </c:pt>
                <c:pt idx="116">
                  <c:v>3.47095662682304E-3</c:v>
                </c:pt>
                <c:pt idx="117">
                  <c:v>2.0716434819416169E-2</c:v>
                </c:pt>
                <c:pt idx="118">
                  <c:v>7.8548602601155697E-3</c:v>
                </c:pt>
                <c:pt idx="119">
                  <c:v>1.2491229530004908E-2</c:v>
                </c:pt>
                <c:pt idx="120">
                  <c:v>1.4001142496259432E-3</c:v>
                </c:pt>
                <c:pt idx="121">
                  <c:v>3.3140007341679501E-3</c:v>
                </c:pt>
                <c:pt idx="122">
                  <c:v>2.1206801740036932E-2</c:v>
                </c:pt>
                <c:pt idx="123">
                  <c:v>1.1231763260179434E-2</c:v>
                </c:pt>
                <c:pt idx="124">
                  <c:v>4.0926145199864983E-2</c:v>
                </c:pt>
                <c:pt idx="125">
                  <c:v>3.6144895343314977E-2</c:v>
                </c:pt>
                <c:pt idx="126">
                  <c:v>3.4533098356611253E-2</c:v>
                </c:pt>
                <c:pt idx="127">
                  <c:v>3.6577164789522582E-2</c:v>
                </c:pt>
                <c:pt idx="128">
                  <c:v>3.961841997539562E-2</c:v>
                </c:pt>
                <c:pt idx="129">
                  <c:v>4.1100323381095143E-2</c:v>
                </c:pt>
                <c:pt idx="130">
                  <c:v>4.228251313041697E-2</c:v>
                </c:pt>
                <c:pt idx="131">
                  <c:v>4.3194049073167276E-2</c:v>
                </c:pt>
                <c:pt idx="132">
                  <c:v>4.3624674543262278E-2</c:v>
                </c:pt>
                <c:pt idx="133">
                  <c:v>3.8192400891619196E-2</c:v>
                </c:pt>
                <c:pt idx="134">
                  <c:v>4.1038735943046779E-2</c:v>
                </c:pt>
                <c:pt idx="135">
                  <c:v>4.1424202651297613E-2</c:v>
                </c:pt>
                <c:pt idx="136">
                  <c:v>4.0501883693893612E-2</c:v>
                </c:pt>
                <c:pt idx="137">
                  <c:v>3.849426759297981E-2</c:v>
                </c:pt>
                <c:pt idx="138">
                  <c:v>3.3554782988634395E-2</c:v>
                </c:pt>
                <c:pt idx="139">
                  <c:v>3.1786137178418591E-2</c:v>
                </c:pt>
                <c:pt idx="140">
                  <c:v>3.2010641506823069E-2</c:v>
                </c:pt>
                <c:pt idx="141">
                  <c:v>1.6056572712162265E-2</c:v>
                </c:pt>
                <c:pt idx="142">
                  <c:v>1.451215244715574E-2</c:v>
                </c:pt>
                <c:pt idx="143">
                  <c:v>1.3872858159471195E-2</c:v>
                </c:pt>
                <c:pt idx="144">
                  <c:v>1.9399434282733281E-2</c:v>
                </c:pt>
                <c:pt idx="145">
                  <c:v>1.3032090179572093E-2</c:v>
                </c:pt>
                <c:pt idx="146">
                  <c:v>1.3642782797862383E-2</c:v>
                </c:pt>
                <c:pt idx="147">
                  <c:v>2.4785811572297201E-2</c:v>
                </c:pt>
                <c:pt idx="148">
                  <c:v>2.4047651331918472E-2</c:v>
                </c:pt>
                <c:pt idx="149">
                  <c:v>2.3096668186402547E-2</c:v>
                </c:pt>
                <c:pt idx="150">
                  <c:v>2.4848863306764713E-2</c:v>
                </c:pt>
                <c:pt idx="151">
                  <c:v>2.3460928467932664E-2</c:v>
                </c:pt>
                <c:pt idx="152">
                  <c:v>3.2485887106646641E-2</c:v>
                </c:pt>
                <c:pt idx="153">
                  <c:v>2.4954189962925116E-2</c:v>
                </c:pt>
                <c:pt idx="154">
                  <c:v>2.369246406461931E-2</c:v>
                </c:pt>
                <c:pt idx="155">
                  <c:v>2.4663082144150267E-2</c:v>
                </c:pt>
                <c:pt idx="156">
                  <c:v>2.238622095486208E-2</c:v>
                </c:pt>
                <c:pt idx="157">
                  <c:v>2.2682206061590247E-2</c:v>
                </c:pt>
                <c:pt idx="158">
                  <c:v>1.9222776351138771E-2</c:v>
                </c:pt>
                <c:pt idx="159">
                  <c:v>1.5991648796586325E-2</c:v>
                </c:pt>
                <c:pt idx="160">
                  <c:v>1.6877599810173054E-2</c:v>
                </c:pt>
                <c:pt idx="161">
                  <c:v>1.7677117207421732E-2</c:v>
                </c:pt>
                <c:pt idx="162">
                  <c:v>2.195603660476584E-2</c:v>
                </c:pt>
                <c:pt idx="163">
                  <c:v>2.2316782401770621E-2</c:v>
                </c:pt>
                <c:pt idx="164">
                  <c:v>1.9320561558769978E-2</c:v>
                </c:pt>
                <c:pt idx="165">
                  <c:v>1.681888404637168E-2</c:v>
                </c:pt>
                <c:pt idx="166">
                  <c:v>1.3720226506937371E-2</c:v>
                </c:pt>
                <c:pt idx="167">
                  <c:v>1.4790592830646003E-2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48-4DD6-9913-93EBDE43A075}"/>
            </c:ext>
          </c:extLst>
        </c:ser>
        <c:ser>
          <c:idx val="4"/>
          <c:order val="3"/>
          <c:tx>
            <c:strRef>
              <c:f>TimeHarbor!$A$7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3.4497394321801218E-2</c:v>
                </c:pt>
                <c:pt idx="87">
                  <c:v>5.2501348476225132E-2</c:v>
                </c:pt>
                <c:pt idx="88">
                  <c:v>4.7729901422630915E-2</c:v>
                </c:pt>
                <c:pt idx="89">
                  <c:v>2.2011427097125315E-2</c:v>
                </c:pt>
                <c:pt idx="90">
                  <c:v>4.9112420288378464E-2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48-4DD6-9913-93EBDE43A075}"/>
            </c:ext>
          </c:extLst>
        </c:ser>
        <c:ser>
          <c:idx val="5"/>
          <c:order val="4"/>
          <c:tx>
            <c:strRef>
              <c:f>TimeHarbor!$A$8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2.7589529987680619E-2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8.5948236528722681E-3</c:v>
                </c:pt>
                <c:pt idx="61">
                  <c:v>5.8982324087660824E-3</c:v>
                </c:pt>
                <c:pt idx="62">
                  <c:v>0</c:v>
                </c:pt>
                <c:pt idx="63">
                  <c:v>0</c:v>
                </c:pt>
                <c:pt idx="64">
                  <c:v>8.145694508116471E-3</c:v>
                </c:pt>
                <c:pt idx="65">
                  <c:v>1.5356891005062599E-2</c:v>
                </c:pt>
                <c:pt idx="66">
                  <c:v>0</c:v>
                </c:pt>
                <c:pt idx="67">
                  <c:v>5.6061509411366639E-4</c:v>
                </c:pt>
                <c:pt idx="68">
                  <c:v>1.4759314729430414E-2</c:v>
                </c:pt>
                <c:pt idx="69">
                  <c:v>5.8969855258644011E-2</c:v>
                </c:pt>
                <c:pt idx="70">
                  <c:v>5.7437135615659558E-2</c:v>
                </c:pt>
                <c:pt idx="71">
                  <c:v>6.0016676412309448E-2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1.4448419596242389E-2</c:v>
                </c:pt>
                <c:pt idx="80">
                  <c:v>2.85360404037114E-2</c:v>
                </c:pt>
                <c:pt idx="81">
                  <c:v>6.1196414442356184E-2</c:v>
                </c:pt>
                <c:pt idx="82">
                  <c:v>7.9312893819132563E-2</c:v>
                </c:pt>
                <c:pt idx="83">
                  <c:v>7.6180068460596745E-2</c:v>
                </c:pt>
                <c:pt idx="84">
                  <c:v>4.5800591415350166E-2</c:v>
                </c:pt>
                <c:pt idx="85">
                  <c:v>7.8297514579026742E-2</c:v>
                </c:pt>
                <c:pt idx="86">
                  <c:v>3.5570435345947185E-2</c:v>
                </c:pt>
                <c:pt idx="87">
                  <c:v>0</c:v>
                </c:pt>
                <c:pt idx="88">
                  <c:v>0</c:v>
                </c:pt>
                <c:pt idx="89">
                  <c:v>8.8171739480403643E-3</c:v>
                </c:pt>
                <c:pt idx="90">
                  <c:v>0</c:v>
                </c:pt>
                <c:pt idx="91">
                  <c:v>3.4211021499296015E-2</c:v>
                </c:pt>
                <c:pt idx="92">
                  <c:v>0</c:v>
                </c:pt>
                <c:pt idx="93">
                  <c:v>0</c:v>
                </c:pt>
                <c:pt idx="94">
                  <c:v>3.4683996221376336E-2</c:v>
                </c:pt>
                <c:pt idx="95">
                  <c:v>2.3802968822620352E-3</c:v>
                </c:pt>
                <c:pt idx="96">
                  <c:v>4.6052673893830623E-2</c:v>
                </c:pt>
                <c:pt idx="97">
                  <c:v>4.0360417832282836E-2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4.1596826752105923E-2</c:v>
                </c:pt>
                <c:pt idx="169">
                  <c:v>0</c:v>
                </c:pt>
                <c:pt idx="170">
                  <c:v>1.7057981231048996E-2</c:v>
                </c:pt>
                <c:pt idx="171">
                  <c:v>5.8291616161669953E-3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48-4DD6-9913-93EBDE43A075}"/>
            </c:ext>
          </c:extLst>
        </c:ser>
        <c:ser>
          <c:idx val="6"/>
          <c:order val="5"/>
          <c:tx>
            <c:strRef>
              <c:f>TimeHarbor!$A$9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1.5624023069795599E-2</c:v>
                </c:pt>
                <c:pt idx="65">
                  <c:v>2.8187884170212146E-2</c:v>
                </c:pt>
                <c:pt idx="66">
                  <c:v>3.5697259713476828E-2</c:v>
                </c:pt>
                <c:pt idx="67">
                  <c:v>1.7122850544944185E-2</c:v>
                </c:pt>
                <c:pt idx="68">
                  <c:v>2.536367873717818E-2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5.377503800338225E-3</c:v>
                </c:pt>
                <c:pt idx="90">
                  <c:v>0</c:v>
                </c:pt>
                <c:pt idx="91">
                  <c:v>6.5445471662820484E-3</c:v>
                </c:pt>
                <c:pt idx="92">
                  <c:v>1.656859229573458E-3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2.8136650627035419E-3</c:v>
                </c:pt>
                <c:pt idx="98">
                  <c:v>2.1001627710744437E-2</c:v>
                </c:pt>
                <c:pt idx="99">
                  <c:v>3.8566958658993553E-2</c:v>
                </c:pt>
                <c:pt idx="100">
                  <c:v>1.6253669850991022E-3</c:v>
                </c:pt>
                <c:pt idx="101">
                  <c:v>0</c:v>
                </c:pt>
                <c:pt idx="102">
                  <c:v>3.1083192513381031E-2</c:v>
                </c:pt>
                <c:pt idx="103">
                  <c:v>2.5921858100719931E-2</c:v>
                </c:pt>
                <c:pt idx="104">
                  <c:v>2.6319050977826761E-2</c:v>
                </c:pt>
                <c:pt idx="105">
                  <c:v>3.9638008081592492E-2</c:v>
                </c:pt>
                <c:pt idx="106">
                  <c:v>3.7004267502009913E-2</c:v>
                </c:pt>
                <c:pt idx="107">
                  <c:v>3.7137651399503015E-2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48-4DD6-9913-93EBDE43A075}"/>
            </c:ext>
          </c:extLst>
        </c:ser>
        <c:ser>
          <c:idx val="7"/>
          <c:order val="6"/>
          <c:tx>
            <c:strRef>
              <c:f>TimeHarbor!$A$10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TimeHarbor!$B$10:$FY$10</c:f>
              <c:numCache>
                <c:formatCode>General</c:formatCode>
                <c:ptCount val="180"/>
                <c:pt idx="0">
                  <c:v>9.3946505422079149E-3</c:v>
                </c:pt>
                <c:pt idx="1">
                  <c:v>1.0357051243969339E-2</c:v>
                </c:pt>
                <c:pt idx="2">
                  <c:v>6.642522300215962E-3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5.1330500178514279E-3</c:v>
                </c:pt>
                <c:pt idx="37">
                  <c:v>4.7861862294503845E-3</c:v>
                </c:pt>
                <c:pt idx="38">
                  <c:v>1.0458296466642062E-2</c:v>
                </c:pt>
                <c:pt idx="39">
                  <c:v>1.0629668151163426E-2</c:v>
                </c:pt>
                <c:pt idx="40">
                  <c:v>9.72888745257754E-3</c:v>
                </c:pt>
                <c:pt idx="41">
                  <c:v>9.4852803165606184E-3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5.6587352329479394E-3</c:v>
                </c:pt>
                <c:pt idx="90">
                  <c:v>1.2193042376307693E-3</c:v>
                </c:pt>
                <c:pt idx="91">
                  <c:v>2.4948901869272307E-3</c:v>
                </c:pt>
                <c:pt idx="92">
                  <c:v>8.8006922254564024E-3</c:v>
                </c:pt>
                <c:pt idx="93">
                  <c:v>1.3329167260660759E-3</c:v>
                </c:pt>
                <c:pt idx="94">
                  <c:v>1.6026496198487386E-3</c:v>
                </c:pt>
                <c:pt idx="95">
                  <c:v>1.4238250831759649E-4</c:v>
                </c:pt>
                <c:pt idx="96">
                  <c:v>6.0265298301758188E-3</c:v>
                </c:pt>
                <c:pt idx="97">
                  <c:v>7.4387763342742596E-3</c:v>
                </c:pt>
                <c:pt idx="98">
                  <c:v>7.1005392337780224E-3</c:v>
                </c:pt>
                <c:pt idx="99">
                  <c:v>1.3419512060455906E-3</c:v>
                </c:pt>
                <c:pt idx="100">
                  <c:v>9.3586083072142185E-3</c:v>
                </c:pt>
                <c:pt idx="101">
                  <c:v>8.5677277652615388E-3</c:v>
                </c:pt>
                <c:pt idx="102">
                  <c:v>7.3884051237250994E-3</c:v>
                </c:pt>
                <c:pt idx="103">
                  <c:v>7.3298900476255488E-3</c:v>
                </c:pt>
                <c:pt idx="104">
                  <c:v>6.6584244769886782E-3</c:v>
                </c:pt>
                <c:pt idx="105">
                  <c:v>1.1706254539493076E-2</c:v>
                </c:pt>
                <c:pt idx="106">
                  <c:v>1.3146726872525641E-2</c:v>
                </c:pt>
                <c:pt idx="107">
                  <c:v>1.2439749900185842E-2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4.8714686888079076E-2</c:v>
                </c:pt>
                <c:pt idx="169">
                  <c:v>4.6164048304361625E-2</c:v>
                </c:pt>
                <c:pt idx="170">
                  <c:v>4.1861491483864678E-2</c:v>
                </c:pt>
                <c:pt idx="171">
                  <c:v>4.2098966212340015E-2</c:v>
                </c:pt>
                <c:pt idx="172">
                  <c:v>4.4232246536524217E-2</c:v>
                </c:pt>
                <c:pt idx="173">
                  <c:v>4.5858447164786265E-2</c:v>
                </c:pt>
                <c:pt idx="174">
                  <c:v>5.7316974440066427E-2</c:v>
                </c:pt>
                <c:pt idx="175">
                  <c:v>5.8384839024756281E-2</c:v>
                </c:pt>
                <c:pt idx="176">
                  <c:v>6.0177313444501515E-2</c:v>
                </c:pt>
                <c:pt idx="177">
                  <c:v>4.9859230398356255E-2</c:v>
                </c:pt>
                <c:pt idx="178">
                  <c:v>5.645888052539335E-2</c:v>
                </c:pt>
                <c:pt idx="179">
                  <c:v>5.9657310001083097E-2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48-4DD6-9913-93EBDE43A075}"/>
            </c:ext>
          </c:extLst>
        </c:ser>
        <c:ser>
          <c:idx val="8"/>
          <c:order val="7"/>
          <c:tx>
            <c:strRef>
              <c:f>TimeHarbor!$A$11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7.7323672835629825E-3</c:v>
                </c:pt>
                <c:pt idx="78">
                  <c:v>9.8043611229052294E-2</c:v>
                </c:pt>
                <c:pt idx="79">
                  <c:v>8.5780602119116423E-2</c:v>
                </c:pt>
                <c:pt idx="80">
                  <c:v>8.4021716483620862E-2</c:v>
                </c:pt>
                <c:pt idx="81">
                  <c:v>6.5495778404319999E-2</c:v>
                </c:pt>
                <c:pt idx="82">
                  <c:v>8.4859247527158788E-2</c:v>
                </c:pt>
                <c:pt idx="83">
                  <c:v>0.10160590815606708</c:v>
                </c:pt>
                <c:pt idx="84">
                  <c:v>0.12062867264216255</c:v>
                </c:pt>
                <c:pt idx="85">
                  <c:v>0.12431650072712176</c:v>
                </c:pt>
                <c:pt idx="86">
                  <c:v>0.19337124496624244</c:v>
                </c:pt>
                <c:pt idx="87">
                  <c:v>0.25694671687921999</c:v>
                </c:pt>
                <c:pt idx="88">
                  <c:v>0.26606590736284091</c:v>
                </c:pt>
                <c:pt idx="89">
                  <c:v>0.32126608387391659</c:v>
                </c:pt>
                <c:pt idx="90">
                  <c:v>0.2649455955559174</c:v>
                </c:pt>
                <c:pt idx="91">
                  <c:v>0.23855239333327741</c:v>
                </c:pt>
                <c:pt idx="92">
                  <c:v>0.26216564603576303</c:v>
                </c:pt>
                <c:pt idx="93">
                  <c:v>0.26291390248550361</c:v>
                </c:pt>
                <c:pt idx="94">
                  <c:v>0.28940431043670711</c:v>
                </c:pt>
                <c:pt idx="95">
                  <c:v>0.25146241461875574</c:v>
                </c:pt>
                <c:pt idx="96">
                  <c:v>0.2740654028961631</c:v>
                </c:pt>
                <c:pt idx="97">
                  <c:v>0.27592861197392377</c:v>
                </c:pt>
                <c:pt idx="98">
                  <c:v>0.31922935665963253</c:v>
                </c:pt>
                <c:pt idx="99">
                  <c:v>0.32832614918145853</c:v>
                </c:pt>
                <c:pt idx="100">
                  <c:v>0.4172047177980544</c:v>
                </c:pt>
                <c:pt idx="101">
                  <c:v>0.4241814053711977</c:v>
                </c:pt>
                <c:pt idx="102">
                  <c:v>0.3400233823890666</c:v>
                </c:pt>
                <c:pt idx="103">
                  <c:v>0.30158856048048166</c:v>
                </c:pt>
                <c:pt idx="104">
                  <c:v>0.30485263140032887</c:v>
                </c:pt>
                <c:pt idx="105">
                  <c:v>0.31045023505077118</c:v>
                </c:pt>
                <c:pt idx="106">
                  <c:v>0.32950566660476205</c:v>
                </c:pt>
                <c:pt idx="107">
                  <c:v>0.33238440299792932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0.16910180202143804</c:v>
                </c:pt>
                <c:pt idx="169">
                  <c:v>0.1734867242162072</c:v>
                </c:pt>
                <c:pt idx="170">
                  <c:v>0.16946301593069271</c:v>
                </c:pt>
                <c:pt idx="171">
                  <c:v>0.17781505395502586</c:v>
                </c:pt>
                <c:pt idx="172">
                  <c:v>0.16149261879840626</c:v>
                </c:pt>
                <c:pt idx="173">
                  <c:v>0.16298620014565945</c:v>
                </c:pt>
                <c:pt idx="174">
                  <c:v>0.17351378403593493</c:v>
                </c:pt>
                <c:pt idx="175">
                  <c:v>0.18601069241839499</c:v>
                </c:pt>
                <c:pt idx="176">
                  <c:v>0.18264352653024429</c:v>
                </c:pt>
                <c:pt idx="177">
                  <c:v>0.23429019261658357</c:v>
                </c:pt>
                <c:pt idx="178">
                  <c:v>0.22490630777517559</c:v>
                </c:pt>
                <c:pt idx="179">
                  <c:v>0.20848377903252294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48-4DD6-9913-93EBDE43A075}"/>
            </c:ext>
          </c:extLst>
        </c:ser>
        <c:ser>
          <c:idx val="9"/>
          <c:order val="8"/>
          <c:tx>
            <c:strRef>
              <c:f>TimeHarbor!$A$12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TimeHarbor!$B$12:$FY$12</c:f>
              <c:numCache>
                <c:formatCode>General</c:formatCode>
                <c:ptCount val="180"/>
                <c:pt idx="0">
                  <c:v>0.65262049011225809</c:v>
                </c:pt>
                <c:pt idx="1">
                  <c:v>0.65068109726506596</c:v>
                </c:pt>
                <c:pt idx="2">
                  <c:v>0.64294020980216926</c:v>
                </c:pt>
                <c:pt idx="3">
                  <c:v>0.65367462073647087</c:v>
                </c:pt>
                <c:pt idx="4">
                  <c:v>0.66296588196757567</c:v>
                </c:pt>
                <c:pt idx="5">
                  <c:v>0.66365532865207688</c:v>
                </c:pt>
                <c:pt idx="6">
                  <c:v>0.66493293478153626</c:v>
                </c:pt>
                <c:pt idx="7">
                  <c:v>0.66985857784534575</c:v>
                </c:pt>
                <c:pt idx="8">
                  <c:v>0.67725784712563275</c:v>
                </c:pt>
                <c:pt idx="9">
                  <c:v>0.68412887794633026</c:v>
                </c:pt>
                <c:pt idx="10">
                  <c:v>0.68705830265784418</c:v>
                </c:pt>
                <c:pt idx="11">
                  <c:v>0.69472920938891347</c:v>
                </c:pt>
                <c:pt idx="12">
                  <c:v>0.62261770575888564</c:v>
                </c:pt>
                <c:pt idx="13">
                  <c:v>0.57225075665790459</c:v>
                </c:pt>
                <c:pt idx="14">
                  <c:v>0.63558691888533003</c:v>
                </c:pt>
                <c:pt idx="15">
                  <c:v>0.71703902941102549</c:v>
                </c:pt>
                <c:pt idx="16">
                  <c:v>0.71614721454357888</c:v>
                </c:pt>
                <c:pt idx="17">
                  <c:v>0.73748302985912673</c:v>
                </c:pt>
                <c:pt idx="18">
                  <c:v>0.76865891612828197</c:v>
                </c:pt>
                <c:pt idx="19">
                  <c:v>0.76730150973655153</c:v>
                </c:pt>
                <c:pt idx="20">
                  <c:v>0.7695387863129074</c:v>
                </c:pt>
                <c:pt idx="21">
                  <c:v>0.76960902573021095</c:v>
                </c:pt>
                <c:pt idx="22">
                  <c:v>0.78257920663509195</c:v>
                </c:pt>
                <c:pt idx="23">
                  <c:v>0.76626191573656333</c:v>
                </c:pt>
                <c:pt idx="24">
                  <c:v>0.77184898382474332</c:v>
                </c:pt>
                <c:pt idx="25">
                  <c:v>0.77141553779867256</c:v>
                </c:pt>
                <c:pt idx="26">
                  <c:v>0.74195273780624738</c:v>
                </c:pt>
                <c:pt idx="27">
                  <c:v>0.74207436277882755</c:v>
                </c:pt>
                <c:pt idx="28">
                  <c:v>0.75169809284393641</c:v>
                </c:pt>
                <c:pt idx="29">
                  <c:v>0.74542978720807063</c:v>
                </c:pt>
                <c:pt idx="30">
                  <c:v>0.73334008933875161</c:v>
                </c:pt>
                <c:pt idx="31">
                  <c:v>0.72441634789546516</c:v>
                </c:pt>
                <c:pt idx="32">
                  <c:v>0.71110168089945514</c:v>
                </c:pt>
                <c:pt idx="33">
                  <c:v>0.71206518441303523</c:v>
                </c:pt>
                <c:pt idx="34">
                  <c:v>0.71398031500621562</c:v>
                </c:pt>
                <c:pt idx="35">
                  <c:v>0.71670996273585896</c:v>
                </c:pt>
                <c:pt idx="36">
                  <c:v>0.65290894743925298</c:v>
                </c:pt>
                <c:pt idx="37">
                  <c:v>0.65131810930318568</c:v>
                </c:pt>
                <c:pt idx="38">
                  <c:v>0.65073150895110399</c:v>
                </c:pt>
                <c:pt idx="39">
                  <c:v>0.64990081881110762</c:v>
                </c:pt>
                <c:pt idx="40">
                  <c:v>0.63765141111099832</c:v>
                </c:pt>
                <c:pt idx="41">
                  <c:v>0.63794102210793635</c:v>
                </c:pt>
                <c:pt idx="42">
                  <c:v>0.6685337244713323</c:v>
                </c:pt>
                <c:pt idx="43">
                  <c:v>0.63664036961549697</c:v>
                </c:pt>
                <c:pt idx="44">
                  <c:v>0.64713970998409287</c:v>
                </c:pt>
                <c:pt idx="45">
                  <c:v>0.67561120307839473</c:v>
                </c:pt>
                <c:pt idx="46">
                  <c:v>0.68355182783307011</c:v>
                </c:pt>
                <c:pt idx="47">
                  <c:v>0.67210472195019355</c:v>
                </c:pt>
                <c:pt idx="48">
                  <c:v>0.72469095639713321</c:v>
                </c:pt>
                <c:pt idx="49">
                  <c:v>0.71831253161433328</c:v>
                </c:pt>
                <c:pt idx="50">
                  <c:v>0.71418066488074439</c:v>
                </c:pt>
                <c:pt idx="51">
                  <c:v>0.72076552698933738</c:v>
                </c:pt>
                <c:pt idx="52">
                  <c:v>0.71488372391146993</c:v>
                </c:pt>
                <c:pt idx="53">
                  <c:v>0.71057018316870468</c:v>
                </c:pt>
                <c:pt idx="54">
                  <c:v>0.7223861789281194</c:v>
                </c:pt>
                <c:pt idx="55">
                  <c:v>0.72538990805268788</c:v>
                </c:pt>
                <c:pt idx="56">
                  <c:v>0.73203989220864629</c:v>
                </c:pt>
                <c:pt idx="57">
                  <c:v>0.73111652211897793</c:v>
                </c:pt>
                <c:pt idx="58">
                  <c:v>0.73238560943754005</c:v>
                </c:pt>
                <c:pt idx="59">
                  <c:v>0.73055812829397715</c:v>
                </c:pt>
                <c:pt idx="60">
                  <c:v>0.77059962086302436</c:v>
                </c:pt>
                <c:pt idx="61">
                  <c:v>0.77082792254532428</c:v>
                </c:pt>
                <c:pt idx="62">
                  <c:v>0.75584513961543276</c:v>
                </c:pt>
                <c:pt idx="63">
                  <c:v>0.7575921373441179</c:v>
                </c:pt>
                <c:pt idx="64">
                  <c:v>0.78838995054126104</c:v>
                </c:pt>
                <c:pt idx="65">
                  <c:v>0.79019206308788636</c:v>
                </c:pt>
                <c:pt idx="66">
                  <c:v>0.79241470744322484</c:v>
                </c:pt>
                <c:pt idx="67">
                  <c:v>0.79365988272424071</c:v>
                </c:pt>
                <c:pt idx="68">
                  <c:v>0.79111462630330476</c:v>
                </c:pt>
                <c:pt idx="69">
                  <c:v>0.79152670861505892</c:v>
                </c:pt>
                <c:pt idx="70">
                  <c:v>0.78500028932443788</c:v>
                </c:pt>
                <c:pt idx="71">
                  <c:v>0.78463975534938135</c:v>
                </c:pt>
                <c:pt idx="72">
                  <c:v>0.82081267896751531</c:v>
                </c:pt>
                <c:pt idx="73">
                  <c:v>0.82884446758238151</c:v>
                </c:pt>
                <c:pt idx="74">
                  <c:v>0.8013577599580578</c:v>
                </c:pt>
                <c:pt idx="75">
                  <c:v>0.7510436483344114</c:v>
                </c:pt>
                <c:pt idx="76">
                  <c:v>0.75104141876750952</c:v>
                </c:pt>
                <c:pt idx="77">
                  <c:v>0.72693090005745609</c:v>
                </c:pt>
                <c:pt idx="78">
                  <c:v>0.59715522669289667</c:v>
                </c:pt>
                <c:pt idx="79">
                  <c:v>0.60914471157061811</c:v>
                </c:pt>
                <c:pt idx="80">
                  <c:v>0.60935166852850298</c:v>
                </c:pt>
                <c:pt idx="81">
                  <c:v>0.62769867370567345</c:v>
                </c:pt>
                <c:pt idx="82">
                  <c:v>0.55542045167392828</c:v>
                </c:pt>
                <c:pt idx="83">
                  <c:v>0.53417047774834381</c:v>
                </c:pt>
                <c:pt idx="84">
                  <c:v>0.5263475363326533</c:v>
                </c:pt>
                <c:pt idx="85">
                  <c:v>0.5557807109598184</c:v>
                </c:pt>
                <c:pt idx="86">
                  <c:v>0.51965271192728679</c:v>
                </c:pt>
                <c:pt idx="87">
                  <c:v>0.45887479055293129</c:v>
                </c:pt>
                <c:pt idx="88">
                  <c:v>0.44490407856467074</c:v>
                </c:pt>
                <c:pt idx="89">
                  <c:v>0.36210296987994817</c:v>
                </c:pt>
                <c:pt idx="90">
                  <c:v>0.47312845057960479</c:v>
                </c:pt>
                <c:pt idx="91">
                  <c:v>0.52936751657749515</c:v>
                </c:pt>
                <c:pt idx="92">
                  <c:v>0.54816274510153773</c:v>
                </c:pt>
                <c:pt idx="93">
                  <c:v>0.55537125006760268</c:v>
                </c:pt>
                <c:pt idx="94">
                  <c:v>0.51993997093405175</c:v>
                </c:pt>
                <c:pt idx="95">
                  <c:v>0.56246330004819867</c:v>
                </c:pt>
                <c:pt idx="96">
                  <c:v>0.55526007752352491</c:v>
                </c:pt>
                <c:pt idx="97">
                  <c:v>0.56335866824919634</c:v>
                </c:pt>
                <c:pt idx="98">
                  <c:v>0.5609008684360457</c:v>
                </c:pt>
                <c:pt idx="99">
                  <c:v>0.55331845645454247</c:v>
                </c:pt>
                <c:pt idx="100">
                  <c:v>0.52991499647325901</c:v>
                </c:pt>
                <c:pt idx="101">
                  <c:v>0.51915876233916736</c:v>
                </c:pt>
                <c:pt idx="102">
                  <c:v>0.58196099786952815</c:v>
                </c:pt>
                <c:pt idx="103">
                  <c:v>0.63491797227113755</c:v>
                </c:pt>
                <c:pt idx="104">
                  <c:v>0.63607889348300439</c:v>
                </c:pt>
                <c:pt idx="105">
                  <c:v>0.59305988512388497</c:v>
                </c:pt>
                <c:pt idx="106">
                  <c:v>0.58617281467938442</c:v>
                </c:pt>
                <c:pt idx="107">
                  <c:v>0.57822078491767825</c:v>
                </c:pt>
                <c:pt idx="108">
                  <c:v>0.88095755851065727</c:v>
                </c:pt>
                <c:pt idx="109">
                  <c:v>0.87972949912224518</c:v>
                </c:pt>
                <c:pt idx="110">
                  <c:v>0.84735557985145216</c:v>
                </c:pt>
                <c:pt idx="111">
                  <c:v>0.83315779647766608</c:v>
                </c:pt>
                <c:pt idx="112">
                  <c:v>0.83770493132380719</c:v>
                </c:pt>
                <c:pt idx="113">
                  <c:v>0.83549262100806543</c:v>
                </c:pt>
                <c:pt idx="114">
                  <c:v>0.81946731566652797</c:v>
                </c:pt>
                <c:pt idx="115">
                  <c:v>0.80755739187355735</c:v>
                </c:pt>
                <c:pt idx="116">
                  <c:v>0.81920579304045282</c:v>
                </c:pt>
                <c:pt idx="117">
                  <c:v>0.83009258998436419</c:v>
                </c:pt>
                <c:pt idx="118">
                  <c:v>0.85061458319578487</c:v>
                </c:pt>
                <c:pt idx="119">
                  <c:v>0.8409881620367331</c:v>
                </c:pt>
                <c:pt idx="120">
                  <c:v>0.8552317728298825</c:v>
                </c:pt>
                <c:pt idx="121">
                  <c:v>0.84283060145316602</c:v>
                </c:pt>
                <c:pt idx="122">
                  <c:v>0.82309697995455511</c:v>
                </c:pt>
                <c:pt idx="123">
                  <c:v>0.79428802846074409</c:v>
                </c:pt>
                <c:pt idx="124">
                  <c:v>0.76953432334704619</c:v>
                </c:pt>
                <c:pt idx="125">
                  <c:v>0.76740620278386695</c:v>
                </c:pt>
                <c:pt idx="126">
                  <c:v>0.76845406184457699</c:v>
                </c:pt>
                <c:pt idx="127">
                  <c:v>0.75909239656261118</c:v>
                </c:pt>
                <c:pt idx="128">
                  <c:v>0.75571255601228093</c:v>
                </c:pt>
                <c:pt idx="129">
                  <c:v>0.76712439753731254</c:v>
                </c:pt>
                <c:pt idx="130">
                  <c:v>0.76486547223296042</c:v>
                </c:pt>
                <c:pt idx="131">
                  <c:v>0.77217613899971183</c:v>
                </c:pt>
                <c:pt idx="132">
                  <c:v>0.77322387567806594</c:v>
                </c:pt>
                <c:pt idx="133">
                  <c:v>0.78604197435637724</c:v>
                </c:pt>
                <c:pt idx="134">
                  <c:v>0.78597509207001237</c:v>
                </c:pt>
                <c:pt idx="135">
                  <c:v>0.784011308954353</c:v>
                </c:pt>
                <c:pt idx="136">
                  <c:v>0.7827868076259179</c:v>
                </c:pt>
                <c:pt idx="137">
                  <c:v>0.78215460229186895</c:v>
                </c:pt>
                <c:pt idx="138">
                  <c:v>0.78901309979641177</c:v>
                </c:pt>
                <c:pt idx="139">
                  <c:v>0.79182878362495945</c:v>
                </c:pt>
                <c:pt idx="140">
                  <c:v>0.77773695733468917</c:v>
                </c:pt>
                <c:pt idx="141">
                  <c:v>0.75898968175393744</c:v>
                </c:pt>
                <c:pt idx="142">
                  <c:v>0.75848736526212013</c:v>
                </c:pt>
                <c:pt idx="143">
                  <c:v>0.75931755593084127</c:v>
                </c:pt>
                <c:pt idx="144">
                  <c:v>0.73225453393796025</c:v>
                </c:pt>
                <c:pt idx="145">
                  <c:v>0.72582597463442999</c:v>
                </c:pt>
                <c:pt idx="146">
                  <c:v>0.72711522637627779</c:v>
                </c:pt>
                <c:pt idx="147">
                  <c:v>0.75060628518218586</c:v>
                </c:pt>
                <c:pt idx="148">
                  <c:v>0.74933635126781351</c:v>
                </c:pt>
                <c:pt idx="149">
                  <c:v>0.7448967769735283</c:v>
                </c:pt>
                <c:pt idx="150">
                  <c:v>0.74816442076443379</c:v>
                </c:pt>
                <c:pt idx="151">
                  <c:v>0.75289652338043245</c:v>
                </c:pt>
                <c:pt idx="152">
                  <c:v>0.75415612613897376</c:v>
                </c:pt>
                <c:pt idx="153">
                  <c:v>0.75246446272800949</c:v>
                </c:pt>
                <c:pt idx="154">
                  <c:v>0.76387071735724632</c:v>
                </c:pt>
                <c:pt idx="155">
                  <c:v>0.77032115051647942</c:v>
                </c:pt>
                <c:pt idx="156">
                  <c:v>0.76511804180500043</c:v>
                </c:pt>
                <c:pt idx="157">
                  <c:v>0.7653728986385101</c:v>
                </c:pt>
                <c:pt idx="158">
                  <c:v>0.74799226680621644</c:v>
                </c:pt>
                <c:pt idx="159">
                  <c:v>0.75681295918204072</c:v>
                </c:pt>
                <c:pt idx="160">
                  <c:v>0.74817432568746567</c:v>
                </c:pt>
                <c:pt idx="161">
                  <c:v>0.74585437609406535</c:v>
                </c:pt>
                <c:pt idx="162">
                  <c:v>0.7380710695646272</c:v>
                </c:pt>
                <c:pt idx="163">
                  <c:v>0.73803424848901455</c:v>
                </c:pt>
                <c:pt idx="164">
                  <c:v>0.73460472004343103</c:v>
                </c:pt>
                <c:pt idx="165">
                  <c:v>0.74069711445355113</c:v>
                </c:pt>
                <c:pt idx="166">
                  <c:v>0.74204268826504916</c:v>
                </c:pt>
                <c:pt idx="167">
                  <c:v>0.74023126924353932</c:v>
                </c:pt>
                <c:pt idx="168">
                  <c:v>0.63220767718034121</c:v>
                </c:pt>
                <c:pt idx="169">
                  <c:v>0.63313425334441442</c:v>
                </c:pt>
                <c:pt idx="170">
                  <c:v>0.64807349815389204</c:v>
                </c:pt>
                <c:pt idx="171">
                  <c:v>0.65285541736549513</c:v>
                </c:pt>
                <c:pt idx="172">
                  <c:v>0.66284882048045846</c:v>
                </c:pt>
                <c:pt idx="173">
                  <c:v>0.65826251927240986</c:v>
                </c:pt>
                <c:pt idx="174">
                  <c:v>0.61760092214412732</c:v>
                </c:pt>
                <c:pt idx="175">
                  <c:v>0.59746265883862648</c:v>
                </c:pt>
                <c:pt idx="176">
                  <c:v>0.59505091121013787</c:v>
                </c:pt>
                <c:pt idx="177">
                  <c:v>0.52481817772924033</c:v>
                </c:pt>
                <c:pt idx="178">
                  <c:v>0.51499914735562913</c:v>
                </c:pt>
                <c:pt idx="179">
                  <c:v>0.51648809363302539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048-4DD6-9913-93EBDE43A075}"/>
            </c:ext>
          </c:extLst>
        </c:ser>
        <c:ser>
          <c:idx val="10"/>
          <c:order val="9"/>
          <c:tx>
            <c:strRef>
              <c:f>TimeHarbor!$A$13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5.4475054883988267E-5</c:v>
                </c:pt>
                <c:pt idx="77">
                  <c:v>0</c:v>
                </c:pt>
                <c:pt idx="78">
                  <c:v>1.743504080645816E-2</c:v>
                </c:pt>
                <c:pt idx="79">
                  <c:v>3.5061978593995673E-2</c:v>
                </c:pt>
                <c:pt idx="80">
                  <c:v>4.5549094472093439E-2</c:v>
                </c:pt>
                <c:pt idx="81">
                  <c:v>6.3008631179518909E-2</c:v>
                </c:pt>
                <c:pt idx="82">
                  <c:v>0.10568485542502357</c:v>
                </c:pt>
                <c:pt idx="83">
                  <c:v>0.15441148155102816</c:v>
                </c:pt>
                <c:pt idx="84">
                  <c:v>0.1374711363974766</c:v>
                </c:pt>
                <c:pt idx="85">
                  <c:v>0.11266225782866034</c:v>
                </c:pt>
                <c:pt idx="86">
                  <c:v>0.13445416314647821</c:v>
                </c:pt>
                <c:pt idx="87">
                  <c:v>0.13334000379115549</c:v>
                </c:pt>
                <c:pt idx="88">
                  <c:v>0.15276293883045436</c:v>
                </c:pt>
                <c:pt idx="89">
                  <c:v>0.15842814195424579</c:v>
                </c:pt>
                <c:pt idx="90">
                  <c:v>0.10957644929330293</c:v>
                </c:pt>
                <c:pt idx="91">
                  <c:v>6.6462163857096482E-2</c:v>
                </c:pt>
                <c:pt idx="92">
                  <c:v>4.6791047305044679E-2</c:v>
                </c:pt>
                <c:pt idx="93">
                  <c:v>2.747128343608303E-2</c:v>
                </c:pt>
                <c:pt idx="94">
                  <c:v>4.8249386469569264E-2</c:v>
                </c:pt>
                <c:pt idx="95">
                  <c:v>3.6551596383772013E-2</c:v>
                </c:pt>
                <c:pt idx="96">
                  <c:v>3.8871178760132137E-2</c:v>
                </c:pt>
                <c:pt idx="97">
                  <c:v>2.6889844495781551E-2</c:v>
                </c:pt>
                <c:pt idx="98">
                  <c:v>4.0232381638389885E-3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4.33999303890986E-3</c:v>
                </c:pt>
                <c:pt idx="175">
                  <c:v>9.9092712913493898E-3</c:v>
                </c:pt>
                <c:pt idx="176">
                  <c:v>1.0534010312660633E-2</c:v>
                </c:pt>
                <c:pt idx="177">
                  <c:v>2.1130991572592964E-2</c:v>
                </c:pt>
                <c:pt idx="178">
                  <c:v>3.4790919073267278E-2</c:v>
                </c:pt>
                <c:pt idx="179">
                  <c:v>4.467225849739883E-2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48-4DD6-9913-93EBDE43A075}"/>
            </c:ext>
          </c:extLst>
        </c:ser>
        <c:ser>
          <c:idx val="11"/>
          <c:order val="10"/>
          <c:tx>
            <c:strRef>
              <c:f>TimeHarbor!$A$14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048-4DD6-9913-93EBDE43A075}"/>
            </c:ext>
          </c:extLst>
        </c:ser>
        <c:ser>
          <c:idx val="12"/>
          <c:order val="11"/>
          <c:tx>
            <c:strRef>
              <c:f>TimeHarbor!$A$15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TimeHarbor!$B$15:$FY$15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6.6804071652048089E-2</c:v>
                </c:pt>
                <c:pt idx="13">
                  <c:v>0.11092365487340629</c:v>
                </c:pt>
                <c:pt idx="14">
                  <c:v>6.7980747732687363E-2</c:v>
                </c:pt>
                <c:pt idx="15">
                  <c:v>3.6654146798519908E-2</c:v>
                </c:pt>
                <c:pt idx="16">
                  <c:v>4.3053154849900757E-2</c:v>
                </c:pt>
                <c:pt idx="17">
                  <c:v>3.3798529778092369E-2</c:v>
                </c:pt>
                <c:pt idx="18">
                  <c:v>2.9827617812487595E-2</c:v>
                </c:pt>
                <c:pt idx="19">
                  <c:v>3.4649598466463719E-2</c:v>
                </c:pt>
                <c:pt idx="20">
                  <c:v>2.5545870930999963E-2</c:v>
                </c:pt>
                <c:pt idx="21">
                  <c:v>2.1271760084141309E-2</c:v>
                </c:pt>
                <c:pt idx="22">
                  <c:v>2.0574584114270888E-2</c:v>
                </c:pt>
                <c:pt idx="23">
                  <c:v>3.0503236271371456E-2</c:v>
                </c:pt>
                <c:pt idx="24">
                  <c:v>3.4093227486458939E-2</c:v>
                </c:pt>
                <c:pt idx="25">
                  <c:v>3.4839188529471633E-2</c:v>
                </c:pt>
                <c:pt idx="26">
                  <c:v>5.3995934939605812E-2</c:v>
                </c:pt>
                <c:pt idx="27">
                  <c:v>5.4662942686046684E-2</c:v>
                </c:pt>
                <c:pt idx="28">
                  <c:v>5.3245929567482198E-2</c:v>
                </c:pt>
                <c:pt idx="29">
                  <c:v>6.1233201560506365E-2</c:v>
                </c:pt>
                <c:pt idx="30">
                  <c:v>7.2260274661188173E-2</c:v>
                </c:pt>
                <c:pt idx="31">
                  <c:v>8.0028009892716828E-2</c:v>
                </c:pt>
                <c:pt idx="32">
                  <c:v>8.632747624049518E-2</c:v>
                </c:pt>
                <c:pt idx="33">
                  <c:v>0.10076796354110393</c:v>
                </c:pt>
                <c:pt idx="34">
                  <c:v>9.8488989375169866E-2</c:v>
                </c:pt>
                <c:pt idx="35">
                  <c:v>0.10906566017338166</c:v>
                </c:pt>
                <c:pt idx="36">
                  <c:v>0.18709945429838945</c:v>
                </c:pt>
                <c:pt idx="37">
                  <c:v>0.1883268347622781</c:v>
                </c:pt>
                <c:pt idx="38">
                  <c:v>0.18652555246926616</c:v>
                </c:pt>
                <c:pt idx="39">
                  <c:v>0.18801105168974813</c:v>
                </c:pt>
                <c:pt idx="40">
                  <c:v>0.19507752475148837</c:v>
                </c:pt>
                <c:pt idx="41">
                  <c:v>0.18877297844725713</c:v>
                </c:pt>
                <c:pt idx="42">
                  <c:v>0.18694101932652393</c:v>
                </c:pt>
                <c:pt idx="43">
                  <c:v>0.1847092297542928</c:v>
                </c:pt>
                <c:pt idx="44">
                  <c:v>0.16274195407665451</c:v>
                </c:pt>
                <c:pt idx="45">
                  <c:v>0.16227873028632139</c:v>
                </c:pt>
                <c:pt idx="46">
                  <c:v>0.14973548884561125</c:v>
                </c:pt>
                <c:pt idx="47">
                  <c:v>0.15528916041805665</c:v>
                </c:pt>
                <c:pt idx="48">
                  <c:v>0.1920721103057797</c:v>
                </c:pt>
                <c:pt idx="49">
                  <c:v>0.19090541520564303</c:v>
                </c:pt>
                <c:pt idx="50">
                  <c:v>0.19411778376016231</c:v>
                </c:pt>
                <c:pt idx="51">
                  <c:v>0.19170139385157836</c:v>
                </c:pt>
                <c:pt idx="52">
                  <c:v>0.17844069671236842</c:v>
                </c:pt>
                <c:pt idx="53">
                  <c:v>0.17973960092027924</c:v>
                </c:pt>
                <c:pt idx="54">
                  <c:v>0.17747575721153788</c:v>
                </c:pt>
                <c:pt idx="55">
                  <c:v>0.17237942525900904</c:v>
                </c:pt>
                <c:pt idx="56">
                  <c:v>0.18455264348836981</c:v>
                </c:pt>
                <c:pt idx="57">
                  <c:v>0.18570966383657253</c:v>
                </c:pt>
                <c:pt idx="58">
                  <c:v>0.18343287414625145</c:v>
                </c:pt>
                <c:pt idx="59">
                  <c:v>0.18524867402730946</c:v>
                </c:pt>
                <c:pt idx="60">
                  <c:v>0.18190528756188834</c:v>
                </c:pt>
                <c:pt idx="61">
                  <c:v>0.18084227285452847</c:v>
                </c:pt>
                <c:pt idx="62">
                  <c:v>0.20037660503227919</c:v>
                </c:pt>
                <c:pt idx="63">
                  <c:v>0.19677133111659992</c:v>
                </c:pt>
                <c:pt idx="64">
                  <c:v>0.16952249218013593</c:v>
                </c:pt>
                <c:pt idx="65">
                  <c:v>0.16626316173683861</c:v>
                </c:pt>
                <c:pt idx="66">
                  <c:v>0.16237410085708012</c:v>
                </c:pt>
                <c:pt idx="67">
                  <c:v>0.15957862567236603</c:v>
                </c:pt>
                <c:pt idx="68">
                  <c:v>0.15711331175122886</c:v>
                </c:pt>
                <c:pt idx="69">
                  <c:v>0.1460172944594802</c:v>
                </c:pt>
                <c:pt idx="70">
                  <c:v>0.15317392903938171</c:v>
                </c:pt>
                <c:pt idx="71">
                  <c:v>0.1529017185576142</c:v>
                </c:pt>
                <c:pt idx="72">
                  <c:v>9.6417354186469517E-2</c:v>
                </c:pt>
                <c:pt idx="73">
                  <c:v>6.688117378077657E-2</c:v>
                </c:pt>
                <c:pt idx="74">
                  <c:v>8.6701625958863535E-2</c:v>
                </c:pt>
                <c:pt idx="75">
                  <c:v>0.10018740503416035</c:v>
                </c:pt>
                <c:pt idx="76">
                  <c:v>9.324914959358345E-2</c:v>
                </c:pt>
                <c:pt idx="77">
                  <c:v>9.3726016152945998E-2</c:v>
                </c:pt>
                <c:pt idx="78">
                  <c:v>0.12808226794669961</c:v>
                </c:pt>
                <c:pt idx="79">
                  <c:v>9.7174102109404553E-2</c:v>
                </c:pt>
                <c:pt idx="80">
                  <c:v>9.1297685861778097E-2</c:v>
                </c:pt>
                <c:pt idx="81">
                  <c:v>7.8052149300535417E-2</c:v>
                </c:pt>
                <c:pt idx="82">
                  <c:v>6.5827966901850291E-2</c:v>
                </c:pt>
                <c:pt idx="83">
                  <c:v>3.3593243415251488E-2</c:v>
                </c:pt>
                <c:pt idx="84">
                  <c:v>4.3907123136541437E-2</c:v>
                </c:pt>
                <c:pt idx="85">
                  <c:v>2.4976103244273521E-2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048-4DD6-9913-93EBDE43A075}"/>
            </c:ext>
          </c:extLst>
        </c:ser>
        <c:ser>
          <c:idx val="13"/>
          <c:order val="12"/>
          <c:tx>
            <c:strRef>
              <c:f>TimeHarbor!$A$16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TimeHarbor!$B$16:$FY$16</c:f>
              <c:numCache>
                <c:formatCode>General</c:formatCode>
                <c:ptCount val="180"/>
                <c:pt idx="0">
                  <c:v>2.1593648899155015E-3</c:v>
                </c:pt>
                <c:pt idx="1">
                  <c:v>3.3479028344406731E-3</c:v>
                </c:pt>
                <c:pt idx="2">
                  <c:v>1.2207396046867618E-2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048-4DD6-9913-93EBDE43A075}"/>
            </c:ext>
          </c:extLst>
        </c:ser>
        <c:ser>
          <c:idx val="14"/>
          <c:order val="13"/>
          <c:tx>
            <c:strRef>
              <c:f>TimeHarbor!$A$17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3.5021225165684046E-2</c:v>
                </c:pt>
                <c:pt idx="90">
                  <c:v>4.0146125708778657E-3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1.437356805155836E-2</c:v>
                </c:pt>
                <c:pt idx="111">
                  <c:v>2.7232223306666831E-2</c:v>
                </c:pt>
                <c:pt idx="112">
                  <c:v>4.7765508759107497E-2</c:v>
                </c:pt>
                <c:pt idx="113">
                  <c:v>4.8592243645850353E-2</c:v>
                </c:pt>
                <c:pt idx="114">
                  <c:v>5.3635480349858725E-2</c:v>
                </c:pt>
                <c:pt idx="115">
                  <c:v>6.1218998080124286E-2</c:v>
                </c:pt>
                <c:pt idx="116">
                  <c:v>3.9901630903537301E-2</c:v>
                </c:pt>
                <c:pt idx="117">
                  <c:v>1.3216538829331905E-2</c:v>
                </c:pt>
                <c:pt idx="118">
                  <c:v>3.8154656852521229E-3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1.2763502877509752E-2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2.8554327213526211E-3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2.0151894872990289E-3</c:v>
                </c:pt>
                <c:pt idx="155">
                  <c:v>1.8088392522354124E-4</c:v>
                </c:pt>
                <c:pt idx="156">
                  <c:v>6.7202822185073929E-3</c:v>
                </c:pt>
                <c:pt idx="157">
                  <c:v>1.0173094732812244E-2</c:v>
                </c:pt>
                <c:pt idx="158">
                  <c:v>1.0195732498979981E-2</c:v>
                </c:pt>
                <c:pt idx="159">
                  <c:v>3.1715092880827359E-3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5.4013305590095619E-3</c:v>
                </c:pt>
                <c:pt idx="165">
                  <c:v>4.9716050470598478E-3</c:v>
                </c:pt>
                <c:pt idx="166">
                  <c:v>1.0099764085593339E-2</c:v>
                </c:pt>
                <c:pt idx="167">
                  <c:v>1.0390409458209923E-2</c:v>
                </c:pt>
                <c:pt idx="168">
                  <c:v>5.0597883863562093E-2</c:v>
                </c:pt>
                <c:pt idx="169">
                  <c:v>5.1989401145128879E-2</c:v>
                </c:pt>
                <c:pt idx="170">
                  <c:v>4.5723114637107369E-2</c:v>
                </c:pt>
                <c:pt idx="171">
                  <c:v>3.6926472192031316E-2</c:v>
                </c:pt>
                <c:pt idx="172">
                  <c:v>3.7931006415498458E-2</c:v>
                </c:pt>
                <c:pt idx="173">
                  <c:v>3.9676673085380698E-2</c:v>
                </c:pt>
                <c:pt idx="174">
                  <c:v>4.8264710662861303E-2</c:v>
                </c:pt>
                <c:pt idx="175">
                  <c:v>5.4283416584864061E-2</c:v>
                </c:pt>
                <c:pt idx="176">
                  <c:v>5.6556089782995367E-2</c:v>
                </c:pt>
                <c:pt idx="177">
                  <c:v>8.6917183064797357E-2</c:v>
                </c:pt>
                <c:pt idx="178">
                  <c:v>8.48574246833394E-2</c:v>
                </c:pt>
                <c:pt idx="179">
                  <c:v>8.5750865655700739E-2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048-4DD6-9913-93EBDE43A075}"/>
            </c:ext>
          </c:extLst>
        </c:ser>
        <c:ser>
          <c:idx val="15"/>
          <c:order val="14"/>
          <c:tx>
            <c:strRef>
              <c:f>TimeHarbor!$A$18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TimeHarbor!$B$18:$FY$18</c:f>
              <c:numCache>
                <c:formatCode>General</c:formatCode>
                <c:ptCount val="180"/>
                <c:pt idx="0">
                  <c:v>9.0180180743443264E-2</c:v>
                </c:pt>
                <c:pt idx="1">
                  <c:v>8.9607339048430559E-2</c:v>
                </c:pt>
                <c:pt idx="2">
                  <c:v>8.2673044739851528E-2</c:v>
                </c:pt>
                <c:pt idx="3">
                  <c:v>8.6459871011326267E-2</c:v>
                </c:pt>
                <c:pt idx="4">
                  <c:v>0.10230281416298638</c:v>
                </c:pt>
                <c:pt idx="5">
                  <c:v>0.101282976582176</c:v>
                </c:pt>
                <c:pt idx="6">
                  <c:v>9.8334028277507715E-2</c:v>
                </c:pt>
                <c:pt idx="7">
                  <c:v>0.10099471295908638</c:v>
                </c:pt>
                <c:pt idx="8">
                  <c:v>9.2417800299313319E-2</c:v>
                </c:pt>
                <c:pt idx="9">
                  <c:v>9.6275029727248079E-2</c:v>
                </c:pt>
                <c:pt idx="10">
                  <c:v>9.5600604516233686E-2</c:v>
                </c:pt>
                <c:pt idx="11">
                  <c:v>9.0449820667926145E-2</c:v>
                </c:pt>
                <c:pt idx="12">
                  <c:v>7.7345682310038175E-2</c:v>
                </c:pt>
                <c:pt idx="13">
                  <c:v>8.5029344839802776E-2</c:v>
                </c:pt>
                <c:pt idx="14">
                  <c:v>7.9232297351500156E-2</c:v>
                </c:pt>
                <c:pt idx="15">
                  <c:v>6.0310684060002687E-2</c:v>
                </c:pt>
                <c:pt idx="16">
                  <c:v>5.8675757007401054E-2</c:v>
                </c:pt>
                <c:pt idx="17">
                  <c:v>5.4734420331657874E-2</c:v>
                </c:pt>
                <c:pt idx="18">
                  <c:v>4.8008932370394032E-2</c:v>
                </c:pt>
                <c:pt idx="19">
                  <c:v>4.802335442945075E-2</c:v>
                </c:pt>
                <c:pt idx="20">
                  <c:v>5.0779982970650145E-2</c:v>
                </c:pt>
                <c:pt idx="21">
                  <c:v>5.563649471285622E-2</c:v>
                </c:pt>
                <c:pt idx="22">
                  <c:v>4.9455239128773018E-2</c:v>
                </c:pt>
                <c:pt idx="23">
                  <c:v>5.2140142553931977E-2</c:v>
                </c:pt>
                <c:pt idx="24">
                  <c:v>5.0668007936306811E-2</c:v>
                </c:pt>
                <c:pt idx="25">
                  <c:v>5.0567473346434799E-2</c:v>
                </c:pt>
                <c:pt idx="26">
                  <c:v>5.344110588607965E-2</c:v>
                </c:pt>
                <c:pt idx="27">
                  <c:v>5.2754117749362048E-2</c:v>
                </c:pt>
                <c:pt idx="28">
                  <c:v>4.8964899232082797E-2</c:v>
                </c:pt>
                <c:pt idx="29">
                  <c:v>4.7468624867380141E-2</c:v>
                </c:pt>
                <c:pt idx="30">
                  <c:v>4.9181288379563252E-2</c:v>
                </c:pt>
                <c:pt idx="31">
                  <c:v>5.2364987254958202E-2</c:v>
                </c:pt>
                <c:pt idx="32">
                  <c:v>5.3864491360862431E-2</c:v>
                </c:pt>
                <c:pt idx="33">
                  <c:v>5.4061171709856547E-2</c:v>
                </c:pt>
                <c:pt idx="34">
                  <c:v>5.6249097846413951E-2</c:v>
                </c:pt>
                <c:pt idx="35">
                  <c:v>6.122652017768649E-2</c:v>
                </c:pt>
                <c:pt idx="36">
                  <c:v>7.0984003434658549E-2</c:v>
                </c:pt>
                <c:pt idx="37">
                  <c:v>7.1366980553150453E-2</c:v>
                </c:pt>
                <c:pt idx="38">
                  <c:v>7.1467015413438403E-2</c:v>
                </c:pt>
                <c:pt idx="39">
                  <c:v>7.1579277901495972E-2</c:v>
                </c:pt>
                <c:pt idx="40">
                  <c:v>7.4382448135811019E-2</c:v>
                </c:pt>
                <c:pt idx="41">
                  <c:v>7.505089513109113E-2</c:v>
                </c:pt>
                <c:pt idx="42">
                  <c:v>7.1823765278817592E-2</c:v>
                </c:pt>
                <c:pt idx="43">
                  <c:v>8.1973545957693766E-2</c:v>
                </c:pt>
                <c:pt idx="44">
                  <c:v>9.07969674064633E-2</c:v>
                </c:pt>
                <c:pt idx="45">
                  <c:v>8.7135581155875219E-2</c:v>
                </c:pt>
                <c:pt idx="46">
                  <c:v>9.6184064908491212E-2</c:v>
                </c:pt>
                <c:pt idx="47">
                  <c:v>0.10088992057429522</c:v>
                </c:pt>
                <c:pt idx="48">
                  <c:v>5.2584540158085225E-2</c:v>
                </c:pt>
                <c:pt idx="49">
                  <c:v>5.8924377535407538E-2</c:v>
                </c:pt>
                <c:pt idx="50">
                  <c:v>5.9396943962797238E-2</c:v>
                </c:pt>
                <c:pt idx="51">
                  <c:v>5.6630947285282188E-2</c:v>
                </c:pt>
                <c:pt idx="52">
                  <c:v>6.089233414912408E-2</c:v>
                </c:pt>
                <c:pt idx="53">
                  <c:v>6.4326128956846224E-2</c:v>
                </c:pt>
                <c:pt idx="54">
                  <c:v>5.5079408212049499E-2</c:v>
                </c:pt>
                <c:pt idx="55">
                  <c:v>5.5497855185454754E-2</c:v>
                </c:pt>
                <c:pt idx="56">
                  <c:v>5.288530531197011E-2</c:v>
                </c:pt>
                <c:pt idx="57">
                  <c:v>5.6608140974077917E-2</c:v>
                </c:pt>
                <c:pt idx="58">
                  <c:v>3.9093269566274957E-2</c:v>
                </c:pt>
                <c:pt idx="59">
                  <c:v>3.6667761030294614E-2</c:v>
                </c:pt>
                <c:pt idx="60">
                  <c:v>2.3610741695805328E-2</c:v>
                </c:pt>
                <c:pt idx="61">
                  <c:v>2.515938191365031E-2</c:v>
                </c:pt>
                <c:pt idx="62">
                  <c:v>2.2657850584885283E-2</c:v>
                </c:pt>
                <c:pt idx="63">
                  <c:v>2.4360189531181166E-2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6.919565224120692E-4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4.2897458033826552E-2</c:v>
                </c:pt>
                <c:pt idx="73">
                  <c:v>4.8604999145775499E-2</c:v>
                </c:pt>
                <c:pt idx="74">
                  <c:v>5.0568490417423194E-2</c:v>
                </c:pt>
                <c:pt idx="75">
                  <c:v>5.8632377730029259E-2</c:v>
                </c:pt>
                <c:pt idx="76">
                  <c:v>6.532097256437322E-2</c:v>
                </c:pt>
                <c:pt idx="77">
                  <c:v>8.6094149808097251E-2</c:v>
                </c:pt>
                <c:pt idx="78">
                  <c:v>8.1827582362251558E-2</c:v>
                </c:pt>
                <c:pt idx="79">
                  <c:v>8.4158207607962388E-2</c:v>
                </c:pt>
                <c:pt idx="80">
                  <c:v>8.1410375550378E-2</c:v>
                </c:pt>
                <c:pt idx="81">
                  <c:v>7.3160184885773971E-2</c:v>
                </c:pt>
                <c:pt idx="82">
                  <c:v>9.6903679961349007E-2</c:v>
                </c:pt>
                <c:pt idx="83">
                  <c:v>8.8830133558098254E-2</c:v>
                </c:pt>
                <c:pt idx="84">
                  <c:v>8.5373009088724985E-2</c:v>
                </c:pt>
                <c:pt idx="85">
                  <c:v>9.2174821432171705E-2</c:v>
                </c:pt>
                <c:pt idx="86">
                  <c:v>8.2454050292243897E-2</c:v>
                </c:pt>
                <c:pt idx="87">
                  <c:v>9.8337140300467807E-2</c:v>
                </c:pt>
                <c:pt idx="88">
                  <c:v>8.8537173819402584E-2</c:v>
                </c:pt>
                <c:pt idx="89">
                  <c:v>8.1316739047753481E-2</c:v>
                </c:pt>
                <c:pt idx="90">
                  <c:v>9.8003904382080148E-2</c:v>
                </c:pt>
                <c:pt idx="91">
                  <c:v>0.1170795723831738</c:v>
                </c:pt>
                <c:pt idx="92">
                  <c:v>0.1069106679740771</c:v>
                </c:pt>
                <c:pt idx="93">
                  <c:v>0.10461980637092222</c:v>
                </c:pt>
                <c:pt idx="94">
                  <c:v>0.10275460108309818</c:v>
                </c:pt>
                <c:pt idx="95">
                  <c:v>9.4247370088677687E-2</c:v>
                </c:pt>
                <c:pt idx="96">
                  <c:v>7.9724137096173209E-2</c:v>
                </c:pt>
                <c:pt idx="97">
                  <c:v>8.0362074736104433E-2</c:v>
                </c:pt>
                <c:pt idx="98">
                  <c:v>8.0123582744654656E-2</c:v>
                </c:pt>
                <c:pt idx="99">
                  <c:v>7.7833249679891831E-2</c:v>
                </c:pt>
                <c:pt idx="100">
                  <c:v>4.1896719027178016E-2</c:v>
                </c:pt>
                <c:pt idx="101">
                  <c:v>4.8092104524373069E-2</c:v>
                </c:pt>
                <c:pt idx="102">
                  <c:v>3.9544022104299019E-2</c:v>
                </c:pt>
                <c:pt idx="103">
                  <c:v>3.0242719100035148E-2</c:v>
                </c:pt>
                <c:pt idx="104">
                  <c:v>2.6090999661851015E-2</c:v>
                </c:pt>
                <c:pt idx="105">
                  <c:v>3.4393398293559814E-2</c:v>
                </c:pt>
                <c:pt idx="106">
                  <c:v>3.4015170957416692E-2</c:v>
                </c:pt>
                <c:pt idx="107">
                  <c:v>3.2411397336665343E-2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8.7674919335665943E-3</c:v>
                </c:pt>
                <c:pt idx="148">
                  <c:v>1.1619833675229042E-2</c:v>
                </c:pt>
                <c:pt idx="149">
                  <c:v>1.4960235866985869E-2</c:v>
                </c:pt>
                <c:pt idx="150">
                  <c:v>1.6252485506859159E-2</c:v>
                </c:pt>
                <c:pt idx="151">
                  <c:v>1.5398338391886668E-2</c:v>
                </c:pt>
                <c:pt idx="152">
                  <c:v>1.4900117918300313E-2</c:v>
                </c:pt>
                <c:pt idx="153">
                  <c:v>1.7887001935835239E-2</c:v>
                </c:pt>
                <c:pt idx="154">
                  <c:v>2.1510682585550635E-2</c:v>
                </c:pt>
                <c:pt idx="155">
                  <c:v>1.8067624752823329E-2</c:v>
                </c:pt>
                <c:pt idx="156">
                  <c:v>1.6732898890325462E-2</c:v>
                </c:pt>
                <c:pt idx="157">
                  <c:v>1.2783562004971471E-2</c:v>
                </c:pt>
                <c:pt idx="158">
                  <c:v>1.412102513896037E-2</c:v>
                </c:pt>
                <c:pt idx="159">
                  <c:v>1.2574876334161936E-2</c:v>
                </c:pt>
                <c:pt idx="160">
                  <c:v>1.3881426915646561E-2</c:v>
                </c:pt>
                <c:pt idx="161">
                  <c:v>1.2302962153268164E-2</c:v>
                </c:pt>
                <c:pt idx="162">
                  <c:v>2.0983168583443942E-2</c:v>
                </c:pt>
                <c:pt idx="163">
                  <c:v>2.1544156164641986E-2</c:v>
                </c:pt>
                <c:pt idx="164">
                  <c:v>1.7442895975430903E-2</c:v>
                </c:pt>
                <c:pt idx="165">
                  <c:v>9.8182544426114182E-3</c:v>
                </c:pt>
                <c:pt idx="166">
                  <c:v>2.9978627324554318E-4</c:v>
                </c:pt>
                <c:pt idx="167">
                  <c:v>1.7676372483539393E-3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048-4DD6-9913-93EBDE43A075}"/>
            </c:ext>
          </c:extLst>
        </c:ser>
        <c:ser>
          <c:idx val="16"/>
          <c:order val="15"/>
          <c:tx>
            <c:strRef>
              <c:f>TimeHarbor!$A$19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TimeHarbor!$B$19:$FY$19</c:f>
              <c:numCache>
                <c:formatCode>General</c:formatCode>
                <c:ptCount val="180"/>
                <c:pt idx="0">
                  <c:v>7.5631299810211716E-2</c:v>
                </c:pt>
                <c:pt idx="1">
                  <c:v>7.7088416486582476E-2</c:v>
                </c:pt>
                <c:pt idx="2">
                  <c:v>8.3711961805065169E-2</c:v>
                </c:pt>
                <c:pt idx="3">
                  <c:v>7.1655961192053655E-2</c:v>
                </c:pt>
                <c:pt idx="4">
                  <c:v>6.156469647505227E-2</c:v>
                </c:pt>
                <c:pt idx="5">
                  <c:v>5.8403422478662176E-2</c:v>
                </c:pt>
                <c:pt idx="6">
                  <c:v>5.7348589394875464E-2</c:v>
                </c:pt>
                <c:pt idx="7">
                  <c:v>4.8444146036619666E-2</c:v>
                </c:pt>
                <c:pt idx="8">
                  <c:v>5.2299899309141196E-2</c:v>
                </c:pt>
                <c:pt idx="9">
                  <c:v>4.3583984774301518E-2</c:v>
                </c:pt>
                <c:pt idx="10">
                  <c:v>4.4376372750351376E-2</c:v>
                </c:pt>
                <c:pt idx="11">
                  <c:v>4.2806619892691036E-2</c:v>
                </c:pt>
                <c:pt idx="12">
                  <c:v>2.2504766361004635E-2</c:v>
                </c:pt>
                <c:pt idx="13">
                  <c:v>3.2685099414598531E-2</c:v>
                </c:pt>
                <c:pt idx="14">
                  <c:v>3.3256194886975628E-2</c:v>
                </c:pt>
                <c:pt idx="15">
                  <c:v>4.6160031022758612E-2</c:v>
                </c:pt>
                <c:pt idx="16">
                  <c:v>4.1120561435176554E-2</c:v>
                </c:pt>
                <c:pt idx="17">
                  <c:v>2.9105875705105221E-2</c:v>
                </c:pt>
                <c:pt idx="18">
                  <c:v>1.8522229305824818E-2</c:v>
                </c:pt>
                <c:pt idx="19">
                  <c:v>1.5765891509403888E-2</c:v>
                </c:pt>
                <c:pt idx="20">
                  <c:v>1.6480942409050098E-2</c:v>
                </c:pt>
                <c:pt idx="21">
                  <c:v>1.6998780925780953E-2</c:v>
                </c:pt>
                <c:pt idx="22">
                  <c:v>1.6003167035699109E-2</c:v>
                </c:pt>
                <c:pt idx="23">
                  <c:v>1.315997509877888E-2</c:v>
                </c:pt>
                <c:pt idx="24">
                  <c:v>2.7071220464341385E-2</c:v>
                </c:pt>
                <c:pt idx="25">
                  <c:v>2.7157854392861436E-2</c:v>
                </c:pt>
                <c:pt idx="26">
                  <c:v>2.6530698458552191E-2</c:v>
                </c:pt>
                <c:pt idx="27">
                  <c:v>2.726948913251255E-2</c:v>
                </c:pt>
                <c:pt idx="28">
                  <c:v>2.9661450323692544E-2</c:v>
                </c:pt>
                <c:pt idx="29">
                  <c:v>3.3523521067695232E-2</c:v>
                </c:pt>
                <c:pt idx="30">
                  <c:v>3.0836358164757993E-2</c:v>
                </c:pt>
                <c:pt idx="31">
                  <c:v>1.9350400366293097E-2</c:v>
                </c:pt>
                <c:pt idx="32">
                  <c:v>2.0449405772473919E-2</c:v>
                </c:pt>
                <c:pt idx="33">
                  <c:v>2.6073903600422978E-2</c:v>
                </c:pt>
                <c:pt idx="34">
                  <c:v>2.1547737904115429E-2</c:v>
                </c:pt>
                <c:pt idx="35">
                  <c:v>1.6886081246695869E-2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2.847941315732678E-3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0.11723653489226633</c:v>
                </c:pt>
                <c:pt idx="109">
                  <c:v>0.12027050087775465</c:v>
                </c:pt>
                <c:pt idx="110">
                  <c:v>0.13213853780429605</c:v>
                </c:pt>
                <c:pt idx="111">
                  <c:v>0.12808717131039871</c:v>
                </c:pt>
                <c:pt idx="112">
                  <c:v>0.11452955991708512</c:v>
                </c:pt>
                <c:pt idx="113">
                  <c:v>0.11591563172674023</c:v>
                </c:pt>
                <c:pt idx="114">
                  <c:v>0.12337429301447335</c:v>
                </c:pt>
                <c:pt idx="115">
                  <c:v>0.12307866017128231</c:v>
                </c:pt>
                <c:pt idx="116">
                  <c:v>0.13742261942918657</c:v>
                </c:pt>
                <c:pt idx="117">
                  <c:v>0.13597543636688744</c:v>
                </c:pt>
                <c:pt idx="118">
                  <c:v>0.13771509085884734</c:v>
                </c:pt>
                <c:pt idx="119">
                  <c:v>0.14652060843326178</c:v>
                </c:pt>
                <c:pt idx="120">
                  <c:v>0.14336884039998221</c:v>
                </c:pt>
                <c:pt idx="121">
                  <c:v>0.15385539781266602</c:v>
                </c:pt>
                <c:pt idx="122">
                  <c:v>0.14293271542789809</c:v>
                </c:pt>
                <c:pt idx="123">
                  <c:v>0.19448020827907631</c:v>
                </c:pt>
                <c:pt idx="124">
                  <c:v>0.18954053145308841</c:v>
                </c:pt>
                <c:pt idx="125">
                  <c:v>0.19644890187281788</c:v>
                </c:pt>
                <c:pt idx="126">
                  <c:v>0.19701283979881165</c:v>
                </c:pt>
                <c:pt idx="127">
                  <c:v>0.20433143864786593</c:v>
                </c:pt>
                <c:pt idx="128">
                  <c:v>0.20467002401232318</c:v>
                </c:pt>
                <c:pt idx="129">
                  <c:v>0.19177580717921319</c:v>
                </c:pt>
                <c:pt idx="130">
                  <c:v>0.19285201463662233</c:v>
                </c:pt>
                <c:pt idx="131">
                  <c:v>0.18462981192712058</c:v>
                </c:pt>
                <c:pt idx="132">
                  <c:v>0.1831516764658781</c:v>
                </c:pt>
                <c:pt idx="133">
                  <c:v>0.1757656247520033</c:v>
                </c:pt>
                <c:pt idx="134">
                  <c:v>0.17298717198694036</c:v>
                </c:pt>
                <c:pt idx="135">
                  <c:v>0.17456448839434913</c:v>
                </c:pt>
                <c:pt idx="136">
                  <c:v>0.17671207158861002</c:v>
                </c:pt>
                <c:pt idx="137">
                  <c:v>0.17935113011515094</c:v>
                </c:pt>
                <c:pt idx="138">
                  <c:v>0.1774331172149535</c:v>
                </c:pt>
                <c:pt idx="139">
                  <c:v>0.17638507919662169</c:v>
                </c:pt>
                <c:pt idx="140">
                  <c:v>0.19025240115848729</c:v>
                </c:pt>
                <c:pt idx="141">
                  <c:v>0.22495474553390016</c:v>
                </c:pt>
                <c:pt idx="142">
                  <c:v>0.22700148229072364</c:v>
                </c:pt>
                <c:pt idx="143">
                  <c:v>0.22680958590968756</c:v>
                </c:pt>
                <c:pt idx="144">
                  <c:v>0.24834603177930642</c:v>
                </c:pt>
                <c:pt idx="145">
                  <c:v>0.26114275282874644</c:v>
                </c:pt>
                <c:pt idx="146">
                  <c:v>0.25924280791248461</c:v>
                </c:pt>
                <c:pt idx="147">
                  <c:v>0.21584041131195014</c:v>
                </c:pt>
                <c:pt idx="148">
                  <c:v>0.2121415413171438</c:v>
                </c:pt>
                <c:pt idx="149">
                  <c:v>0.21704631897308316</c:v>
                </c:pt>
                <c:pt idx="150">
                  <c:v>0.21073423042194192</c:v>
                </c:pt>
                <c:pt idx="151">
                  <c:v>0.20824420975974808</c:v>
                </c:pt>
                <c:pt idx="152">
                  <c:v>0.19845886883607894</c:v>
                </c:pt>
                <c:pt idx="153">
                  <c:v>0.20469434537322995</c:v>
                </c:pt>
                <c:pt idx="154">
                  <c:v>0.18891116492259236</c:v>
                </c:pt>
                <c:pt idx="155">
                  <c:v>0.1867672586613231</c:v>
                </c:pt>
                <c:pt idx="156">
                  <c:v>0.18904334968905903</c:v>
                </c:pt>
                <c:pt idx="157">
                  <c:v>0.18898823856211588</c:v>
                </c:pt>
                <c:pt idx="158">
                  <c:v>0.20846919920470433</c:v>
                </c:pt>
                <c:pt idx="159">
                  <c:v>0.21144900639912814</c:v>
                </c:pt>
                <c:pt idx="160">
                  <c:v>0.22106764758671449</c:v>
                </c:pt>
                <c:pt idx="161">
                  <c:v>0.22416554454524468</c:v>
                </c:pt>
                <c:pt idx="162">
                  <c:v>0.21899055266043069</c:v>
                </c:pt>
                <c:pt idx="163">
                  <c:v>0.21810581294457265</c:v>
                </c:pt>
                <c:pt idx="164">
                  <c:v>0.22323126149107991</c:v>
                </c:pt>
                <c:pt idx="165">
                  <c:v>0.22684092930718297</c:v>
                </c:pt>
                <c:pt idx="166">
                  <c:v>0.22959326442712344</c:v>
                </c:pt>
                <c:pt idx="167">
                  <c:v>0.23204807998424498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2.5589516898260158E-4</c:v>
                </c:pt>
                <c:pt idx="178">
                  <c:v>5.4145289185328592E-3</c:v>
                </c:pt>
                <c:pt idx="179">
                  <c:v>3.774996204228929E-3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048-4DD6-9913-93EBDE43A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88032"/>
        <c:axId val="172598016"/>
      </c:areaChart>
      <c:lineChart>
        <c:grouping val="standard"/>
        <c:varyColors val="0"/>
        <c:ser>
          <c:idx val="0"/>
          <c:order val="16"/>
          <c:tx>
            <c:strRef>
              <c:f>TimeHarbor!$A$21</c:f>
              <c:strCache>
                <c:ptCount val="1"/>
                <c:pt idx="0">
                  <c:v>Style</c:v>
                </c:pt>
              </c:strCache>
            </c:strRef>
          </c:tx>
          <c:spPr>
            <a:ln w="38100" cmpd="dbl">
              <a:solidFill>
                <a:schemeClr val="bg1"/>
              </a:solidFill>
            </a:ln>
          </c:spPr>
          <c:marker>
            <c:symbol val="none"/>
          </c:marker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TimeHarbor!$B$21:$FY$21</c:f>
              <c:numCache>
                <c:formatCode>General</c:formatCode>
                <c:ptCount val="180"/>
                <c:pt idx="0">
                  <c:v>0.46589592745916131</c:v>
                </c:pt>
                <c:pt idx="1">
                  <c:v>0.46244056650584398</c:v>
                </c:pt>
                <c:pt idx="2">
                  <c:v>0.4533970723040287</c:v>
                </c:pt>
                <c:pt idx="3">
                  <c:v>0.44486793982967154</c:v>
                </c:pt>
                <c:pt idx="4">
                  <c:v>0.47445372100878602</c:v>
                </c:pt>
                <c:pt idx="5">
                  <c:v>0.47410387780269458</c:v>
                </c:pt>
                <c:pt idx="6">
                  <c:v>0.47491899432963958</c:v>
                </c:pt>
                <c:pt idx="7">
                  <c:v>0.47835355478370789</c:v>
                </c:pt>
                <c:pt idx="8">
                  <c:v>0.48268037989111856</c:v>
                </c:pt>
                <c:pt idx="9">
                  <c:v>0.48747776279493948</c:v>
                </c:pt>
                <c:pt idx="10">
                  <c:v>0.49249659189754158</c:v>
                </c:pt>
                <c:pt idx="11">
                  <c:v>0.48602508850183079</c:v>
                </c:pt>
                <c:pt idx="12">
                  <c:v>0.43292890448477361</c:v>
                </c:pt>
                <c:pt idx="13">
                  <c:v>0.44341761496883236</c:v>
                </c:pt>
                <c:pt idx="14">
                  <c:v>0.4593049074577974</c:v>
                </c:pt>
                <c:pt idx="15">
                  <c:v>0.4902361138274921</c:v>
                </c:pt>
                <c:pt idx="16">
                  <c:v>0.48632173844992366</c:v>
                </c:pt>
                <c:pt idx="17">
                  <c:v>0.47755054857438228</c:v>
                </c:pt>
                <c:pt idx="18">
                  <c:v>0.48631343998303289</c:v>
                </c:pt>
                <c:pt idx="19">
                  <c:v>0.48476270698017176</c:v>
                </c:pt>
                <c:pt idx="20">
                  <c:v>0.49244522757568743</c:v>
                </c:pt>
                <c:pt idx="21">
                  <c:v>0.49279767602980995</c:v>
                </c:pt>
                <c:pt idx="22">
                  <c:v>0.49305152424447751</c:v>
                </c:pt>
                <c:pt idx="23">
                  <c:v>0.48923458517738805</c:v>
                </c:pt>
                <c:pt idx="24">
                  <c:v>0.51196708176936712</c:v>
                </c:pt>
                <c:pt idx="25">
                  <c:v>0.51370943795161406</c:v>
                </c:pt>
                <c:pt idx="26">
                  <c:v>0.51404285030938635</c:v>
                </c:pt>
                <c:pt idx="27">
                  <c:v>0.51646659909564452</c:v>
                </c:pt>
                <c:pt idx="28">
                  <c:v>0.52497308108063223</c:v>
                </c:pt>
                <c:pt idx="29">
                  <c:v>0.52433571615900809</c:v>
                </c:pt>
                <c:pt idx="30">
                  <c:v>0.5223033383888076</c:v>
                </c:pt>
                <c:pt idx="31">
                  <c:v>0.51313189359974953</c:v>
                </c:pt>
                <c:pt idx="32">
                  <c:v>0.51259618047598199</c:v>
                </c:pt>
                <c:pt idx="33">
                  <c:v>0.53394312170024094</c:v>
                </c:pt>
                <c:pt idx="34">
                  <c:v>0.53255523765092561</c:v>
                </c:pt>
                <c:pt idx="35">
                  <c:v>0.53544489606441004</c:v>
                </c:pt>
                <c:pt idx="36">
                  <c:v>0.55980105191141138</c:v>
                </c:pt>
                <c:pt idx="37">
                  <c:v>0.55800334711682786</c:v>
                </c:pt>
                <c:pt idx="38">
                  <c:v>0.55831209130179849</c:v>
                </c:pt>
                <c:pt idx="39">
                  <c:v>0.56113045877718559</c:v>
                </c:pt>
                <c:pt idx="40">
                  <c:v>0.5603601609635368</c:v>
                </c:pt>
                <c:pt idx="41">
                  <c:v>0.55173848610868725</c:v>
                </c:pt>
                <c:pt idx="42">
                  <c:v>0.56165335022905716</c:v>
                </c:pt>
                <c:pt idx="43">
                  <c:v>0.55619968554873922</c:v>
                </c:pt>
                <c:pt idx="44">
                  <c:v>0.55885239199536008</c:v>
                </c:pt>
                <c:pt idx="45">
                  <c:v>0.58127876727848671</c:v>
                </c:pt>
                <c:pt idx="46">
                  <c:v>0.59149676787263383</c:v>
                </c:pt>
                <c:pt idx="47">
                  <c:v>0.59767999797535665</c:v>
                </c:pt>
                <c:pt idx="48">
                  <c:v>0.73378466639024098</c:v>
                </c:pt>
                <c:pt idx="49">
                  <c:v>0.73362650862764178</c:v>
                </c:pt>
                <c:pt idx="50">
                  <c:v>0.72553491650094681</c:v>
                </c:pt>
                <c:pt idx="51">
                  <c:v>0.722005791513193</c:v>
                </c:pt>
                <c:pt idx="52">
                  <c:v>0.72781191591868633</c:v>
                </c:pt>
                <c:pt idx="53">
                  <c:v>0.73543621041733864</c:v>
                </c:pt>
                <c:pt idx="54">
                  <c:v>0.73604052294280353</c:v>
                </c:pt>
                <c:pt idx="55">
                  <c:v>0.73530540756887108</c:v>
                </c:pt>
                <c:pt idx="56">
                  <c:v>0.7088593488934225</c:v>
                </c:pt>
                <c:pt idx="57">
                  <c:v>0.70835194972788851</c:v>
                </c:pt>
                <c:pt idx="58">
                  <c:v>0.69757583456183392</c:v>
                </c:pt>
                <c:pt idx="59">
                  <c:v>0.69300815919262548</c:v>
                </c:pt>
                <c:pt idx="60">
                  <c:v>0.78522690259684658</c:v>
                </c:pt>
                <c:pt idx="61">
                  <c:v>0.78546298966671046</c:v>
                </c:pt>
                <c:pt idx="62">
                  <c:v>0.78907063882765238</c:v>
                </c:pt>
                <c:pt idx="63">
                  <c:v>0.78880803113633302</c:v>
                </c:pt>
                <c:pt idx="64">
                  <c:v>0.77089333434989993</c:v>
                </c:pt>
                <c:pt idx="65">
                  <c:v>0.77049252709142291</c:v>
                </c:pt>
                <c:pt idx="66">
                  <c:v>0.76840436600665196</c:v>
                </c:pt>
                <c:pt idx="67">
                  <c:v>0.76734113854993846</c:v>
                </c:pt>
                <c:pt idx="68">
                  <c:v>0.76581291962049547</c:v>
                </c:pt>
                <c:pt idx="69">
                  <c:v>0.76051738951882708</c:v>
                </c:pt>
                <c:pt idx="70">
                  <c:v>0.75775612118541658</c:v>
                </c:pt>
                <c:pt idx="71">
                  <c:v>0.76104967976172744</c:v>
                </c:pt>
                <c:pt idx="72">
                  <c:v>0.88866069957031724</c:v>
                </c:pt>
                <c:pt idx="73">
                  <c:v>0.88919610437059426</c:v>
                </c:pt>
                <c:pt idx="74">
                  <c:v>0.888107734846316</c:v>
                </c:pt>
                <c:pt idx="75">
                  <c:v>0.88439309682950573</c:v>
                </c:pt>
                <c:pt idx="76">
                  <c:v>0.88585297793739937</c:v>
                </c:pt>
                <c:pt idx="77">
                  <c:v>0.89572103549984505</c:v>
                </c:pt>
                <c:pt idx="78">
                  <c:v>0.90660079945740701</c:v>
                </c:pt>
                <c:pt idx="79">
                  <c:v>0.90474149343296362</c:v>
                </c:pt>
                <c:pt idx="80">
                  <c:v>0.90317703554840933</c:v>
                </c:pt>
                <c:pt idx="81">
                  <c:v>0.90189014074424156</c:v>
                </c:pt>
                <c:pt idx="82">
                  <c:v>0.90908028497318183</c:v>
                </c:pt>
                <c:pt idx="83">
                  <c:v>0.91119781919741261</c:v>
                </c:pt>
                <c:pt idx="84">
                  <c:v>0.90899269694050178</c:v>
                </c:pt>
                <c:pt idx="85">
                  <c:v>0.90295146543137439</c:v>
                </c:pt>
                <c:pt idx="86">
                  <c:v>0.91081152736701199</c:v>
                </c:pt>
                <c:pt idx="87">
                  <c:v>0.91396636898954342</c:v>
                </c:pt>
                <c:pt idx="88">
                  <c:v>0.91116574714292031</c:v>
                </c:pt>
                <c:pt idx="89">
                  <c:v>0.91248801282064629</c:v>
                </c:pt>
                <c:pt idx="90">
                  <c:v>0.91392768046697404</c:v>
                </c:pt>
                <c:pt idx="91">
                  <c:v>0.92333197350573126</c:v>
                </c:pt>
                <c:pt idx="92">
                  <c:v>0.92619583415219042</c:v>
                </c:pt>
                <c:pt idx="93">
                  <c:v>0.91683346695039769</c:v>
                </c:pt>
                <c:pt idx="94">
                  <c:v>0.91724454553558288</c:v>
                </c:pt>
                <c:pt idx="95">
                  <c:v>0.91225017667285302</c:v>
                </c:pt>
                <c:pt idx="96">
                  <c:v>0.9117244655763368</c:v>
                </c:pt>
                <c:pt idx="97">
                  <c:v>0.9112302435415619</c:v>
                </c:pt>
                <c:pt idx="98">
                  <c:v>0.91350046731367751</c:v>
                </c:pt>
                <c:pt idx="99">
                  <c:v>0.91233978713992225</c:v>
                </c:pt>
                <c:pt idx="100">
                  <c:v>0.92726415115157712</c:v>
                </c:pt>
                <c:pt idx="101">
                  <c:v>0.92742495915173995</c:v>
                </c:pt>
                <c:pt idx="102">
                  <c:v>0.92930751104365006</c:v>
                </c:pt>
                <c:pt idx="103">
                  <c:v>0.92533764791650663</c:v>
                </c:pt>
                <c:pt idx="104">
                  <c:v>0.92390347098838388</c:v>
                </c:pt>
                <c:pt idx="105">
                  <c:v>0.902721550398493</c:v>
                </c:pt>
                <c:pt idx="106">
                  <c:v>0.89453354333632906</c:v>
                </c:pt>
                <c:pt idx="107">
                  <c:v>0.89445774194255234</c:v>
                </c:pt>
                <c:pt idx="108">
                  <c:v>0.18504625456353041</c:v>
                </c:pt>
                <c:pt idx="109">
                  <c:v>0.19148327954867395</c:v>
                </c:pt>
                <c:pt idx="110">
                  <c:v>0.18792160465823837</c:v>
                </c:pt>
                <c:pt idx="111">
                  <c:v>0.18719043932073065</c:v>
                </c:pt>
                <c:pt idx="112">
                  <c:v>0.18110849145489072</c:v>
                </c:pt>
                <c:pt idx="113">
                  <c:v>0.16819022394671534</c:v>
                </c:pt>
                <c:pt idx="114">
                  <c:v>0.19117306502686715</c:v>
                </c:pt>
                <c:pt idx="115">
                  <c:v>0.18973080754992766</c:v>
                </c:pt>
                <c:pt idx="116">
                  <c:v>0.1883377536439288</c:v>
                </c:pt>
                <c:pt idx="117">
                  <c:v>0.19498239647671511</c:v>
                </c:pt>
                <c:pt idx="118">
                  <c:v>0.24551426281225786</c:v>
                </c:pt>
                <c:pt idx="119">
                  <c:v>0.25479062457962109</c:v>
                </c:pt>
                <c:pt idx="120">
                  <c:v>0.24886808579027264</c:v>
                </c:pt>
                <c:pt idx="121">
                  <c:v>0.25912916148123377</c:v>
                </c:pt>
                <c:pt idx="122">
                  <c:v>0.27492318372822477</c:v>
                </c:pt>
                <c:pt idx="123">
                  <c:v>0.29072702904460734</c:v>
                </c:pt>
                <c:pt idx="124">
                  <c:v>0.30596516605000956</c:v>
                </c:pt>
                <c:pt idx="125">
                  <c:v>0.31727836702960488</c:v>
                </c:pt>
                <c:pt idx="126">
                  <c:v>0.31604632599213911</c:v>
                </c:pt>
                <c:pt idx="127">
                  <c:v>0.32423341257293758</c:v>
                </c:pt>
                <c:pt idx="128">
                  <c:v>0.32669008306585201</c:v>
                </c:pt>
                <c:pt idx="129">
                  <c:v>0.32801086604942509</c:v>
                </c:pt>
                <c:pt idx="130">
                  <c:v>0.3262516737056127</c:v>
                </c:pt>
                <c:pt idx="131">
                  <c:v>0.32714294972567959</c:v>
                </c:pt>
                <c:pt idx="132">
                  <c:v>0.3241576244638984</c:v>
                </c:pt>
                <c:pt idx="133">
                  <c:v>0.32590087246710553</c:v>
                </c:pt>
                <c:pt idx="134">
                  <c:v>0.32616429055227047</c:v>
                </c:pt>
                <c:pt idx="135">
                  <c:v>0.33372580204575819</c:v>
                </c:pt>
                <c:pt idx="136">
                  <c:v>0.33413281084622326</c:v>
                </c:pt>
                <c:pt idx="137">
                  <c:v>0.34062293173125302</c:v>
                </c:pt>
                <c:pt idx="138">
                  <c:v>0.34423338898441191</c:v>
                </c:pt>
                <c:pt idx="139">
                  <c:v>0.35146296945010558</c:v>
                </c:pt>
                <c:pt idx="140">
                  <c:v>0.35223276901345213</c:v>
                </c:pt>
                <c:pt idx="141">
                  <c:v>0.36233649542595536</c:v>
                </c:pt>
                <c:pt idx="142">
                  <c:v>0.36335693257425417</c:v>
                </c:pt>
                <c:pt idx="143">
                  <c:v>0.3612304824762872</c:v>
                </c:pt>
                <c:pt idx="144">
                  <c:v>0.36764235319054939</c:v>
                </c:pt>
                <c:pt idx="145">
                  <c:v>0.36871066853586598</c:v>
                </c:pt>
                <c:pt idx="146">
                  <c:v>0.37118205043635277</c:v>
                </c:pt>
                <c:pt idx="147">
                  <c:v>0.36852871249812558</c:v>
                </c:pt>
                <c:pt idx="148">
                  <c:v>0.36905176789486671</c:v>
                </c:pt>
                <c:pt idx="149">
                  <c:v>0.36886791113697837</c:v>
                </c:pt>
                <c:pt idx="150">
                  <c:v>0.36930504140462139</c:v>
                </c:pt>
                <c:pt idx="151">
                  <c:v>0.36967630637551541</c:v>
                </c:pt>
                <c:pt idx="152">
                  <c:v>0.37108262073990028</c:v>
                </c:pt>
                <c:pt idx="153">
                  <c:v>0.37581012982617468</c:v>
                </c:pt>
                <c:pt idx="154">
                  <c:v>0.3895276214068103</c:v>
                </c:pt>
                <c:pt idx="155">
                  <c:v>0.38810693585502065</c:v>
                </c:pt>
                <c:pt idx="156">
                  <c:v>0.38797953111769179</c:v>
                </c:pt>
                <c:pt idx="157">
                  <c:v>0.39121757694874915</c:v>
                </c:pt>
                <c:pt idx="158">
                  <c:v>0.39521893349781323</c:v>
                </c:pt>
                <c:pt idx="159">
                  <c:v>0.39678738315520401</c:v>
                </c:pt>
                <c:pt idx="160">
                  <c:v>0.39353184599493085</c:v>
                </c:pt>
                <c:pt idx="161">
                  <c:v>0.39600293216125859</c:v>
                </c:pt>
                <c:pt idx="162">
                  <c:v>0.39806486368063609</c:v>
                </c:pt>
                <c:pt idx="163">
                  <c:v>0.39773731537510992</c:v>
                </c:pt>
                <c:pt idx="164">
                  <c:v>0.39858385935151286</c:v>
                </c:pt>
                <c:pt idx="165">
                  <c:v>0.39809744574009653</c:v>
                </c:pt>
                <c:pt idx="166">
                  <c:v>0.39723332756309437</c:v>
                </c:pt>
                <c:pt idx="167">
                  <c:v>0.39624425638438487</c:v>
                </c:pt>
                <c:pt idx="168">
                  <c:v>0.97927164592563631</c:v>
                </c:pt>
                <c:pt idx="169">
                  <c:v>0.97864318264762451</c:v>
                </c:pt>
                <c:pt idx="170">
                  <c:v>0.97889538852170233</c:v>
                </c:pt>
                <c:pt idx="171">
                  <c:v>0.97946574708067569</c:v>
                </c:pt>
                <c:pt idx="172">
                  <c:v>0.97976225404172279</c:v>
                </c:pt>
                <c:pt idx="173">
                  <c:v>0.97966116579338303</c:v>
                </c:pt>
                <c:pt idx="174">
                  <c:v>0.97862762375449497</c:v>
                </c:pt>
                <c:pt idx="175">
                  <c:v>0.97725553099133688</c:v>
                </c:pt>
                <c:pt idx="176">
                  <c:v>0.97739880752594899</c:v>
                </c:pt>
                <c:pt idx="177">
                  <c:v>0.97675024796594012</c:v>
                </c:pt>
                <c:pt idx="178">
                  <c:v>0.97155779158033562</c:v>
                </c:pt>
                <c:pt idx="179">
                  <c:v>0.96981604333788529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048-4DD6-9913-93EBDE43A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09536"/>
        <c:axId val="172599552"/>
      </c:lineChart>
      <c:dateAx>
        <c:axId val="17258803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2598016"/>
        <c:crosses val="autoZero"/>
        <c:auto val="1"/>
        <c:lblOffset val="100"/>
        <c:baseTimeUnit val="months"/>
      </c:dateAx>
      <c:valAx>
        <c:axId val="172598016"/>
        <c:scaling>
          <c:orientation val="minMax"/>
          <c:max val="1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crossAx val="172588032"/>
        <c:crosses val="autoZero"/>
        <c:crossBetween val="between"/>
      </c:valAx>
      <c:valAx>
        <c:axId val="172599552"/>
        <c:scaling>
          <c:orientation val="minMax"/>
          <c:max val="1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172609536"/>
        <c:crosses val="max"/>
        <c:crossBetween val="between"/>
      </c:valAx>
      <c:dateAx>
        <c:axId val="17260953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72599552"/>
        <c:crosses val="autoZero"/>
        <c:auto val="1"/>
        <c:lblOffset val="100"/>
        <c:baseTimeUnit val="months"/>
      </c:dateAx>
    </c:plotArea>
    <c:legend>
      <c:legendPos val="r"/>
      <c:overlay val="0"/>
    </c:legend>
    <c:plotVisOnly val="1"/>
    <c:dispBlanksAs val="zero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TimeHarbor!$A$3</c:f>
          <c:strCache>
            <c:ptCount val="1"/>
            <c:pt idx="0">
              <c:v>02 - Harbor Large Cap Value Fund (Institutional)</c:v>
            </c:pt>
          </c:strCache>
        </c:strRef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TimeHarbor!$A$4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TimeHarbor!$B$4:$FY$4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5.8823257978573877E-3</c:v>
                </c:pt>
                <c:pt idx="65">
                  <c:v>0</c:v>
                </c:pt>
                <c:pt idx="66">
                  <c:v>0</c:v>
                </c:pt>
                <c:pt idx="67">
                  <c:v>3.6804769881119562E-3</c:v>
                </c:pt>
                <c:pt idx="68">
                  <c:v>5.7682343497119006E-3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3.9872508812188248E-2</c:v>
                </c:pt>
                <c:pt idx="73">
                  <c:v>5.5669943572175404E-2</c:v>
                </c:pt>
                <c:pt idx="74">
                  <c:v>6.1372123665655365E-2</c:v>
                </c:pt>
                <c:pt idx="75">
                  <c:v>9.0137568901398651E-2</c:v>
                </c:pt>
                <c:pt idx="76">
                  <c:v>9.0334984019649359E-2</c:v>
                </c:pt>
                <c:pt idx="77">
                  <c:v>8.5516566697937405E-2</c:v>
                </c:pt>
                <c:pt idx="78">
                  <c:v>7.7457033561030203E-2</c:v>
                </c:pt>
                <c:pt idx="79">
                  <c:v>7.423275039985669E-2</c:v>
                </c:pt>
                <c:pt idx="80">
                  <c:v>5.9833418699915014E-2</c:v>
                </c:pt>
                <c:pt idx="81">
                  <c:v>3.1388927477310827E-2</c:v>
                </c:pt>
                <c:pt idx="82">
                  <c:v>1.1991779326694251E-2</c:v>
                </c:pt>
                <c:pt idx="83">
                  <c:v>1.1208687110614226E-2</c:v>
                </c:pt>
                <c:pt idx="84">
                  <c:v>4.0471930987090773E-2</c:v>
                </c:pt>
                <c:pt idx="85">
                  <c:v>1.1792091228927305E-2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5.2878949964516178E-3</c:v>
                </c:pt>
                <c:pt idx="92">
                  <c:v>2.5513342128547306E-2</c:v>
                </c:pt>
                <c:pt idx="93">
                  <c:v>4.8291840913821868E-2</c:v>
                </c:pt>
                <c:pt idx="94">
                  <c:v>3.3660852353483563E-3</c:v>
                </c:pt>
                <c:pt idx="95">
                  <c:v>5.2752639470015947E-2</c:v>
                </c:pt>
                <c:pt idx="96">
                  <c:v>0</c:v>
                </c:pt>
                <c:pt idx="97">
                  <c:v>0</c:v>
                </c:pt>
                <c:pt idx="98">
                  <c:v>7.620787051305488E-3</c:v>
                </c:pt>
                <c:pt idx="99">
                  <c:v>6.1328972128589152E-4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1.0752218910698091E-2</c:v>
                </c:pt>
                <c:pt idx="106">
                  <c:v>1.5535338390112717E-4</c:v>
                </c:pt>
                <c:pt idx="107">
                  <c:v>7.4070134480379284E-3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1.2746344872720876E-2</c:v>
                </c:pt>
                <c:pt idx="169">
                  <c:v>4.5384438235390075E-2</c:v>
                </c:pt>
                <c:pt idx="170">
                  <c:v>5.577890663879044E-2</c:v>
                </c:pt>
                <c:pt idx="171">
                  <c:v>5.0380328566824666E-2</c:v>
                </c:pt>
                <c:pt idx="172">
                  <c:v>1.3108925803504279E-2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32-4CA7-A674-9B45826F5409}"/>
            </c:ext>
          </c:extLst>
        </c:ser>
        <c:ser>
          <c:idx val="2"/>
          <c:order val="1"/>
          <c:tx>
            <c:strRef>
              <c:f>TimeHarbor!$A$5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TimeHarbor!$B$5:$FY$5</c:f>
              <c:numCache>
                <c:formatCode>General</c:formatCode>
                <c:ptCount val="180"/>
                <c:pt idx="0">
                  <c:v>0.17001501390196305</c:v>
                </c:pt>
                <c:pt idx="1">
                  <c:v>0.16891886767399741</c:v>
                </c:pt>
                <c:pt idx="2">
                  <c:v>0.17182486530583024</c:v>
                </c:pt>
                <c:pt idx="3">
                  <c:v>0.18820954706014897</c:v>
                </c:pt>
                <c:pt idx="4">
                  <c:v>0.17316760739438564</c:v>
                </c:pt>
                <c:pt idx="5">
                  <c:v>0.17665927228708464</c:v>
                </c:pt>
                <c:pt idx="6">
                  <c:v>0.17938544754608046</c:v>
                </c:pt>
                <c:pt idx="7">
                  <c:v>0.18070356315894789</c:v>
                </c:pt>
                <c:pt idx="8">
                  <c:v>0.17802445326591257</c:v>
                </c:pt>
                <c:pt idx="9">
                  <c:v>0.17601310755211996</c:v>
                </c:pt>
                <c:pt idx="10">
                  <c:v>0.17296472007557065</c:v>
                </c:pt>
                <c:pt idx="11">
                  <c:v>0.17201435005046925</c:v>
                </c:pt>
                <c:pt idx="12">
                  <c:v>0.2107277739180233</c:v>
                </c:pt>
                <c:pt idx="13">
                  <c:v>0.19911214421428777</c:v>
                </c:pt>
                <c:pt idx="14">
                  <c:v>0.1839448411435067</c:v>
                </c:pt>
                <c:pt idx="15">
                  <c:v>0.13983610870769314</c:v>
                </c:pt>
                <c:pt idx="16">
                  <c:v>0.14100331216394299</c:v>
                </c:pt>
                <c:pt idx="17">
                  <c:v>0.14487814432601748</c:v>
                </c:pt>
                <c:pt idx="18">
                  <c:v>0.13498230438301126</c:v>
                </c:pt>
                <c:pt idx="19">
                  <c:v>0.13425964585812994</c:v>
                </c:pt>
                <c:pt idx="20">
                  <c:v>0.137654417376392</c:v>
                </c:pt>
                <c:pt idx="21">
                  <c:v>0.13648393854701035</c:v>
                </c:pt>
                <c:pt idx="22">
                  <c:v>0.1313878030861646</c:v>
                </c:pt>
                <c:pt idx="23">
                  <c:v>0.13793473033935427</c:v>
                </c:pt>
                <c:pt idx="24">
                  <c:v>0.11631856028814945</c:v>
                </c:pt>
                <c:pt idx="25">
                  <c:v>0.11601994593255921</c:v>
                </c:pt>
                <c:pt idx="26">
                  <c:v>0.12408052290951468</c:v>
                </c:pt>
                <c:pt idx="27">
                  <c:v>0.12323908765325098</c:v>
                </c:pt>
                <c:pt idx="28">
                  <c:v>0.11643017508618915</c:v>
                </c:pt>
                <c:pt idx="29">
                  <c:v>0.11234486529634731</c:v>
                </c:pt>
                <c:pt idx="30">
                  <c:v>0.11438198945573842</c:v>
                </c:pt>
                <c:pt idx="31">
                  <c:v>0.12384125459056645</c:v>
                </c:pt>
                <c:pt idx="32">
                  <c:v>0.12825694572671312</c:v>
                </c:pt>
                <c:pt idx="33">
                  <c:v>0.10703277673558116</c:v>
                </c:pt>
                <c:pt idx="34">
                  <c:v>0.10973385986808465</c:v>
                </c:pt>
                <c:pt idx="35">
                  <c:v>9.6111920336075587E-2</c:v>
                </c:pt>
                <c:pt idx="36">
                  <c:v>8.387454480984767E-2</c:v>
                </c:pt>
                <c:pt idx="37">
                  <c:v>8.4201889151935286E-2</c:v>
                </c:pt>
                <c:pt idx="38">
                  <c:v>8.0818626699548909E-2</c:v>
                </c:pt>
                <c:pt idx="39">
                  <c:v>7.9879183446484717E-2</c:v>
                </c:pt>
                <c:pt idx="40">
                  <c:v>8.3159728549124831E-2</c:v>
                </c:pt>
                <c:pt idx="41">
                  <c:v>8.8750823997154518E-2</c:v>
                </c:pt>
                <c:pt idx="42">
                  <c:v>7.2702353346152257E-2</c:v>
                </c:pt>
                <c:pt idx="43">
                  <c:v>9.6677854672516203E-2</c:v>
                </c:pt>
                <c:pt idx="44">
                  <c:v>9.9321368532788987E-2</c:v>
                </c:pt>
                <c:pt idx="45">
                  <c:v>7.4975485479408563E-2</c:v>
                </c:pt>
                <c:pt idx="46">
                  <c:v>7.0528672690934061E-2</c:v>
                </c:pt>
                <c:pt idx="47">
                  <c:v>7.1716197057454495E-2</c:v>
                </c:pt>
                <c:pt idx="48">
                  <c:v>3.0653393139001509E-2</c:v>
                </c:pt>
                <c:pt idx="49">
                  <c:v>3.1858675644615787E-2</c:v>
                </c:pt>
                <c:pt idx="50">
                  <c:v>4.7150774086152456E-3</c:v>
                </c:pt>
                <c:pt idx="51">
                  <c:v>3.0903131873801584E-2</c:v>
                </c:pt>
                <c:pt idx="52">
                  <c:v>4.5783245227037132E-2</c:v>
                </c:pt>
                <c:pt idx="53">
                  <c:v>4.5364086954169769E-2</c:v>
                </c:pt>
                <c:pt idx="54">
                  <c:v>4.5059655648292958E-2</c:v>
                </c:pt>
                <c:pt idx="55">
                  <c:v>4.673381150284827E-2</c:v>
                </c:pt>
                <c:pt idx="56">
                  <c:v>3.0522158991013345E-2</c:v>
                </c:pt>
                <c:pt idx="57">
                  <c:v>2.6566673070371256E-2</c:v>
                </c:pt>
                <c:pt idx="58">
                  <c:v>4.5088246849933428E-2</c:v>
                </c:pt>
                <c:pt idx="59">
                  <c:v>4.7525436648418538E-2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6.5250355985627187E-3</c:v>
                </c:pt>
                <c:pt idx="65">
                  <c:v>0</c:v>
                </c:pt>
                <c:pt idx="66">
                  <c:v>9.5145555213067261E-3</c:v>
                </c:pt>
                <c:pt idx="67">
                  <c:v>1.2942971450399115E-2</c:v>
                </c:pt>
                <c:pt idx="68">
                  <c:v>3.4836097319576489E-3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8.5321270322286861E-4</c:v>
                </c:pt>
                <c:pt idx="166">
                  <c:v>4.2442704420511679E-3</c:v>
                </c:pt>
                <c:pt idx="167">
                  <c:v>7.720112350055921E-4</c:v>
                </c:pt>
                <c:pt idx="168">
                  <c:v>4.5034778421752374E-2</c:v>
                </c:pt>
                <c:pt idx="169">
                  <c:v>4.9841134754497599E-2</c:v>
                </c:pt>
                <c:pt idx="170">
                  <c:v>2.2042839666192544E-2</c:v>
                </c:pt>
                <c:pt idx="171">
                  <c:v>3.4094600092115929E-2</c:v>
                </c:pt>
                <c:pt idx="172">
                  <c:v>8.0386381965608267E-2</c:v>
                </c:pt>
                <c:pt idx="173">
                  <c:v>9.3216160331763456E-2</c:v>
                </c:pt>
                <c:pt idx="174">
                  <c:v>9.8963615678099776E-2</c:v>
                </c:pt>
                <c:pt idx="175">
                  <c:v>9.3949987641121308E-2</c:v>
                </c:pt>
                <c:pt idx="176">
                  <c:v>9.503914871946012E-2</c:v>
                </c:pt>
                <c:pt idx="177">
                  <c:v>8.2728329449446664E-2</c:v>
                </c:pt>
                <c:pt idx="178">
                  <c:v>7.8573791668662393E-2</c:v>
                </c:pt>
                <c:pt idx="179">
                  <c:v>8.1172696976039946E-2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32-4CA7-A674-9B45826F5409}"/>
            </c:ext>
          </c:extLst>
        </c:ser>
        <c:ser>
          <c:idx val="3"/>
          <c:order val="2"/>
          <c:tx>
            <c:strRef>
              <c:f>TimeHarbor!$A$6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TimeHarbor!$B$6:$FY$6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1.5289526226409856E-2</c:v>
                </c:pt>
                <c:pt idx="61">
                  <c:v>1.7272190277730654E-2</c:v>
                </c:pt>
                <c:pt idx="62">
                  <c:v>2.11204047674028E-2</c:v>
                </c:pt>
                <c:pt idx="63">
                  <c:v>2.1276342008100857E-2</c:v>
                </c:pt>
                <c:pt idx="64">
                  <c:v>5.9104783042706914E-3</c:v>
                </c:pt>
                <c:pt idx="65">
                  <c:v>0</c:v>
                </c:pt>
                <c:pt idx="66">
                  <c:v>0</c:v>
                </c:pt>
                <c:pt idx="67">
                  <c:v>1.2455577525824199E-2</c:v>
                </c:pt>
                <c:pt idx="68">
                  <c:v>1.7062678747760077E-3</c:v>
                </c:pt>
                <c:pt idx="69">
                  <c:v>3.4861416668167406E-3</c:v>
                </c:pt>
                <c:pt idx="70">
                  <c:v>4.3886460205205232E-3</c:v>
                </c:pt>
                <c:pt idx="71">
                  <c:v>2.4428496806947787E-3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1.8069065970760245E-3</c:v>
                </c:pt>
                <c:pt idx="109">
                  <c:v>0</c:v>
                </c:pt>
                <c:pt idx="110">
                  <c:v>6.1323142926931846E-3</c:v>
                </c:pt>
                <c:pt idx="111">
                  <c:v>1.1522808905267972E-2</c:v>
                </c:pt>
                <c:pt idx="112">
                  <c:v>0</c:v>
                </c:pt>
                <c:pt idx="113">
                  <c:v>0</c:v>
                </c:pt>
                <c:pt idx="114">
                  <c:v>3.5236019425881181E-3</c:v>
                </c:pt>
                <c:pt idx="115">
                  <c:v>8.1459498750359946E-3</c:v>
                </c:pt>
                <c:pt idx="116">
                  <c:v>3.47095662682304E-3</c:v>
                </c:pt>
                <c:pt idx="117">
                  <c:v>2.0716434819416169E-2</c:v>
                </c:pt>
                <c:pt idx="118">
                  <c:v>7.8548602601155697E-3</c:v>
                </c:pt>
                <c:pt idx="119">
                  <c:v>1.2491229530004908E-2</c:v>
                </c:pt>
                <c:pt idx="120">
                  <c:v>1.4001142496259432E-3</c:v>
                </c:pt>
                <c:pt idx="121">
                  <c:v>3.3140007341679501E-3</c:v>
                </c:pt>
                <c:pt idx="122">
                  <c:v>2.1206801740036932E-2</c:v>
                </c:pt>
                <c:pt idx="123">
                  <c:v>1.1231763260179434E-2</c:v>
                </c:pt>
                <c:pt idx="124">
                  <c:v>4.0926145199864983E-2</c:v>
                </c:pt>
                <c:pt idx="125">
                  <c:v>3.6144895343314977E-2</c:v>
                </c:pt>
                <c:pt idx="126">
                  <c:v>3.4533098356611253E-2</c:v>
                </c:pt>
                <c:pt idx="127">
                  <c:v>3.6577164789522582E-2</c:v>
                </c:pt>
                <c:pt idx="128">
                  <c:v>3.961841997539562E-2</c:v>
                </c:pt>
                <c:pt idx="129">
                  <c:v>4.1100323381095143E-2</c:v>
                </c:pt>
                <c:pt idx="130">
                  <c:v>4.228251313041697E-2</c:v>
                </c:pt>
                <c:pt idx="131">
                  <c:v>4.3194049073167276E-2</c:v>
                </c:pt>
                <c:pt idx="132">
                  <c:v>4.3624674543262278E-2</c:v>
                </c:pt>
                <c:pt idx="133">
                  <c:v>3.8192400891619196E-2</c:v>
                </c:pt>
                <c:pt idx="134">
                  <c:v>4.1038735943046779E-2</c:v>
                </c:pt>
                <c:pt idx="135">
                  <c:v>4.1424202651297613E-2</c:v>
                </c:pt>
                <c:pt idx="136">
                  <c:v>4.0501883693893612E-2</c:v>
                </c:pt>
                <c:pt idx="137">
                  <c:v>3.849426759297981E-2</c:v>
                </c:pt>
                <c:pt idx="138">
                  <c:v>3.3554782988634395E-2</c:v>
                </c:pt>
                <c:pt idx="139">
                  <c:v>3.1786137178418591E-2</c:v>
                </c:pt>
                <c:pt idx="140">
                  <c:v>3.2010641506823069E-2</c:v>
                </c:pt>
                <c:pt idx="141">
                  <c:v>1.6056572712162265E-2</c:v>
                </c:pt>
                <c:pt idx="142">
                  <c:v>1.451215244715574E-2</c:v>
                </c:pt>
                <c:pt idx="143">
                  <c:v>1.3872858159471195E-2</c:v>
                </c:pt>
                <c:pt idx="144">
                  <c:v>1.9399434282733281E-2</c:v>
                </c:pt>
                <c:pt idx="145">
                  <c:v>1.3032090179572093E-2</c:v>
                </c:pt>
                <c:pt idx="146">
                  <c:v>1.3642782797862383E-2</c:v>
                </c:pt>
                <c:pt idx="147">
                  <c:v>2.4785811572297201E-2</c:v>
                </c:pt>
                <c:pt idx="148">
                  <c:v>2.4047651331918472E-2</c:v>
                </c:pt>
                <c:pt idx="149">
                  <c:v>2.3096668186402547E-2</c:v>
                </c:pt>
                <c:pt idx="150">
                  <c:v>2.4848863306764713E-2</c:v>
                </c:pt>
                <c:pt idx="151">
                  <c:v>2.3460928467932664E-2</c:v>
                </c:pt>
                <c:pt idx="152">
                  <c:v>3.2485887106646641E-2</c:v>
                </c:pt>
                <c:pt idx="153">
                  <c:v>2.4954189962925116E-2</c:v>
                </c:pt>
                <c:pt idx="154">
                  <c:v>2.369246406461931E-2</c:v>
                </c:pt>
                <c:pt idx="155">
                  <c:v>2.4663082144150267E-2</c:v>
                </c:pt>
                <c:pt idx="156">
                  <c:v>2.238622095486208E-2</c:v>
                </c:pt>
                <c:pt idx="157">
                  <c:v>2.2682206061590247E-2</c:v>
                </c:pt>
                <c:pt idx="158">
                  <c:v>1.9222776351138771E-2</c:v>
                </c:pt>
                <c:pt idx="159">
                  <c:v>1.5991648796586325E-2</c:v>
                </c:pt>
                <c:pt idx="160">
                  <c:v>1.6877599810173054E-2</c:v>
                </c:pt>
                <c:pt idx="161">
                  <c:v>1.7677117207421732E-2</c:v>
                </c:pt>
                <c:pt idx="162">
                  <c:v>2.195603660476584E-2</c:v>
                </c:pt>
                <c:pt idx="163">
                  <c:v>2.2316782401770621E-2</c:v>
                </c:pt>
                <c:pt idx="164">
                  <c:v>1.9320561558769978E-2</c:v>
                </c:pt>
                <c:pt idx="165">
                  <c:v>1.681888404637168E-2</c:v>
                </c:pt>
                <c:pt idx="166">
                  <c:v>1.3720226506937371E-2</c:v>
                </c:pt>
                <c:pt idx="167">
                  <c:v>1.4790592830646003E-2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32-4CA7-A674-9B45826F5409}"/>
            </c:ext>
          </c:extLst>
        </c:ser>
        <c:ser>
          <c:idx val="4"/>
          <c:order val="3"/>
          <c:tx>
            <c:strRef>
              <c:f>TimeHarbor!$A$7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TimeHarbor!$B$7:$FY$7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3.4497394321801218E-2</c:v>
                </c:pt>
                <c:pt idx="87">
                  <c:v>5.2501348476225132E-2</c:v>
                </c:pt>
                <c:pt idx="88">
                  <c:v>4.7729901422630915E-2</c:v>
                </c:pt>
                <c:pt idx="89">
                  <c:v>2.2011427097125315E-2</c:v>
                </c:pt>
                <c:pt idx="90">
                  <c:v>4.9112420288378464E-2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32-4CA7-A674-9B45826F5409}"/>
            </c:ext>
          </c:extLst>
        </c:ser>
        <c:ser>
          <c:idx val="5"/>
          <c:order val="4"/>
          <c:tx>
            <c:strRef>
              <c:f>TimeHarbor!$A$8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TimeHarbor!$B$8:$FY$8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2.7589529987680619E-2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8.5948236528722681E-3</c:v>
                </c:pt>
                <c:pt idx="61">
                  <c:v>5.8982324087660824E-3</c:v>
                </c:pt>
                <c:pt idx="62">
                  <c:v>0</c:v>
                </c:pt>
                <c:pt idx="63">
                  <c:v>0</c:v>
                </c:pt>
                <c:pt idx="64">
                  <c:v>8.145694508116471E-3</c:v>
                </c:pt>
                <c:pt idx="65">
                  <c:v>1.5356891005062599E-2</c:v>
                </c:pt>
                <c:pt idx="66">
                  <c:v>0</c:v>
                </c:pt>
                <c:pt idx="67">
                  <c:v>5.6061509411366639E-4</c:v>
                </c:pt>
                <c:pt idx="68">
                  <c:v>1.4759314729430414E-2</c:v>
                </c:pt>
                <c:pt idx="69">
                  <c:v>5.8969855258644011E-2</c:v>
                </c:pt>
                <c:pt idx="70">
                  <c:v>5.7437135615659558E-2</c:v>
                </c:pt>
                <c:pt idx="71">
                  <c:v>6.0016676412309448E-2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1.4448419596242389E-2</c:v>
                </c:pt>
                <c:pt idx="80">
                  <c:v>2.85360404037114E-2</c:v>
                </c:pt>
                <c:pt idx="81">
                  <c:v>6.1196414442356184E-2</c:v>
                </c:pt>
                <c:pt idx="82">
                  <c:v>7.9312893819132563E-2</c:v>
                </c:pt>
                <c:pt idx="83">
                  <c:v>7.6180068460596745E-2</c:v>
                </c:pt>
                <c:pt idx="84">
                  <c:v>4.5800591415350166E-2</c:v>
                </c:pt>
                <c:pt idx="85">
                  <c:v>7.8297514579026742E-2</c:v>
                </c:pt>
                <c:pt idx="86">
                  <c:v>3.5570435345947185E-2</c:v>
                </c:pt>
                <c:pt idx="87">
                  <c:v>0</c:v>
                </c:pt>
                <c:pt idx="88">
                  <c:v>0</c:v>
                </c:pt>
                <c:pt idx="89">
                  <c:v>8.8171739480403643E-3</c:v>
                </c:pt>
                <c:pt idx="90">
                  <c:v>0</c:v>
                </c:pt>
                <c:pt idx="91">
                  <c:v>3.4211021499296015E-2</c:v>
                </c:pt>
                <c:pt idx="92">
                  <c:v>0</c:v>
                </c:pt>
                <c:pt idx="93">
                  <c:v>0</c:v>
                </c:pt>
                <c:pt idx="94">
                  <c:v>3.4683996221376336E-2</c:v>
                </c:pt>
                <c:pt idx="95">
                  <c:v>2.3802968822620352E-3</c:v>
                </c:pt>
                <c:pt idx="96">
                  <c:v>4.6052673893830623E-2</c:v>
                </c:pt>
                <c:pt idx="97">
                  <c:v>4.0360417832282836E-2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4.1596826752105923E-2</c:v>
                </c:pt>
                <c:pt idx="169">
                  <c:v>0</c:v>
                </c:pt>
                <c:pt idx="170">
                  <c:v>1.7057981231048996E-2</c:v>
                </c:pt>
                <c:pt idx="171">
                  <c:v>5.8291616161669953E-3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32-4CA7-A674-9B45826F5409}"/>
            </c:ext>
          </c:extLst>
        </c:ser>
        <c:ser>
          <c:idx val="6"/>
          <c:order val="5"/>
          <c:tx>
            <c:strRef>
              <c:f>TimeHarbor!$A$9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TimeHarbor!$B$9:$FY$9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1.5624023069795599E-2</c:v>
                </c:pt>
                <c:pt idx="65">
                  <c:v>2.8187884170212146E-2</c:v>
                </c:pt>
                <c:pt idx="66">
                  <c:v>3.5697259713476828E-2</c:v>
                </c:pt>
                <c:pt idx="67">
                  <c:v>1.7122850544944185E-2</c:v>
                </c:pt>
                <c:pt idx="68">
                  <c:v>2.536367873717818E-2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5.377503800338225E-3</c:v>
                </c:pt>
                <c:pt idx="90">
                  <c:v>0</c:v>
                </c:pt>
                <c:pt idx="91">
                  <c:v>6.5445471662820484E-3</c:v>
                </c:pt>
                <c:pt idx="92">
                  <c:v>1.656859229573458E-3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2.8136650627035419E-3</c:v>
                </c:pt>
                <c:pt idx="98">
                  <c:v>2.1001627710744437E-2</c:v>
                </c:pt>
                <c:pt idx="99">
                  <c:v>3.8566958658993553E-2</c:v>
                </c:pt>
                <c:pt idx="100">
                  <c:v>1.6253669850991022E-3</c:v>
                </c:pt>
                <c:pt idx="101">
                  <c:v>0</c:v>
                </c:pt>
                <c:pt idx="102">
                  <c:v>3.1083192513381031E-2</c:v>
                </c:pt>
                <c:pt idx="103">
                  <c:v>2.5921858100719931E-2</c:v>
                </c:pt>
                <c:pt idx="104">
                  <c:v>2.6319050977826761E-2</c:v>
                </c:pt>
                <c:pt idx="105">
                  <c:v>3.9638008081592492E-2</c:v>
                </c:pt>
                <c:pt idx="106">
                  <c:v>3.7004267502009913E-2</c:v>
                </c:pt>
                <c:pt idx="107">
                  <c:v>3.7137651399503015E-2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32-4CA7-A674-9B45826F5409}"/>
            </c:ext>
          </c:extLst>
        </c:ser>
        <c:ser>
          <c:idx val="7"/>
          <c:order val="6"/>
          <c:tx>
            <c:strRef>
              <c:f>TimeHarbor!$A$10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TimeHarbor!$B$10:$FY$10</c:f>
              <c:numCache>
                <c:formatCode>General</c:formatCode>
                <c:ptCount val="180"/>
                <c:pt idx="0">
                  <c:v>9.3946505422079149E-3</c:v>
                </c:pt>
                <c:pt idx="1">
                  <c:v>1.0357051243969339E-2</c:v>
                </c:pt>
                <c:pt idx="2">
                  <c:v>6.642522300215962E-3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5.1330500178514279E-3</c:v>
                </c:pt>
                <c:pt idx="37">
                  <c:v>4.7861862294503845E-3</c:v>
                </c:pt>
                <c:pt idx="38">
                  <c:v>1.0458296466642062E-2</c:v>
                </c:pt>
                <c:pt idx="39">
                  <c:v>1.0629668151163426E-2</c:v>
                </c:pt>
                <c:pt idx="40">
                  <c:v>9.72888745257754E-3</c:v>
                </c:pt>
                <c:pt idx="41">
                  <c:v>9.4852803165606184E-3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5.6587352329479394E-3</c:v>
                </c:pt>
                <c:pt idx="90">
                  <c:v>1.2193042376307693E-3</c:v>
                </c:pt>
                <c:pt idx="91">
                  <c:v>2.4948901869272307E-3</c:v>
                </c:pt>
                <c:pt idx="92">
                  <c:v>8.8006922254564024E-3</c:v>
                </c:pt>
                <c:pt idx="93">
                  <c:v>1.3329167260660759E-3</c:v>
                </c:pt>
                <c:pt idx="94">
                  <c:v>1.6026496198487386E-3</c:v>
                </c:pt>
                <c:pt idx="95">
                  <c:v>1.4238250831759649E-4</c:v>
                </c:pt>
                <c:pt idx="96">
                  <c:v>6.0265298301758188E-3</c:v>
                </c:pt>
                <c:pt idx="97">
                  <c:v>7.4387763342742596E-3</c:v>
                </c:pt>
                <c:pt idx="98">
                  <c:v>7.1005392337780224E-3</c:v>
                </c:pt>
                <c:pt idx="99">
                  <c:v>1.3419512060455906E-3</c:v>
                </c:pt>
                <c:pt idx="100">
                  <c:v>9.3586083072142185E-3</c:v>
                </c:pt>
                <c:pt idx="101">
                  <c:v>8.5677277652615388E-3</c:v>
                </c:pt>
                <c:pt idx="102">
                  <c:v>7.3884051237250994E-3</c:v>
                </c:pt>
                <c:pt idx="103">
                  <c:v>7.3298900476255488E-3</c:v>
                </c:pt>
                <c:pt idx="104">
                  <c:v>6.6584244769886782E-3</c:v>
                </c:pt>
                <c:pt idx="105">
                  <c:v>1.1706254539493076E-2</c:v>
                </c:pt>
                <c:pt idx="106">
                  <c:v>1.3146726872525641E-2</c:v>
                </c:pt>
                <c:pt idx="107">
                  <c:v>1.2439749900185842E-2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4.8714686888079076E-2</c:v>
                </c:pt>
                <c:pt idx="169">
                  <c:v>4.6164048304361625E-2</c:v>
                </c:pt>
                <c:pt idx="170">
                  <c:v>4.1861491483864678E-2</c:v>
                </c:pt>
                <c:pt idx="171">
                  <c:v>4.2098966212340015E-2</c:v>
                </c:pt>
                <c:pt idx="172">
                  <c:v>4.4232246536524217E-2</c:v>
                </c:pt>
                <c:pt idx="173">
                  <c:v>4.5858447164786265E-2</c:v>
                </c:pt>
                <c:pt idx="174">
                  <c:v>5.7316974440066427E-2</c:v>
                </c:pt>
                <c:pt idx="175">
                  <c:v>5.8384839024756281E-2</c:v>
                </c:pt>
                <c:pt idx="176">
                  <c:v>6.0177313444501515E-2</c:v>
                </c:pt>
                <c:pt idx="177">
                  <c:v>4.9859230398356255E-2</c:v>
                </c:pt>
                <c:pt idx="178">
                  <c:v>5.645888052539335E-2</c:v>
                </c:pt>
                <c:pt idx="179">
                  <c:v>5.9657310001083097E-2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32-4CA7-A674-9B45826F5409}"/>
            </c:ext>
          </c:extLst>
        </c:ser>
        <c:ser>
          <c:idx val="8"/>
          <c:order val="7"/>
          <c:tx>
            <c:strRef>
              <c:f>TimeHarbor!$A$11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TimeHarbor!$B$11:$FY$11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7.7323672835629825E-3</c:v>
                </c:pt>
                <c:pt idx="78">
                  <c:v>9.8043611229052294E-2</c:v>
                </c:pt>
                <c:pt idx="79">
                  <c:v>8.5780602119116423E-2</c:v>
                </c:pt>
                <c:pt idx="80">
                  <c:v>8.4021716483620862E-2</c:v>
                </c:pt>
                <c:pt idx="81">
                  <c:v>6.5495778404319999E-2</c:v>
                </c:pt>
                <c:pt idx="82">
                  <c:v>8.4859247527158788E-2</c:v>
                </c:pt>
                <c:pt idx="83">
                  <c:v>0.10160590815606708</c:v>
                </c:pt>
                <c:pt idx="84">
                  <c:v>0.12062867264216255</c:v>
                </c:pt>
                <c:pt idx="85">
                  <c:v>0.12431650072712176</c:v>
                </c:pt>
                <c:pt idx="86">
                  <c:v>0.19337124496624244</c:v>
                </c:pt>
                <c:pt idx="87">
                  <c:v>0.25694671687921999</c:v>
                </c:pt>
                <c:pt idx="88">
                  <c:v>0.26606590736284091</c:v>
                </c:pt>
                <c:pt idx="89">
                  <c:v>0.32126608387391659</c:v>
                </c:pt>
                <c:pt idx="90">
                  <c:v>0.2649455955559174</c:v>
                </c:pt>
                <c:pt idx="91">
                  <c:v>0.23855239333327741</c:v>
                </c:pt>
                <c:pt idx="92">
                  <c:v>0.26216564603576303</c:v>
                </c:pt>
                <c:pt idx="93">
                  <c:v>0.26291390248550361</c:v>
                </c:pt>
                <c:pt idx="94">
                  <c:v>0.28940431043670711</c:v>
                </c:pt>
                <c:pt idx="95">
                  <c:v>0.25146241461875574</c:v>
                </c:pt>
                <c:pt idx="96">
                  <c:v>0.2740654028961631</c:v>
                </c:pt>
                <c:pt idx="97">
                  <c:v>0.27592861197392377</c:v>
                </c:pt>
                <c:pt idx="98">
                  <c:v>0.31922935665963253</c:v>
                </c:pt>
                <c:pt idx="99">
                  <c:v>0.32832614918145853</c:v>
                </c:pt>
                <c:pt idx="100">
                  <c:v>0.4172047177980544</c:v>
                </c:pt>
                <c:pt idx="101">
                  <c:v>0.4241814053711977</c:v>
                </c:pt>
                <c:pt idx="102">
                  <c:v>0.3400233823890666</c:v>
                </c:pt>
                <c:pt idx="103">
                  <c:v>0.30158856048048166</c:v>
                </c:pt>
                <c:pt idx="104">
                  <c:v>0.30485263140032887</c:v>
                </c:pt>
                <c:pt idx="105">
                  <c:v>0.31045023505077118</c:v>
                </c:pt>
                <c:pt idx="106">
                  <c:v>0.32950566660476205</c:v>
                </c:pt>
                <c:pt idx="107">
                  <c:v>0.33238440299792932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0.16910180202143804</c:v>
                </c:pt>
                <c:pt idx="169">
                  <c:v>0.1734867242162072</c:v>
                </c:pt>
                <c:pt idx="170">
                  <c:v>0.16946301593069271</c:v>
                </c:pt>
                <c:pt idx="171">
                  <c:v>0.17781505395502586</c:v>
                </c:pt>
                <c:pt idx="172">
                  <c:v>0.16149261879840626</c:v>
                </c:pt>
                <c:pt idx="173">
                  <c:v>0.16298620014565945</c:v>
                </c:pt>
                <c:pt idx="174">
                  <c:v>0.17351378403593493</c:v>
                </c:pt>
                <c:pt idx="175">
                  <c:v>0.18601069241839499</c:v>
                </c:pt>
                <c:pt idx="176">
                  <c:v>0.18264352653024429</c:v>
                </c:pt>
                <c:pt idx="177">
                  <c:v>0.23429019261658357</c:v>
                </c:pt>
                <c:pt idx="178">
                  <c:v>0.22490630777517559</c:v>
                </c:pt>
                <c:pt idx="179">
                  <c:v>0.20848377903252294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32-4CA7-A674-9B45826F5409}"/>
            </c:ext>
          </c:extLst>
        </c:ser>
        <c:ser>
          <c:idx val="9"/>
          <c:order val="8"/>
          <c:tx>
            <c:strRef>
              <c:f>TimeHarbor!$A$12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TimeHarbor!$B$12:$FY$12</c:f>
              <c:numCache>
                <c:formatCode>General</c:formatCode>
                <c:ptCount val="180"/>
                <c:pt idx="0">
                  <c:v>0.65262049011225809</c:v>
                </c:pt>
                <c:pt idx="1">
                  <c:v>0.65068109726506596</c:v>
                </c:pt>
                <c:pt idx="2">
                  <c:v>0.64294020980216926</c:v>
                </c:pt>
                <c:pt idx="3">
                  <c:v>0.65367462073647087</c:v>
                </c:pt>
                <c:pt idx="4">
                  <c:v>0.66296588196757567</c:v>
                </c:pt>
                <c:pt idx="5">
                  <c:v>0.66365532865207688</c:v>
                </c:pt>
                <c:pt idx="6">
                  <c:v>0.66493293478153626</c:v>
                </c:pt>
                <c:pt idx="7">
                  <c:v>0.66985857784534575</c:v>
                </c:pt>
                <c:pt idx="8">
                  <c:v>0.67725784712563275</c:v>
                </c:pt>
                <c:pt idx="9">
                  <c:v>0.68412887794633026</c:v>
                </c:pt>
                <c:pt idx="10">
                  <c:v>0.68705830265784418</c:v>
                </c:pt>
                <c:pt idx="11">
                  <c:v>0.69472920938891347</c:v>
                </c:pt>
                <c:pt idx="12">
                  <c:v>0.62261770575888564</c:v>
                </c:pt>
                <c:pt idx="13">
                  <c:v>0.57225075665790459</c:v>
                </c:pt>
                <c:pt idx="14">
                  <c:v>0.63558691888533003</c:v>
                </c:pt>
                <c:pt idx="15">
                  <c:v>0.71703902941102549</c:v>
                </c:pt>
                <c:pt idx="16">
                  <c:v>0.71614721454357888</c:v>
                </c:pt>
                <c:pt idx="17">
                  <c:v>0.73748302985912673</c:v>
                </c:pt>
                <c:pt idx="18">
                  <c:v>0.76865891612828197</c:v>
                </c:pt>
                <c:pt idx="19">
                  <c:v>0.76730150973655153</c:v>
                </c:pt>
                <c:pt idx="20">
                  <c:v>0.7695387863129074</c:v>
                </c:pt>
                <c:pt idx="21">
                  <c:v>0.76960902573021095</c:v>
                </c:pt>
                <c:pt idx="22">
                  <c:v>0.78257920663509195</c:v>
                </c:pt>
                <c:pt idx="23">
                  <c:v>0.76626191573656333</c:v>
                </c:pt>
                <c:pt idx="24">
                  <c:v>0.77184898382474332</c:v>
                </c:pt>
                <c:pt idx="25">
                  <c:v>0.77141553779867256</c:v>
                </c:pt>
                <c:pt idx="26">
                  <c:v>0.74195273780624738</c:v>
                </c:pt>
                <c:pt idx="27">
                  <c:v>0.74207436277882755</c:v>
                </c:pt>
                <c:pt idx="28">
                  <c:v>0.75169809284393641</c:v>
                </c:pt>
                <c:pt idx="29">
                  <c:v>0.74542978720807063</c:v>
                </c:pt>
                <c:pt idx="30">
                  <c:v>0.73334008933875161</c:v>
                </c:pt>
                <c:pt idx="31">
                  <c:v>0.72441634789546516</c:v>
                </c:pt>
                <c:pt idx="32">
                  <c:v>0.71110168089945514</c:v>
                </c:pt>
                <c:pt idx="33">
                  <c:v>0.71206518441303523</c:v>
                </c:pt>
                <c:pt idx="34">
                  <c:v>0.71398031500621562</c:v>
                </c:pt>
                <c:pt idx="35">
                  <c:v>0.71670996273585896</c:v>
                </c:pt>
                <c:pt idx="36">
                  <c:v>0.65290894743925298</c:v>
                </c:pt>
                <c:pt idx="37">
                  <c:v>0.65131810930318568</c:v>
                </c:pt>
                <c:pt idx="38">
                  <c:v>0.65073150895110399</c:v>
                </c:pt>
                <c:pt idx="39">
                  <c:v>0.64990081881110762</c:v>
                </c:pt>
                <c:pt idx="40">
                  <c:v>0.63765141111099832</c:v>
                </c:pt>
                <c:pt idx="41">
                  <c:v>0.63794102210793635</c:v>
                </c:pt>
                <c:pt idx="42">
                  <c:v>0.6685337244713323</c:v>
                </c:pt>
                <c:pt idx="43">
                  <c:v>0.63664036961549697</c:v>
                </c:pt>
                <c:pt idx="44">
                  <c:v>0.64713970998409287</c:v>
                </c:pt>
                <c:pt idx="45">
                  <c:v>0.67561120307839473</c:v>
                </c:pt>
                <c:pt idx="46">
                  <c:v>0.68355182783307011</c:v>
                </c:pt>
                <c:pt idx="47">
                  <c:v>0.67210472195019355</c:v>
                </c:pt>
                <c:pt idx="48">
                  <c:v>0.72469095639713321</c:v>
                </c:pt>
                <c:pt idx="49">
                  <c:v>0.71831253161433328</c:v>
                </c:pt>
                <c:pt idx="50">
                  <c:v>0.71418066488074439</c:v>
                </c:pt>
                <c:pt idx="51">
                  <c:v>0.72076552698933738</c:v>
                </c:pt>
                <c:pt idx="52">
                  <c:v>0.71488372391146993</c:v>
                </c:pt>
                <c:pt idx="53">
                  <c:v>0.71057018316870468</c:v>
                </c:pt>
                <c:pt idx="54">
                  <c:v>0.7223861789281194</c:v>
                </c:pt>
                <c:pt idx="55">
                  <c:v>0.72538990805268788</c:v>
                </c:pt>
                <c:pt idx="56">
                  <c:v>0.73203989220864629</c:v>
                </c:pt>
                <c:pt idx="57">
                  <c:v>0.73111652211897793</c:v>
                </c:pt>
                <c:pt idx="58">
                  <c:v>0.73238560943754005</c:v>
                </c:pt>
                <c:pt idx="59">
                  <c:v>0.73055812829397715</c:v>
                </c:pt>
                <c:pt idx="60">
                  <c:v>0.77059962086302436</c:v>
                </c:pt>
                <c:pt idx="61">
                  <c:v>0.77082792254532428</c:v>
                </c:pt>
                <c:pt idx="62">
                  <c:v>0.75584513961543276</c:v>
                </c:pt>
                <c:pt idx="63">
                  <c:v>0.7575921373441179</c:v>
                </c:pt>
                <c:pt idx="64">
                  <c:v>0.78838995054126104</c:v>
                </c:pt>
                <c:pt idx="65">
                  <c:v>0.79019206308788636</c:v>
                </c:pt>
                <c:pt idx="66">
                  <c:v>0.79241470744322484</c:v>
                </c:pt>
                <c:pt idx="67">
                  <c:v>0.79365988272424071</c:v>
                </c:pt>
                <c:pt idx="68">
                  <c:v>0.79111462630330476</c:v>
                </c:pt>
                <c:pt idx="69">
                  <c:v>0.79152670861505892</c:v>
                </c:pt>
                <c:pt idx="70">
                  <c:v>0.78500028932443788</c:v>
                </c:pt>
                <c:pt idx="71">
                  <c:v>0.78463975534938135</c:v>
                </c:pt>
                <c:pt idx="72">
                  <c:v>0.82081267896751531</c:v>
                </c:pt>
                <c:pt idx="73">
                  <c:v>0.82884446758238151</c:v>
                </c:pt>
                <c:pt idx="74">
                  <c:v>0.8013577599580578</c:v>
                </c:pt>
                <c:pt idx="75">
                  <c:v>0.7510436483344114</c:v>
                </c:pt>
                <c:pt idx="76">
                  <c:v>0.75104141876750952</c:v>
                </c:pt>
                <c:pt idx="77">
                  <c:v>0.72693090005745609</c:v>
                </c:pt>
                <c:pt idx="78">
                  <c:v>0.59715522669289667</c:v>
                </c:pt>
                <c:pt idx="79">
                  <c:v>0.60914471157061811</c:v>
                </c:pt>
                <c:pt idx="80">
                  <c:v>0.60935166852850298</c:v>
                </c:pt>
                <c:pt idx="81">
                  <c:v>0.62769867370567345</c:v>
                </c:pt>
                <c:pt idx="82">
                  <c:v>0.55542045167392828</c:v>
                </c:pt>
                <c:pt idx="83">
                  <c:v>0.53417047774834381</c:v>
                </c:pt>
                <c:pt idx="84">
                  <c:v>0.5263475363326533</c:v>
                </c:pt>
                <c:pt idx="85">
                  <c:v>0.5557807109598184</c:v>
                </c:pt>
                <c:pt idx="86">
                  <c:v>0.51965271192728679</c:v>
                </c:pt>
                <c:pt idx="87">
                  <c:v>0.45887479055293129</c:v>
                </c:pt>
                <c:pt idx="88">
                  <c:v>0.44490407856467074</c:v>
                </c:pt>
                <c:pt idx="89">
                  <c:v>0.36210296987994817</c:v>
                </c:pt>
                <c:pt idx="90">
                  <c:v>0.47312845057960479</c:v>
                </c:pt>
                <c:pt idx="91">
                  <c:v>0.52936751657749515</c:v>
                </c:pt>
                <c:pt idx="92">
                  <c:v>0.54816274510153773</c:v>
                </c:pt>
                <c:pt idx="93">
                  <c:v>0.55537125006760268</c:v>
                </c:pt>
                <c:pt idx="94">
                  <c:v>0.51993997093405175</c:v>
                </c:pt>
                <c:pt idx="95">
                  <c:v>0.56246330004819867</c:v>
                </c:pt>
                <c:pt idx="96">
                  <c:v>0.55526007752352491</c:v>
                </c:pt>
                <c:pt idx="97">
                  <c:v>0.56335866824919634</c:v>
                </c:pt>
                <c:pt idx="98">
                  <c:v>0.5609008684360457</c:v>
                </c:pt>
                <c:pt idx="99">
                  <c:v>0.55331845645454247</c:v>
                </c:pt>
                <c:pt idx="100">
                  <c:v>0.52991499647325901</c:v>
                </c:pt>
                <c:pt idx="101">
                  <c:v>0.51915876233916736</c:v>
                </c:pt>
                <c:pt idx="102">
                  <c:v>0.58196099786952815</c:v>
                </c:pt>
                <c:pt idx="103">
                  <c:v>0.63491797227113755</c:v>
                </c:pt>
                <c:pt idx="104">
                  <c:v>0.63607889348300439</c:v>
                </c:pt>
                <c:pt idx="105">
                  <c:v>0.59305988512388497</c:v>
                </c:pt>
                <c:pt idx="106">
                  <c:v>0.58617281467938442</c:v>
                </c:pt>
                <c:pt idx="107">
                  <c:v>0.57822078491767825</c:v>
                </c:pt>
                <c:pt idx="108">
                  <c:v>0.88095755851065727</c:v>
                </c:pt>
                <c:pt idx="109">
                  <c:v>0.87972949912224518</c:v>
                </c:pt>
                <c:pt idx="110">
                  <c:v>0.84735557985145216</c:v>
                </c:pt>
                <c:pt idx="111">
                  <c:v>0.83315779647766608</c:v>
                </c:pt>
                <c:pt idx="112">
                  <c:v>0.83770493132380719</c:v>
                </c:pt>
                <c:pt idx="113">
                  <c:v>0.83549262100806543</c:v>
                </c:pt>
                <c:pt idx="114">
                  <c:v>0.81946731566652797</c:v>
                </c:pt>
                <c:pt idx="115">
                  <c:v>0.80755739187355735</c:v>
                </c:pt>
                <c:pt idx="116">
                  <c:v>0.81920579304045282</c:v>
                </c:pt>
                <c:pt idx="117">
                  <c:v>0.83009258998436419</c:v>
                </c:pt>
                <c:pt idx="118">
                  <c:v>0.85061458319578487</c:v>
                </c:pt>
                <c:pt idx="119">
                  <c:v>0.8409881620367331</c:v>
                </c:pt>
                <c:pt idx="120">
                  <c:v>0.8552317728298825</c:v>
                </c:pt>
                <c:pt idx="121">
                  <c:v>0.84283060145316602</c:v>
                </c:pt>
                <c:pt idx="122">
                  <c:v>0.82309697995455511</c:v>
                </c:pt>
                <c:pt idx="123">
                  <c:v>0.79428802846074409</c:v>
                </c:pt>
                <c:pt idx="124">
                  <c:v>0.76953432334704619</c:v>
                </c:pt>
                <c:pt idx="125">
                  <c:v>0.76740620278386695</c:v>
                </c:pt>
                <c:pt idx="126">
                  <c:v>0.76845406184457699</c:v>
                </c:pt>
                <c:pt idx="127">
                  <c:v>0.75909239656261118</c:v>
                </c:pt>
                <c:pt idx="128">
                  <c:v>0.75571255601228093</c:v>
                </c:pt>
                <c:pt idx="129">
                  <c:v>0.76712439753731254</c:v>
                </c:pt>
                <c:pt idx="130">
                  <c:v>0.76486547223296042</c:v>
                </c:pt>
                <c:pt idx="131">
                  <c:v>0.77217613899971183</c:v>
                </c:pt>
                <c:pt idx="132">
                  <c:v>0.77322387567806594</c:v>
                </c:pt>
                <c:pt idx="133">
                  <c:v>0.78604197435637724</c:v>
                </c:pt>
                <c:pt idx="134">
                  <c:v>0.78597509207001237</c:v>
                </c:pt>
                <c:pt idx="135">
                  <c:v>0.784011308954353</c:v>
                </c:pt>
                <c:pt idx="136">
                  <c:v>0.7827868076259179</c:v>
                </c:pt>
                <c:pt idx="137">
                  <c:v>0.78215460229186895</c:v>
                </c:pt>
                <c:pt idx="138">
                  <c:v>0.78901309979641177</c:v>
                </c:pt>
                <c:pt idx="139">
                  <c:v>0.79182878362495945</c:v>
                </c:pt>
                <c:pt idx="140">
                  <c:v>0.77773695733468917</c:v>
                </c:pt>
                <c:pt idx="141">
                  <c:v>0.75898968175393744</c:v>
                </c:pt>
                <c:pt idx="142">
                  <c:v>0.75848736526212013</c:v>
                </c:pt>
                <c:pt idx="143">
                  <c:v>0.75931755593084127</c:v>
                </c:pt>
                <c:pt idx="144">
                  <c:v>0.73225453393796025</c:v>
                </c:pt>
                <c:pt idx="145">
                  <c:v>0.72582597463442999</c:v>
                </c:pt>
                <c:pt idx="146">
                  <c:v>0.72711522637627779</c:v>
                </c:pt>
                <c:pt idx="147">
                  <c:v>0.75060628518218586</c:v>
                </c:pt>
                <c:pt idx="148">
                  <c:v>0.74933635126781351</c:v>
                </c:pt>
                <c:pt idx="149">
                  <c:v>0.7448967769735283</c:v>
                </c:pt>
                <c:pt idx="150">
                  <c:v>0.74816442076443379</c:v>
                </c:pt>
                <c:pt idx="151">
                  <c:v>0.75289652338043245</c:v>
                </c:pt>
                <c:pt idx="152">
                  <c:v>0.75415612613897376</c:v>
                </c:pt>
                <c:pt idx="153">
                  <c:v>0.75246446272800949</c:v>
                </c:pt>
                <c:pt idx="154">
                  <c:v>0.76387071735724632</c:v>
                </c:pt>
                <c:pt idx="155">
                  <c:v>0.77032115051647942</c:v>
                </c:pt>
                <c:pt idx="156">
                  <c:v>0.76511804180500043</c:v>
                </c:pt>
                <c:pt idx="157">
                  <c:v>0.7653728986385101</c:v>
                </c:pt>
                <c:pt idx="158">
                  <c:v>0.74799226680621644</c:v>
                </c:pt>
                <c:pt idx="159">
                  <c:v>0.75681295918204072</c:v>
                </c:pt>
                <c:pt idx="160">
                  <c:v>0.74817432568746567</c:v>
                </c:pt>
                <c:pt idx="161">
                  <c:v>0.74585437609406535</c:v>
                </c:pt>
                <c:pt idx="162">
                  <c:v>0.7380710695646272</c:v>
                </c:pt>
                <c:pt idx="163">
                  <c:v>0.73803424848901455</c:v>
                </c:pt>
                <c:pt idx="164">
                  <c:v>0.73460472004343103</c:v>
                </c:pt>
                <c:pt idx="165">
                  <c:v>0.74069711445355113</c:v>
                </c:pt>
                <c:pt idx="166">
                  <c:v>0.74204268826504916</c:v>
                </c:pt>
                <c:pt idx="167">
                  <c:v>0.74023126924353932</c:v>
                </c:pt>
                <c:pt idx="168">
                  <c:v>0.63220767718034121</c:v>
                </c:pt>
                <c:pt idx="169">
                  <c:v>0.63313425334441442</c:v>
                </c:pt>
                <c:pt idx="170">
                  <c:v>0.64807349815389204</c:v>
                </c:pt>
                <c:pt idx="171">
                  <c:v>0.65285541736549513</c:v>
                </c:pt>
                <c:pt idx="172">
                  <c:v>0.66284882048045846</c:v>
                </c:pt>
                <c:pt idx="173">
                  <c:v>0.65826251927240986</c:v>
                </c:pt>
                <c:pt idx="174">
                  <c:v>0.61760092214412732</c:v>
                </c:pt>
                <c:pt idx="175">
                  <c:v>0.59746265883862648</c:v>
                </c:pt>
                <c:pt idx="176">
                  <c:v>0.59505091121013787</c:v>
                </c:pt>
                <c:pt idx="177">
                  <c:v>0.52481817772924033</c:v>
                </c:pt>
                <c:pt idx="178">
                  <c:v>0.51499914735562913</c:v>
                </c:pt>
                <c:pt idx="179">
                  <c:v>0.51648809363302539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32-4CA7-A674-9B45826F5409}"/>
            </c:ext>
          </c:extLst>
        </c:ser>
        <c:ser>
          <c:idx val="10"/>
          <c:order val="9"/>
          <c:tx>
            <c:strRef>
              <c:f>TimeHarbor!$A$13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TimeHarbor!$B$13:$FY$13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5.4475054883988267E-5</c:v>
                </c:pt>
                <c:pt idx="77">
                  <c:v>0</c:v>
                </c:pt>
                <c:pt idx="78">
                  <c:v>1.743504080645816E-2</c:v>
                </c:pt>
                <c:pt idx="79">
                  <c:v>3.5061978593995673E-2</c:v>
                </c:pt>
                <c:pt idx="80">
                  <c:v>4.5549094472093439E-2</c:v>
                </c:pt>
                <c:pt idx="81">
                  <c:v>6.3008631179518909E-2</c:v>
                </c:pt>
                <c:pt idx="82">
                  <c:v>0.10568485542502357</c:v>
                </c:pt>
                <c:pt idx="83">
                  <c:v>0.15441148155102816</c:v>
                </c:pt>
                <c:pt idx="84">
                  <c:v>0.1374711363974766</c:v>
                </c:pt>
                <c:pt idx="85">
                  <c:v>0.11266225782866034</c:v>
                </c:pt>
                <c:pt idx="86">
                  <c:v>0.13445416314647821</c:v>
                </c:pt>
                <c:pt idx="87">
                  <c:v>0.13334000379115549</c:v>
                </c:pt>
                <c:pt idx="88">
                  <c:v>0.15276293883045436</c:v>
                </c:pt>
                <c:pt idx="89">
                  <c:v>0.15842814195424579</c:v>
                </c:pt>
                <c:pt idx="90">
                  <c:v>0.10957644929330293</c:v>
                </c:pt>
                <c:pt idx="91">
                  <c:v>6.6462163857096482E-2</c:v>
                </c:pt>
                <c:pt idx="92">
                  <c:v>4.6791047305044679E-2</c:v>
                </c:pt>
                <c:pt idx="93">
                  <c:v>2.747128343608303E-2</c:v>
                </c:pt>
                <c:pt idx="94">
                  <c:v>4.8249386469569264E-2</c:v>
                </c:pt>
                <c:pt idx="95">
                  <c:v>3.6551596383772013E-2</c:v>
                </c:pt>
                <c:pt idx="96">
                  <c:v>3.8871178760132137E-2</c:v>
                </c:pt>
                <c:pt idx="97">
                  <c:v>2.6889844495781551E-2</c:v>
                </c:pt>
                <c:pt idx="98">
                  <c:v>4.0232381638389885E-3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4.33999303890986E-3</c:v>
                </c:pt>
                <c:pt idx="175">
                  <c:v>9.9092712913493898E-3</c:v>
                </c:pt>
                <c:pt idx="176">
                  <c:v>1.0534010312660633E-2</c:v>
                </c:pt>
                <c:pt idx="177">
                  <c:v>2.1130991572592964E-2</c:v>
                </c:pt>
                <c:pt idx="178">
                  <c:v>3.4790919073267278E-2</c:v>
                </c:pt>
                <c:pt idx="179">
                  <c:v>4.467225849739883E-2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32-4CA7-A674-9B45826F5409}"/>
            </c:ext>
          </c:extLst>
        </c:ser>
        <c:ser>
          <c:idx val="11"/>
          <c:order val="10"/>
          <c:tx>
            <c:strRef>
              <c:f>TimeHarbor!$A$14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TimeHarbor!$B$14:$FY$14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32-4CA7-A674-9B45826F5409}"/>
            </c:ext>
          </c:extLst>
        </c:ser>
        <c:ser>
          <c:idx val="12"/>
          <c:order val="11"/>
          <c:tx>
            <c:strRef>
              <c:f>TimeHarbor!$A$15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TimeHarbor!$B$15:$FY$15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6.6804071652048089E-2</c:v>
                </c:pt>
                <c:pt idx="13">
                  <c:v>0.11092365487340629</c:v>
                </c:pt>
                <c:pt idx="14">
                  <c:v>6.7980747732687363E-2</c:v>
                </c:pt>
                <c:pt idx="15">
                  <c:v>3.6654146798519908E-2</c:v>
                </c:pt>
                <c:pt idx="16">
                  <c:v>4.3053154849900757E-2</c:v>
                </c:pt>
                <c:pt idx="17">
                  <c:v>3.3798529778092369E-2</c:v>
                </c:pt>
                <c:pt idx="18">
                  <c:v>2.9827617812487595E-2</c:v>
                </c:pt>
                <c:pt idx="19">
                  <c:v>3.4649598466463719E-2</c:v>
                </c:pt>
                <c:pt idx="20">
                  <c:v>2.5545870930999963E-2</c:v>
                </c:pt>
                <c:pt idx="21">
                  <c:v>2.1271760084141309E-2</c:v>
                </c:pt>
                <c:pt idx="22">
                  <c:v>2.0574584114270888E-2</c:v>
                </c:pt>
                <c:pt idx="23">
                  <c:v>3.0503236271371456E-2</c:v>
                </c:pt>
                <c:pt idx="24">
                  <c:v>3.4093227486458939E-2</c:v>
                </c:pt>
                <c:pt idx="25">
                  <c:v>3.4839188529471633E-2</c:v>
                </c:pt>
                <c:pt idx="26">
                  <c:v>5.3995934939605812E-2</c:v>
                </c:pt>
                <c:pt idx="27">
                  <c:v>5.4662942686046684E-2</c:v>
                </c:pt>
                <c:pt idx="28">
                  <c:v>5.3245929567482198E-2</c:v>
                </c:pt>
                <c:pt idx="29">
                  <c:v>6.1233201560506365E-2</c:v>
                </c:pt>
                <c:pt idx="30">
                  <c:v>7.2260274661188173E-2</c:v>
                </c:pt>
                <c:pt idx="31">
                  <c:v>8.0028009892716828E-2</c:v>
                </c:pt>
                <c:pt idx="32">
                  <c:v>8.632747624049518E-2</c:v>
                </c:pt>
                <c:pt idx="33">
                  <c:v>0.10076796354110393</c:v>
                </c:pt>
                <c:pt idx="34">
                  <c:v>9.8488989375169866E-2</c:v>
                </c:pt>
                <c:pt idx="35">
                  <c:v>0.10906566017338166</c:v>
                </c:pt>
                <c:pt idx="36">
                  <c:v>0.18709945429838945</c:v>
                </c:pt>
                <c:pt idx="37">
                  <c:v>0.1883268347622781</c:v>
                </c:pt>
                <c:pt idx="38">
                  <c:v>0.18652555246926616</c:v>
                </c:pt>
                <c:pt idx="39">
                  <c:v>0.18801105168974813</c:v>
                </c:pt>
                <c:pt idx="40">
                  <c:v>0.19507752475148837</c:v>
                </c:pt>
                <c:pt idx="41">
                  <c:v>0.18877297844725713</c:v>
                </c:pt>
                <c:pt idx="42">
                  <c:v>0.18694101932652393</c:v>
                </c:pt>
                <c:pt idx="43">
                  <c:v>0.1847092297542928</c:v>
                </c:pt>
                <c:pt idx="44">
                  <c:v>0.16274195407665451</c:v>
                </c:pt>
                <c:pt idx="45">
                  <c:v>0.16227873028632139</c:v>
                </c:pt>
                <c:pt idx="46">
                  <c:v>0.14973548884561125</c:v>
                </c:pt>
                <c:pt idx="47">
                  <c:v>0.15528916041805665</c:v>
                </c:pt>
                <c:pt idx="48">
                  <c:v>0.1920721103057797</c:v>
                </c:pt>
                <c:pt idx="49">
                  <c:v>0.19090541520564303</c:v>
                </c:pt>
                <c:pt idx="50">
                  <c:v>0.19411778376016231</c:v>
                </c:pt>
                <c:pt idx="51">
                  <c:v>0.19170139385157836</c:v>
                </c:pt>
                <c:pt idx="52">
                  <c:v>0.17844069671236842</c:v>
                </c:pt>
                <c:pt idx="53">
                  <c:v>0.17973960092027924</c:v>
                </c:pt>
                <c:pt idx="54">
                  <c:v>0.17747575721153788</c:v>
                </c:pt>
                <c:pt idx="55">
                  <c:v>0.17237942525900904</c:v>
                </c:pt>
                <c:pt idx="56">
                  <c:v>0.18455264348836981</c:v>
                </c:pt>
                <c:pt idx="57">
                  <c:v>0.18570966383657253</c:v>
                </c:pt>
                <c:pt idx="58">
                  <c:v>0.18343287414625145</c:v>
                </c:pt>
                <c:pt idx="59">
                  <c:v>0.18524867402730946</c:v>
                </c:pt>
                <c:pt idx="60">
                  <c:v>0.18190528756188834</c:v>
                </c:pt>
                <c:pt idx="61">
                  <c:v>0.18084227285452847</c:v>
                </c:pt>
                <c:pt idx="62">
                  <c:v>0.20037660503227919</c:v>
                </c:pt>
                <c:pt idx="63">
                  <c:v>0.19677133111659992</c:v>
                </c:pt>
                <c:pt idx="64">
                  <c:v>0.16952249218013593</c:v>
                </c:pt>
                <c:pt idx="65">
                  <c:v>0.16626316173683861</c:v>
                </c:pt>
                <c:pt idx="66">
                  <c:v>0.16237410085708012</c:v>
                </c:pt>
                <c:pt idx="67">
                  <c:v>0.15957862567236603</c:v>
                </c:pt>
                <c:pt idx="68">
                  <c:v>0.15711331175122886</c:v>
                </c:pt>
                <c:pt idx="69">
                  <c:v>0.1460172944594802</c:v>
                </c:pt>
                <c:pt idx="70">
                  <c:v>0.15317392903938171</c:v>
                </c:pt>
                <c:pt idx="71">
                  <c:v>0.1529017185576142</c:v>
                </c:pt>
                <c:pt idx="72">
                  <c:v>9.6417354186469517E-2</c:v>
                </c:pt>
                <c:pt idx="73">
                  <c:v>6.688117378077657E-2</c:v>
                </c:pt>
                <c:pt idx="74">
                  <c:v>8.6701625958863535E-2</c:v>
                </c:pt>
                <c:pt idx="75">
                  <c:v>0.10018740503416035</c:v>
                </c:pt>
                <c:pt idx="76">
                  <c:v>9.324914959358345E-2</c:v>
                </c:pt>
                <c:pt idx="77">
                  <c:v>9.3726016152945998E-2</c:v>
                </c:pt>
                <c:pt idx="78">
                  <c:v>0.12808226794669961</c:v>
                </c:pt>
                <c:pt idx="79">
                  <c:v>9.7174102109404553E-2</c:v>
                </c:pt>
                <c:pt idx="80">
                  <c:v>9.1297685861778097E-2</c:v>
                </c:pt>
                <c:pt idx="81">
                  <c:v>7.8052149300535417E-2</c:v>
                </c:pt>
                <c:pt idx="82">
                  <c:v>6.5827966901850291E-2</c:v>
                </c:pt>
                <c:pt idx="83">
                  <c:v>3.3593243415251488E-2</c:v>
                </c:pt>
                <c:pt idx="84">
                  <c:v>4.3907123136541437E-2</c:v>
                </c:pt>
                <c:pt idx="85">
                  <c:v>2.4976103244273521E-2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32-4CA7-A674-9B45826F5409}"/>
            </c:ext>
          </c:extLst>
        </c:ser>
        <c:ser>
          <c:idx val="13"/>
          <c:order val="12"/>
          <c:tx>
            <c:strRef>
              <c:f>TimeHarbor!$A$16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TimeHarbor!$B$16:$FY$16</c:f>
              <c:numCache>
                <c:formatCode>General</c:formatCode>
                <c:ptCount val="180"/>
                <c:pt idx="0">
                  <c:v>2.1593648899155015E-3</c:v>
                </c:pt>
                <c:pt idx="1">
                  <c:v>3.3479028344406731E-3</c:v>
                </c:pt>
                <c:pt idx="2">
                  <c:v>1.2207396046867618E-2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32-4CA7-A674-9B45826F5409}"/>
            </c:ext>
          </c:extLst>
        </c:ser>
        <c:ser>
          <c:idx val="14"/>
          <c:order val="13"/>
          <c:tx>
            <c:strRef>
              <c:f>TimeHarbor!$A$17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TimeHarbor!$B$17:$FY$17</c:f>
              <c:numCache>
                <c:formatCode>General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3.5021225165684046E-2</c:v>
                </c:pt>
                <c:pt idx="90">
                  <c:v>4.0146125708778657E-3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1.437356805155836E-2</c:v>
                </c:pt>
                <c:pt idx="111">
                  <c:v>2.7232223306666831E-2</c:v>
                </c:pt>
                <c:pt idx="112">
                  <c:v>4.7765508759107497E-2</c:v>
                </c:pt>
                <c:pt idx="113">
                  <c:v>4.8592243645850353E-2</c:v>
                </c:pt>
                <c:pt idx="114">
                  <c:v>5.3635480349858725E-2</c:v>
                </c:pt>
                <c:pt idx="115">
                  <c:v>6.1218998080124286E-2</c:v>
                </c:pt>
                <c:pt idx="116">
                  <c:v>3.9901630903537301E-2</c:v>
                </c:pt>
                <c:pt idx="117">
                  <c:v>1.3216538829331905E-2</c:v>
                </c:pt>
                <c:pt idx="118">
                  <c:v>3.8154656852521229E-3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1.2763502877509752E-2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2.8554327213526211E-3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2.0151894872990289E-3</c:v>
                </c:pt>
                <c:pt idx="155">
                  <c:v>1.8088392522354124E-4</c:v>
                </c:pt>
                <c:pt idx="156">
                  <c:v>6.7202822185073929E-3</c:v>
                </c:pt>
                <c:pt idx="157">
                  <c:v>1.0173094732812244E-2</c:v>
                </c:pt>
                <c:pt idx="158">
                  <c:v>1.0195732498979981E-2</c:v>
                </c:pt>
                <c:pt idx="159">
                  <c:v>3.1715092880827359E-3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5.4013305590095619E-3</c:v>
                </c:pt>
                <c:pt idx="165">
                  <c:v>4.9716050470598478E-3</c:v>
                </c:pt>
                <c:pt idx="166">
                  <c:v>1.0099764085593339E-2</c:v>
                </c:pt>
                <c:pt idx="167">
                  <c:v>1.0390409458209923E-2</c:v>
                </c:pt>
                <c:pt idx="168">
                  <c:v>5.0597883863562093E-2</c:v>
                </c:pt>
                <c:pt idx="169">
                  <c:v>5.1989401145128879E-2</c:v>
                </c:pt>
                <c:pt idx="170">
                  <c:v>4.5723114637107369E-2</c:v>
                </c:pt>
                <c:pt idx="171">
                  <c:v>3.6926472192031316E-2</c:v>
                </c:pt>
                <c:pt idx="172">
                  <c:v>3.7931006415498458E-2</c:v>
                </c:pt>
                <c:pt idx="173">
                  <c:v>3.9676673085380698E-2</c:v>
                </c:pt>
                <c:pt idx="174">
                  <c:v>4.8264710662861303E-2</c:v>
                </c:pt>
                <c:pt idx="175">
                  <c:v>5.4283416584864061E-2</c:v>
                </c:pt>
                <c:pt idx="176">
                  <c:v>5.6556089782995367E-2</c:v>
                </c:pt>
                <c:pt idx="177">
                  <c:v>8.6917183064797357E-2</c:v>
                </c:pt>
                <c:pt idx="178">
                  <c:v>8.48574246833394E-2</c:v>
                </c:pt>
                <c:pt idx="179">
                  <c:v>8.5750865655700739E-2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32-4CA7-A674-9B45826F5409}"/>
            </c:ext>
          </c:extLst>
        </c:ser>
        <c:ser>
          <c:idx val="15"/>
          <c:order val="14"/>
          <c:tx>
            <c:strRef>
              <c:f>TimeHarbor!$A$18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TimeHarbor!$B$18:$FY$18</c:f>
              <c:numCache>
                <c:formatCode>General</c:formatCode>
                <c:ptCount val="180"/>
                <c:pt idx="0">
                  <c:v>9.0180180743443264E-2</c:v>
                </c:pt>
                <c:pt idx="1">
                  <c:v>8.9607339048430559E-2</c:v>
                </c:pt>
                <c:pt idx="2">
                  <c:v>8.2673044739851528E-2</c:v>
                </c:pt>
                <c:pt idx="3">
                  <c:v>8.6459871011326267E-2</c:v>
                </c:pt>
                <c:pt idx="4">
                  <c:v>0.10230281416298638</c:v>
                </c:pt>
                <c:pt idx="5">
                  <c:v>0.101282976582176</c:v>
                </c:pt>
                <c:pt idx="6">
                  <c:v>9.8334028277507715E-2</c:v>
                </c:pt>
                <c:pt idx="7">
                  <c:v>0.10099471295908638</c:v>
                </c:pt>
                <c:pt idx="8">
                  <c:v>9.2417800299313319E-2</c:v>
                </c:pt>
                <c:pt idx="9">
                  <c:v>9.6275029727248079E-2</c:v>
                </c:pt>
                <c:pt idx="10">
                  <c:v>9.5600604516233686E-2</c:v>
                </c:pt>
                <c:pt idx="11">
                  <c:v>9.0449820667926145E-2</c:v>
                </c:pt>
                <c:pt idx="12">
                  <c:v>7.7345682310038175E-2</c:v>
                </c:pt>
                <c:pt idx="13">
                  <c:v>8.5029344839802776E-2</c:v>
                </c:pt>
                <c:pt idx="14">
                  <c:v>7.9232297351500156E-2</c:v>
                </c:pt>
                <c:pt idx="15">
                  <c:v>6.0310684060002687E-2</c:v>
                </c:pt>
                <c:pt idx="16">
                  <c:v>5.8675757007401054E-2</c:v>
                </c:pt>
                <c:pt idx="17">
                  <c:v>5.4734420331657874E-2</c:v>
                </c:pt>
                <c:pt idx="18">
                  <c:v>4.8008932370394032E-2</c:v>
                </c:pt>
                <c:pt idx="19">
                  <c:v>4.802335442945075E-2</c:v>
                </c:pt>
                <c:pt idx="20">
                  <c:v>5.0779982970650145E-2</c:v>
                </c:pt>
                <c:pt idx="21">
                  <c:v>5.563649471285622E-2</c:v>
                </c:pt>
                <c:pt idx="22">
                  <c:v>4.9455239128773018E-2</c:v>
                </c:pt>
                <c:pt idx="23">
                  <c:v>5.2140142553931977E-2</c:v>
                </c:pt>
                <c:pt idx="24">
                  <c:v>5.0668007936306811E-2</c:v>
                </c:pt>
                <c:pt idx="25">
                  <c:v>5.0567473346434799E-2</c:v>
                </c:pt>
                <c:pt idx="26">
                  <c:v>5.344110588607965E-2</c:v>
                </c:pt>
                <c:pt idx="27">
                  <c:v>5.2754117749362048E-2</c:v>
                </c:pt>
                <c:pt idx="28">
                  <c:v>4.8964899232082797E-2</c:v>
                </c:pt>
                <c:pt idx="29">
                  <c:v>4.7468624867380141E-2</c:v>
                </c:pt>
                <c:pt idx="30">
                  <c:v>4.9181288379563252E-2</c:v>
                </c:pt>
                <c:pt idx="31">
                  <c:v>5.2364987254958202E-2</c:v>
                </c:pt>
                <c:pt idx="32">
                  <c:v>5.3864491360862431E-2</c:v>
                </c:pt>
                <c:pt idx="33">
                  <c:v>5.4061171709856547E-2</c:v>
                </c:pt>
                <c:pt idx="34">
                  <c:v>5.6249097846413951E-2</c:v>
                </c:pt>
                <c:pt idx="35">
                  <c:v>6.122652017768649E-2</c:v>
                </c:pt>
                <c:pt idx="36">
                  <c:v>7.0984003434658549E-2</c:v>
                </c:pt>
                <c:pt idx="37">
                  <c:v>7.1366980553150453E-2</c:v>
                </c:pt>
                <c:pt idx="38">
                  <c:v>7.1467015413438403E-2</c:v>
                </c:pt>
                <c:pt idx="39">
                  <c:v>7.1579277901495972E-2</c:v>
                </c:pt>
                <c:pt idx="40">
                  <c:v>7.4382448135811019E-2</c:v>
                </c:pt>
                <c:pt idx="41">
                  <c:v>7.505089513109113E-2</c:v>
                </c:pt>
                <c:pt idx="42">
                  <c:v>7.1823765278817592E-2</c:v>
                </c:pt>
                <c:pt idx="43">
                  <c:v>8.1973545957693766E-2</c:v>
                </c:pt>
                <c:pt idx="44">
                  <c:v>9.07969674064633E-2</c:v>
                </c:pt>
                <c:pt idx="45">
                  <c:v>8.7135581155875219E-2</c:v>
                </c:pt>
                <c:pt idx="46">
                  <c:v>9.6184064908491212E-2</c:v>
                </c:pt>
                <c:pt idx="47">
                  <c:v>0.10088992057429522</c:v>
                </c:pt>
                <c:pt idx="48">
                  <c:v>5.2584540158085225E-2</c:v>
                </c:pt>
                <c:pt idx="49">
                  <c:v>5.8924377535407538E-2</c:v>
                </c:pt>
                <c:pt idx="50">
                  <c:v>5.9396943962797238E-2</c:v>
                </c:pt>
                <c:pt idx="51">
                  <c:v>5.6630947285282188E-2</c:v>
                </c:pt>
                <c:pt idx="52">
                  <c:v>6.089233414912408E-2</c:v>
                </c:pt>
                <c:pt idx="53">
                  <c:v>6.4326128956846224E-2</c:v>
                </c:pt>
                <c:pt idx="54">
                  <c:v>5.5079408212049499E-2</c:v>
                </c:pt>
                <c:pt idx="55">
                  <c:v>5.5497855185454754E-2</c:v>
                </c:pt>
                <c:pt idx="56">
                  <c:v>5.288530531197011E-2</c:v>
                </c:pt>
                <c:pt idx="57">
                  <c:v>5.6608140974077917E-2</c:v>
                </c:pt>
                <c:pt idx="58">
                  <c:v>3.9093269566274957E-2</c:v>
                </c:pt>
                <c:pt idx="59">
                  <c:v>3.6667761030294614E-2</c:v>
                </c:pt>
                <c:pt idx="60">
                  <c:v>2.3610741695805328E-2</c:v>
                </c:pt>
                <c:pt idx="61">
                  <c:v>2.515938191365031E-2</c:v>
                </c:pt>
                <c:pt idx="62">
                  <c:v>2.2657850584885283E-2</c:v>
                </c:pt>
                <c:pt idx="63">
                  <c:v>2.4360189531181166E-2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6.919565224120692E-4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4.2897458033826552E-2</c:v>
                </c:pt>
                <c:pt idx="73">
                  <c:v>4.8604999145775499E-2</c:v>
                </c:pt>
                <c:pt idx="74">
                  <c:v>5.0568490417423194E-2</c:v>
                </c:pt>
                <c:pt idx="75">
                  <c:v>5.8632377730029259E-2</c:v>
                </c:pt>
                <c:pt idx="76">
                  <c:v>6.532097256437322E-2</c:v>
                </c:pt>
                <c:pt idx="77">
                  <c:v>8.6094149808097251E-2</c:v>
                </c:pt>
                <c:pt idx="78">
                  <c:v>8.1827582362251558E-2</c:v>
                </c:pt>
                <c:pt idx="79">
                  <c:v>8.4158207607962388E-2</c:v>
                </c:pt>
                <c:pt idx="80">
                  <c:v>8.1410375550378E-2</c:v>
                </c:pt>
                <c:pt idx="81">
                  <c:v>7.3160184885773971E-2</c:v>
                </c:pt>
                <c:pt idx="82">
                  <c:v>9.6903679961349007E-2</c:v>
                </c:pt>
                <c:pt idx="83">
                  <c:v>8.8830133558098254E-2</c:v>
                </c:pt>
                <c:pt idx="84">
                  <c:v>8.5373009088724985E-2</c:v>
                </c:pt>
                <c:pt idx="85">
                  <c:v>9.2174821432171705E-2</c:v>
                </c:pt>
                <c:pt idx="86">
                  <c:v>8.2454050292243897E-2</c:v>
                </c:pt>
                <c:pt idx="87">
                  <c:v>9.8337140300467807E-2</c:v>
                </c:pt>
                <c:pt idx="88">
                  <c:v>8.8537173819402584E-2</c:v>
                </c:pt>
                <c:pt idx="89">
                  <c:v>8.1316739047753481E-2</c:v>
                </c:pt>
                <c:pt idx="90">
                  <c:v>9.8003904382080148E-2</c:v>
                </c:pt>
                <c:pt idx="91">
                  <c:v>0.1170795723831738</c:v>
                </c:pt>
                <c:pt idx="92">
                  <c:v>0.1069106679740771</c:v>
                </c:pt>
                <c:pt idx="93">
                  <c:v>0.10461980637092222</c:v>
                </c:pt>
                <c:pt idx="94">
                  <c:v>0.10275460108309818</c:v>
                </c:pt>
                <c:pt idx="95">
                  <c:v>9.4247370088677687E-2</c:v>
                </c:pt>
                <c:pt idx="96">
                  <c:v>7.9724137096173209E-2</c:v>
                </c:pt>
                <c:pt idx="97">
                  <c:v>8.0362074736104433E-2</c:v>
                </c:pt>
                <c:pt idx="98">
                  <c:v>8.0123582744654656E-2</c:v>
                </c:pt>
                <c:pt idx="99">
                  <c:v>7.7833249679891831E-2</c:v>
                </c:pt>
                <c:pt idx="100">
                  <c:v>4.1896719027178016E-2</c:v>
                </c:pt>
                <c:pt idx="101">
                  <c:v>4.8092104524373069E-2</c:v>
                </c:pt>
                <c:pt idx="102">
                  <c:v>3.9544022104299019E-2</c:v>
                </c:pt>
                <c:pt idx="103">
                  <c:v>3.0242719100035148E-2</c:v>
                </c:pt>
                <c:pt idx="104">
                  <c:v>2.6090999661851015E-2</c:v>
                </c:pt>
                <c:pt idx="105">
                  <c:v>3.4393398293559814E-2</c:v>
                </c:pt>
                <c:pt idx="106">
                  <c:v>3.4015170957416692E-2</c:v>
                </c:pt>
                <c:pt idx="107">
                  <c:v>3.2411397336665343E-2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8.7674919335665943E-3</c:v>
                </c:pt>
                <c:pt idx="148">
                  <c:v>1.1619833675229042E-2</c:v>
                </c:pt>
                <c:pt idx="149">
                  <c:v>1.4960235866985869E-2</c:v>
                </c:pt>
                <c:pt idx="150">
                  <c:v>1.6252485506859159E-2</c:v>
                </c:pt>
                <c:pt idx="151">
                  <c:v>1.5398338391886668E-2</c:v>
                </c:pt>
                <c:pt idx="152">
                  <c:v>1.4900117918300313E-2</c:v>
                </c:pt>
                <c:pt idx="153">
                  <c:v>1.7887001935835239E-2</c:v>
                </c:pt>
                <c:pt idx="154">
                  <c:v>2.1510682585550635E-2</c:v>
                </c:pt>
                <c:pt idx="155">
                  <c:v>1.8067624752823329E-2</c:v>
                </c:pt>
                <c:pt idx="156">
                  <c:v>1.6732898890325462E-2</c:v>
                </c:pt>
                <c:pt idx="157">
                  <c:v>1.2783562004971471E-2</c:v>
                </c:pt>
                <c:pt idx="158">
                  <c:v>1.412102513896037E-2</c:v>
                </c:pt>
                <c:pt idx="159">
                  <c:v>1.2574876334161936E-2</c:v>
                </c:pt>
                <c:pt idx="160">
                  <c:v>1.3881426915646561E-2</c:v>
                </c:pt>
                <c:pt idx="161">
                  <c:v>1.2302962153268164E-2</c:v>
                </c:pt>
                <c:pt idx="162">
                  <c:v>2.0983168583443942E-2</c:v>
                </c:pt>
                <c:pt idx="163">
                  <c:v>2.1544156164641986E-2</c:v>
                </c:pt>
                <c:pt idx="164">
                  <c:v>1.7442895975430903E-2</c:v>
                </c:pt>
                <c:pt idx="165">
                  <c:v>9.8182544426114182E-3</c:v>
                </c:pt>
                <c:pt idx="166">
                  <c:v>2.9978627324554318E-4</c:v>
                </c:pt>
                <c:pt idx="167">
                  <c:v>1.7676372483539393E-3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32-4CA7-A674-9B45826F5409}"/>
            </c:ext>
          </c:extLst>
        </c:ser>
        <c:ser>
          <c:idx val="16"/>
          <c:order val="15"/>
          <c:tx>
            <c:strRef>
              <c:f>TimeHarbor!$A$19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TimeHarbor!$B$2:$FY$2</c:f>
              <c:numCache>
                <c:formatCode>m/d/yy</c:formatCode>
                <c:ptCount val="180"/>
                <c:pt idx="0">
                  <c:v>36160</c:v>
                </c:pt>
                <c:pt idx="1">
                  <c:v>36191</c:v>
                </c:pt>
                <c:pt idx="2">
                  <c:v>36219</c:v>
                </c:pt>
                <c:pt idx="3">
                  <c:v>36250</c:v>
                </c:pt>
                <c:pt idx="4">
                  <c:v>36280</c:v>
                </c:pt>
                <c:pt idx="5">
                  <c:v>36311</c:v>
                </c:pt>
                <c:pt idx="6">
                  <c:v>36341</c:v>
                </c:pt>
                <c:pt idx="7">
                  <c:v>36372</c:v>
                </c:pt>
                <c:pt idx="8">
                  <c:v>36403</c:v>
                </c:pt>
                <c:pt idx="9">
                  <c:v>36433</c:v>
                </c:pt>
                <c:pt idx="10">
                  <c:v>36464</c:v>
                </c:pt>
                <c:pt idx="11">
                  <c:v>36494</c:v>
                </c:pt>
                <c:pt idx="12">
                  <c:v>36525</c:v>
                </c:pt>
                <c:pt idx="13">
                  <c:v>36556</c:v>
                </c:pt>
                <c:pt idx="14">
                  <c:v>36585</c:v>
                </c:pt>
                <c:pt idx="15">
                  <c:v>36616</c:v>
                </c:pt>
                <c:pt idx="16">
                  <c:v>36646</c:v>
                </c:pt>
                <c:pt idx="17">
                  <c:v>36677</c:v>
                </c:pt>
                <c:pt idx="18">
                  <c:v>36707</c:v>
                </c:pt>
                <c:pt idx="19">
                  <c:v>36738</c:v>
                </c:pt>
                <c:pt idx="20">
                  <c:v>36769</c:v>
                </c:pt>
                <c:pt idx="21">
                  <c:v>36799</c:v>
                </c:pt>
                <c:pt idx="22">
                  <c:v>36830</c:v>
                </c:pt>
                <c:pt idx="23">
                  <c:v>36860</c:v>
                </c:pt>
                <c:pt idx="24">
                  <c:v>36891</c:v>
                </c:pt>
                <c:pt idx="25">
                  <c:v>36922</c:v>
                </c:pt>
                <c:pt idx="26">
                  <c:v>36950</c:v>
                </c:pt>
                <c:pt idx="27">
                  <c:v>36981</c:v>
                </c:pt>
                <c:pt idx="28">
                  <c:v>37011</c:v>
                </c:pt>
                <c:pt idx="29">
                  <c:v>37042</c:v>
                </c:pt>
                <c:pt idx="30">
                  <c:v>37072</c:v>
                </c:pt>
                <c:pt idx="31">
                  <c:v>37103</c:v>
                </c:pt>
                <c:pt idx="32">
                  <c:v>37134</c:v>
                </c:pt>
                <c:pt idx="33">
                  <c:v>37164</c:v>
                </c:pt>
                <c:pt idx="34">
                  <c:v>37195</c:v>
                </c:pt>
                <c:pt idx="35">
                  <c:v>37225</c:v>
                </c:pt>
                <c:pt idx="36">
                  <c:v>37256</c:v>
                </c:pt>
                <c:pt idx="37">
                  <c:v>37287</c:v>
                </c:pt>
                <c:pt idx="38">
                  <c:v>37315</c:v>
                </c:pt>
                <c:pt idx="39">
                  <c:v>37346</c:v>
                </c:pt>
                <c:pt idx="40">
                  <c:v>37376</c:v>
                </c:pt>
                <c:pt idx="41">
                  <c:v>37407</c:v>
                </c:pt>
                <c:pt idx="42">
                  <c:v>37437</c:v>
                </c:pt>
                <c:pt idx="43">
                  <c:v>37468</c:v>
                </c:pt>
                <c:pt idx="44">
                  <c:v>37499</c:v>
                </c:pt>
                <c:pt idx="45">
                  <c:v>37529</c:v>
                </c:pt>
                <c:pt idx="46">
                  <c:v>37560</c:v>
                </c:pt>
                <c:pt idx="47">
                  <c:v>37590</c:v>
                </c:pt>
                <c:pt idx="48">
                  <c:v>37621</c:v>
                </c:pt>
                <c:pt idx="49">
                  <c:v>37652</c:v>
                </c:pt>
                <c:pt idx="50">
                  <c:v>37680</c:v>
                </c:pt>
                <c:pt idx="51">
                  <c:v>37711</c:v>
                </c:pt>
                <c:pt idx="52">
                  <c:v>37741</c:v>
                </c:pt>
                <c:pt idx="53">
                  <c:v>37772</c:v>
                </c:pt>
                <c:pt idx="54">
                  <c:v>37802</c:v>
                </c:pt>
                <c:pt idx="55">
                  <c:v>37833</c:v>
                </c:pt>
                <c:pt idx="56">
                  <c:v>37864</c:v>
                </c:pt>
                <c:pt idx="57">
                  <c:v>37894</c:v>
                </c:pt>
                <c:pt idx="58">
                  <c:v>37925</c:v>
                </c:pt>
                <c:pt idx="59">
                  <c:v>37955</c:v>
                </c:pt>
                <c:pt idx="60">
                  <c:v>37986</c:v>
                </c:pt>
                <c:pt idx="61">
                  <c:v>38017</c:v>
                </c:pt>
                <c:pt idx="62">
                  <c:v>38046</c:v>
                </c:pt>
                <c:pt idx="63">
                  <c:v>38077</c:v>
                </c:pt>
                <c:pt idx="64">
                  <c:v>38107</c:v>
                </c:pt>
                <c:pt idx="65">
                  <c:v>38138</c:v>
                </c:pt>
                <c:pt idx="66">
                  <c:v>38168</c:v>
                </c:pt>
                <c:pt idx="67">
                  <c:v>38199</c:v>
                </c:pt>
                <c:pt idx="68">
                  <c:v>38230</c:v>
                </c:pt>
                <c:pt idx="69">
                  <c:v>38260</c:v>
                </c:pt>
                <c:pt idx="70">
                  <c:v>38291</c:v>
                </c:pt>
                <c:pt idx="71">
                  <c:v>38321</c:v>
                </c:pt>
                <c:pt idx="72">
                  <c:v>38352</c:v>
                </c:pt>
                <c:pt idx="73">
                  <c:v>38383</c:v>
                </c:pt>
                <c:pt idx="74">
                  <c:v>38411</c:v>
                </c:pt>
                <c:pt idx="75">
                  <c:v>38442</c:v>
                </c:pt>
                <c:pt idx="76">
                  <c:v>38472</c:v>
                </c:pt>
                <c:pt idx="77">
                  <c:v>38503</c:v>
                </c:pt>
                <c:pt idx="78">
                  <c:v>38533</c:v>
                </c:pt>
                <c:pt idx="79">
                  <c:v>38564</c:v>
                </c:pt>
                <c:pt idx="80">
                  <c:v>38595</c:v>
                </c:pt>
                <c:pt idx="81">
                  <c:v>38625</c:v>
                </c:pt>
                <c:pt idx="82">
                  <c:v>38656</c:v>
                </c:pt>
                <c:pt idx="83">
                  <c:v>38686</c:v>
                </c:pt>
                <c:pt idx="84">
                  <c:v>38717</c:v>
                </c:pt>
                <c:pt idx="85">
                  <c:v>38748</c:v>
                </c:pt>
                <c:pt idx="86">
                  <c:v>38776</c:v>
                </c:pt>
                <c:pt idx="87">
                  <c:v>38807</c:v>
                </c:pt>
                <c:pt idx="88">
                  <c:v>38837</c:v>
                </c:pt>
                <c:pt idx="89">
                  <c:v>38868</c:v>
                </c:pt>
                <c:pt idx="90">
                  <c:v>38898</c:v>
                </c:pt>
                <c:pt idx="91">
                  <c:v>38929</c:v>
                </c:pt>
                <c:pt idx="92">
                  <c:v>38960</c:v>
                </c:pt>
                <c:pt idx="93">
                  <c:v>38990</c:v>
                </c:pt>
                <c:pt idx="94">
                  <c:v>39021</c:v>
                </c:pt>
                <c:pt idx="95">
                  <c:v>39051</c:v>
                </c:pt>
                <c:pt idx="96">
                  <c:v>39082</c:v>
                </c:pt>
                <c:pt idx="97">
                  <c:v>39113</c:v>
                </c:pt>
                <c:pt idx="98">
                  <c:v>39141</c:v>
                </c:pt>
                <c:pt idx="99">
                  <c:v>39172</c:v>
                </c:pt>
                <c:pt idx="100">
                  <c:v>39202</c:v>
                </c:pt>
                <c:pt idx="101">
                  <c:v>39233</c:v>
                </c:pt>
                <c:pt idx="102">
                  <c:v>39263</c:v>
                </c:pt>
                <c:pt idx="103">
                  <c:v>39294</c:v>
                </c:pt>
                <c:pt idx="104">
                  <c:v>39325</c:v>
                </c:pt>
                <c:pt idx="105">
                  <c:v>39355</c:v>
                </c:pt>
                <c:pt idx="106">
                  <c:v>39386</c:v>
                </c:pt>
                <c:pt idx="107">
                  <c:v>39416</c:v>
                </c:pt>
                <c:pt idx="108">
                  <c:v>39447</c:v>
                </c:pt>
                <c:pt idx="109">
                  <c:v>39478</c:v>
                </c:pt>
                <c:pt idx="110">
                  <c:v>39507</c:v>
                </c:pt>
                <c:pt idx="111">
                  <c:v>39538</c:v>
                </c:pt>
                <c:pt idx="112">
                  <c:v>39568</c:v>
                </c:pt>
                <c:pt idx="113">
                  <c:v>39599</c:v>
                </c:pt>
                <c:pt idx="114">
                  <c:v>39629</c:v>
                </c:pt>
                <c:pt idx="115">
                  <c:v>39660</c:v>
                </c:pt>
                <c:pt idx="116">
                  <c:v>39691</c:v>
                </c:pt>
                <c:pt idx="117">
                  <c:v>39721</c:v>
                </c:pt>
                <c:pt idx="118">
                  <c:v>39752</c:v>
                </c:pt>
                <c:pt idx="119">
                  <c:v>39782</c:v>
                </c:pt>
                <c:pt idx="120">
                  <c:v>39813</c:v>
                </c:pt>
                <c:pt idx="121">
                  <c:v>39844</c:v>
                </c:pt>
                <c:pt idx="122">
                  <c:v>39872</c:v>
                </c:pt>
                <c:pt idx="123">
                  <c:v>39903</c:v>
                </c:pt>
                <c:pt idx="124">
                  <c:v>39933</c:v>
                </c:pt>
                <c:pt idx="125">
                  <c:v>39964</c:v>
                </c:pt>
                <c:pt idx="126">
                  <c:v>39994</c:v>
                </c:pt>
                <c:pt idx="127">
                  <c:v>40025</c:v>
                </c:pt>
                <c:pt idx="128">
                  <c:v>40056</c:v>
                </c:pt>
                <c:pt idx="129">
                  <c:v>40086</c:v>
                </c:pt>
                <c:pt idx="130">
                  <c:v>40117</c:v>
                </c:pt>
                <c:pt idx="131">
                  <c:v>40147</c:v>
                </c:pt>
                <c:pt idx="132">
                  <c:v>40178</c:v>
                </c:pt>
                <c:pt idx="133">
                  <c:v>40209</c:v>
                </c:pt>
                <c:pt idx="134">
                  <c:v>40237</c:v>
                </c:pt>
                <c:pt idx="135">
                  <c:v>40268</c:v>
                </c:pt>
                <c:pt idx="136">
                  <c:v>40298</c:v>
                </c:pt>
                <c:pt idx="137">
                  <c:v>40329</c:v>
                </c:pt>
                <c:pt idx="138">
                  <c:v>40359</c:v>
                </c:pt>
                <c:pt idx="139">
                  <c:v>40390</c:v>
                </c:pt>
                <c:pt idx="140">
                  <c:v>40421</c:v>
                </c:pt>
                <c:pt idx="141">
                  <c:v>40451</c:v>
                </c:pt>
                <c:pt idx="142">
                  <c:v>40482</c:v>
                </c:pt>
                <c:pt idx="143">
                  <c:v>40512</c:v>
                </c:pt>
                <c:pt idx="144">
                  <c:v>40543</c:v>
                </c:pt>
                <c:pt idx="145">
                  <c:v>40574</c:v>
                </c:pt>
                <c:pt idx="146">
                  <c:v>40602</c:v>
                </c:pt>
                <c:pt idx="147">
                  <c:v>40633</c:v>
                </c:pt>
                <c:pt idx="148">
                  <c:v>40663</c:v>
                </c:pt>
                <c:pt idx="149">
                  <c:v>40694</c:v>
                </c:pt>
                <c:pt idx="150">
                  <c:v>40724</c:v>
                </c:pt>
                <c:pt idx="151">
                  <c:v>40755</c:v>
                </c:pt>
                <c:pt idx="152">
                  <c:v>40786</c:v>
                </c:pt>
                <c:pt idx="153">
                  <c:v>40816</c:v>
                </c:pt>
                <c:pt idx="154">
                  <c:v>40847</c:v>
                </c:pt>
                <c:pt idx="155">
                  <c:v>40877</c:v>
                </c:pt>
                <c:pt idx="156">
                  <c:v>40908</c:v>
                </c:pt>
                <c:pt idx="157">
                  <c:v>40939</c:v>
                </c:pt>
                <c:pt idx="158">
                  <c:v>40968</c:v>
                </c:pt>
                <c:pt idx="159">
                  <c:v>40999</c:v>
                </c:pt>
                <c:pt idx="160">
                  <c:v>41029</c:v>
                </c:pt>
                <c:pt idx="161">
                  <c:v>41060</c:v>
                </c:pt>
                <c:pt idx="162">
                  <c:v>41090</c:v>
                </c:pt>
                <c:pt idx="163">
                  <c:v>41121</c:v>
                </c:pt>
                <c:pt idx="164">
                  <c:v>41152</c:v>
                </c:pt>
                <c:pt idx="165">
                  <c:v>41182</c:v>
                </c:pt>
                <c:pt idx="166">
                  <c:v>41213</c:v>
                </c:pt>
                <c:pt idx="167">
                  <c:v>41243</c:v>
                </c:pt>
                <c:pt idx="168">
                  <c:v>41274</c:v>
                </c:pt>
                <c:pt idx="169">
                  <c:v>41305</c:v>
                </c:pt>
                <c:pt idx="170">
                  <c:v>41333</c:v>
                </c:pt>
                <c:pt idx="171">
                  <c:v>41364</c:v>
                </c:pt>
                <c:pt idx="172">
                  <c:v>41394</c:v>
                </c:pt>
                <c:pt idx="173">
                  <c:v>41425</c:v>
                </c:pt>
                <c:pt idx="174">
                  <c:v>41455</c:v>
                </c:pt>
                <c:pt idx="175">
                  <c:v>41486</c:v>
                </c:pt>
                <c:pt idx="176">
                  <c:v>41517</c:v>
                </c:pt>
                <c:pt idx="177">
                  <c:v>41547</c:v>
                </c:pt>
                <c:pt idx="178">
                  <c:v>41578</c:v>
                </c:pt>
                <c:pt idx="179">
                  <c:v>41608</c:v>
                </c:pt>
              </c:numCache>
            </c:numRef>
          </c:cat>
          <c:val>
            <c:numRef>
              <c:f>TimeHarbor!$B$19:$FY$19</c:f>
              <c:numCache>
                <c:formatCode>General</c:formatCode>
                <c:ptCount val="180"/>
                <c:pt idx="0">
                  <c:v>7.5631299810211716E-2</c:v>
                </c:pt>
                <c:pt idx="1">
                  <c:v>7.7088416486582476E-2</c:v>
                </c:pt>
                <c:pt idx="2">
                  <c:v>8.3711961805065169E-2</c:v>
                </c:pt>
                <c:pt idx="3">
                  <c:v>7.1655961192053655E-2</c:v>
                </c:pt>
                <c:pt idx="4">
                  <c:v>6.156469647505227E-2</c:v>
                </c:pt>
                <c:pt idx="5">
                  <c:v>5.8403422478662176E-2</c:v>
                </c:pt>
                <c:pt idx="6">
                  <c:v>5.7348589394875464E-2</c:v>
                </c:pt>
                <c:pt idx="7">
                  <c:v>4.8444146036619666E-2</c:v>
                </c:pt>
                <c:pt idx="8">
                  <c:v>5.2299899309141196E-2</c:v>
                </c:pt>
                <c:pt idx="9">
                  <c:v>4.3583984774301518E-2</c:v>
                </c:pt>
                <c:pt idx="10">
                  <c:v>4.4376372750351376E-2</c:v>
                </c:pt>
                <c:pt idx="11">
                  <c:v>4.2806619892691036E-2</c:v>
                </c:pt>
                <c:pt idx="12">
                  <c:v>2.2504766361004635E-2</c:v>
                </c:pt>
                <c:pt idx="13">
                  <c:v>3.2685099414598531E-2</c:v>
                </c:pt>
                <c:pt idx="14">
                  <c:v>3.3256194886975628E-2</c:v>
                </c:pt>
                <c:pt idx="15">
                  <c:v>4.6160031022758612E-2</c:v>
                </c:pt>
                <c:pt idx="16">
                  <c:v>4.1120561435176554E-2</c:v>
                </c:pt>
                <c:pt idx="17">
                  <c:v>2.9105875705105221E-2</c:v>
                </c:pt>
                <c:pt idx="18">
                  <c:v>1.8522229305824818E-2</c:v>
                </c:pt>
                <c:pt idx="19">
                  <c:v>1.5765891509403888E-2</c:v>
                </c:pt>
                <c:pt idx="20">
                  <c:v>1.6480942409050098E-2</c:v>
                </c:pt>
                <c:pt idx="21">
                  <c:v>1.6998780925780953E-2</c:v>
                </c:pt>
                <c:pt idx="22">
                  <c:v>1.6003167035699109E-2</c:v>
                </c:pt>
                <c:pt idx="23">
                  <c:v>1.315997509877888E-2</c:v>
                </c:pt>
                <c:pt idx="24">
                  <c:v>2.7071220464341385E-2</c:v>
                </c:pt>
                <c:pt idx="25">
                  <c:v>2.7157854392861436E-2</c:v>
                </c:pt>
                <c:pt idx="26">
                  <c:v>2.6530698458552191E-2</c:v>
                </c:pt>
                <c:pt idx="27">
                  <c:v>2.726948913251255E-2</c:v>
                </c:pt>
                <c:pt idx="28">
                  <c:v>2.9661450323692544E-2</c:v>
                </c:pt>
                <c:pt idx="29">
                  <c:v>3.3523521067695232E-2</c:v>
                </c:pt>
                <c:pt idx="30">
                  <c:v>3.0836358164757993E-2</c:v>
                </c:pt>
                <c:pt idx="31">
                  <c:v>1.9350400366293097E-2</c:v>
                </c:pt>
                <c:pt idx="32">
                  <c:v>2.0449405772473919E-2</c:v>
                </c:pt>
                <c:pt idx="33">
                  <c:v>2.6073903600422978E-2</c:v>
                </c:pt>
                <c:pt idx="34">
                  <c:v>2.1547737904115429E-2</c:v>
                </c:pt>
                <c:pt idx="35">
                  <c:v>1.6886081246695869E-2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2.847941315732678E-3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0.11723653489226633</c:v>
                </c:pt>
                <c:pt idx="109">
                  <c:v>0.12027050087775465</c:v>
                </c:pt>
                <c:pt idx="110">
                  <c:v>0.13213853780429605</c:v>
                </c:pt>
                <c:pt idx="111">
                  <c:v>0.12808717131039871</c:v>
                </c:pt>
                <c:pt idx="112">
                  <c:v>0.11452955991708512</c:v>
                </c:pt>
                <c:pt idx="113">
                  <c:v>0.11591563172674023</c:v>
                </c:pt>
                <c:pt idx="114">
                  <c:v>0.12337429301447335</c:v>
                </c:pt>
                <c:pt idx="115">
                  <c:v>0.12307866017128231</c:v>
                </c:pt>
                <c:pt idx="116">
                  <c:v>0.13742261942918657</c:v>
                </c:pt>
                <c:pt idx="117">
                  <c:v>0.13597543636688744</c:v>
                </c:pt>
                <c:pt idx="118">
                  <c:v>0.13771509085884734</c:v>
                </c:pt>
                <c:pt idx="119">
                  <c:v>0.14652060843326178</c:v>
                </c:pt>
                <c:pt idx="120">
                  <c:v>0.14336884039998221</c:v>
                </c:pt>
                <c:pt idx="121">
                  <c:v>0.15385539781266602</c:v>
                </c:pt>
                <c:pt idx="122">
                  <c:v>0.14293271542789809</c:v>
                </c:pt>
                <c:pt idx="123">
                  <c:v>0.19448020827907631</c:v>
                </c:pt>
                <c:pt idx="124">
                  <c:v>0.18954053145308841</c:v>
                </c:pt>
                <c:pt idx="125">
                  <c:v>0.19644890187281788</c:v>
                </c:pt>
                <c:pt idx="126">
                  <c:v>0.19701283979881165</c:v>
                </c:pt>
                <c:pt idx="127">
                  <c:v>0.20433143864786593</c:v>
                </c:pt>
                <c:pt idx="128">
                  <c:v>0.20467002401232318</c:v>
                </c:pt>
                <c:pt idx="129">
                  <c:v>0.19177580717921319</c:v>
                </c:pt>
                <c:pt idx="130">
                  <c:v>0.19285201463662233</c:v>
                </c:pt>
                <c:pt idx="131">
                  <c:v>0.18462981192712058</c:v>
                </c:pt>
                <c:pt idx="132">
                  <c:v>0.1831516764658781</c:v>
                </c:pt>
                <c:pt idx="133">
                  <c:v>0.1757656247520033</c:v>
                </c:pt>
                <c:pt idx="134">
                  <c:v>0.17298717198694036</c:v>
                </c:pt>
                <c:pt idx="135">
                  <c:v>0.17456448839434913</c:v>
                </c:pt>
                <c:pt idx="136">
                  <c:v>0.17671207158861002</c:v>
                </c:pt>
                <c:pt idx="137">
                  <c:v>0.17935113011515094</c:v>
                </c:pt>
                <c:pt idx="138">
                  <c:v>0.1774331172149535</c:v>
                </c:pt>
                <c:pt idx="139">
                  <c:v>0.17638507919662169</c:v>
                </c:pt>
                <c:pt idx="140">
                  <c:v>0.19025240115848729</c:v>
                </c:pt>
                <c:pt idx="141">
                  <c:v>0.22495474553390016</c:v>
                </c:pt>
                <c:pt idx="142">
                  <c:v>0.22700148229072364</c:v>
                </c:pt>
                <c:pt idx="143">
                  <c:v>0.22680958590968756</c:v>
                </c:pt>
                <c:pt idx="144">
                  <c:v>0.24834603177930642</c:v>
                </c:pt>
                <c:pt idx="145">
                  <c:v>0.26114275282874644</c:v>
                </c:pt>
                <c:pt idx="146">
                  <c:v>0.25924280791248461</c:v>
                </c:pt>
                <c:pt idx="147">
                  <c:v>0.21584041131195014</c:v>
                </c:pt>
                <c:pt idx="148">
                  <c:v>0.2121415413171438</c:v>
                </c:pt>
                <c:pt idx="149">
                  <c:v>0.21704631897308316</c:v>
                </c:pt>
                <c:pt idx="150">
                  <c:v>0.21073423042194192</c:v>
                </c:pt>
                <c:pt idx="151">
                  <c:v>0.20824420975974808</c:v>
                </c:pt>
                <c:pt idx="152">
                  <c:v>0.19845886883607894</c:v>
                </c:pt>
                <c:pt idx="153">
                  <c:v>0.20469434537322995</c:v>
                </c:pt>
                <c:pt idx="154">
                  <c:v>0.18891116492259236</c:v>
                </c:pt>
                <c:pt idx="155">
                  <c:v>0.1867672586613231</c:v>
                </c:pt>
                <c:pt idx="156">
                  <c:v>0.18904334968905903</c:v>
                </c:pt>
                <c:pt idx="157">
                  <c:v>0.18898823856211588</c:v>
                </c:pt>
                <c:pt idx="158">
                  <c:v>0.20846919920470433</c:v>
                </c:pt>
                <c:pt idx="159">
                  <c:v>0.21144900639912814</c:v>
                </c:pt>
                <c:pt idx="160">
                  <c:v>0.22106764758671449</c:v>
                </c:pt>
                <c:pt idx="161">
                  <c:v>0.22416554454524468</c:v>
                </c:pt>
                <c:pt idx="162">
                  <c:v>0.21899055266043069</c:v>
                </c:pt>
                <c:pt idx="163">
                  <c:v>0.21810581294457265</c:v>
                </c:pt>
                <c:pt idx="164">
                  <c:v>0.22323126149107991</c:v>
                </c:pt>
                <c:pt idx="165">
                  <c:v>0.22684092930718297</c:v>
                </c:pt>
                <c:pt idx="166">
                  <c:v>0.22959326442712344</c:v>
                </c:pt>
                <c:pt idx="167">
                  <c:v>0.23204807998424498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2.5589516898260158E-4</c:v>
                </c:pt>
                <c:pt idx="178">
                  <c:v>5.4145289185328592E-3</c:v>
                </c:pt>
                <c:pt idx="179">
                  <c:v>3.774996204228929E-3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32-4CA7-A674-9B45826F5409}"/>
            </c:ext>
          </c:extLst>
        </c:ser>
        <c:ser>
          <c:idx val="0"/>
          <c:order val="16"/>
          <c:tx>
            <c:v>"Style"</c:v>
          </c:tx>
          <c:spPr>
            <a:ln w="25400">
              <a:noFill/>
            </a:ln>
          </c:spPr>
          <c:val>
            <c:numRef>
              <c:f>TimeHarbor!$B$21:$FY$21</c:f>
              <c:numCache>
                <c:formatCode>General</c:formatCode>
                <c:ptCount val="180"/>
                <c:pt idx="0">
                  <c:v>0.46589592745916131</c:v>
                </c:pt>
                <c:pt idx="1">
                  <c:v>0.46244056650584398</c:v>
                </c:pt>
                <c:pt idx="2">
                  <c:v>0.4533970723040287</c:v>
                </c:pt>
                <c:pt idx="3">
                  <c:v>0.44486793982967154</c:v>
                </c:pt>
                <c:pt idx="4">
                  <c:v>0.47445372100878602</c:v>
                </c:pt>
                <c:pt idx="5">
                  <c:v>0.47410387780269458</c:v>
                </c:pt>
                <c:pt idx="6">
                  <c:v>0.47491899432963958</c:v>
                </c:pt>
                <c:pt idx="7">
                  <c:v>0.47835355478370789</c:v>
                </c:pt>
                <c:pt idx="8">
                  <c:v>0.48268037989111856</c:v>
                </c:pt>
                <c:pt idx="9">
                  <c:v>0.48747776279493948</c:v>
                </c:pt>
                <c:pt idx="10">
                  <c:v>0.49249659189754158</c:v>
                </c:pt>
                <c:pt idx="11">
                  <c:v>0.48602508850183079</c:v>
                </c:pt>
                <c:pt idx="12">
                  <c:v>0.43292890448477361</c:v>
                </c:pt>
                <c:pt idx="13">
                  <c:v>0.44341761496883236</c:v>
                </c:pt>
                <c:pt idx="14">
                  <c:v>0.4593049074577974</c:v>
                </c:pt>
                <c:pt idx="15">
                  <c:v>0.4902361138274921</c:v>
                </c:pt>
                <c:pt idx="16">
                  <c:v>0.48632173844992366</c:v>
                </c:pt>
                <c:pt idx="17">
                  <c:v>0.47755054857438228</c:v>
                </c:pt>
                <c:pt idx="18">
                  <c:v>0.48631343998303289</c:v>
                </c:pt>
                <c:pt idx="19">
                  <c:v>0.48476270698017176</c:v>
                </c:pt>
                <c:pt idx="20">
                  <c:v>0.49244522757568743</c:v>
                </c:pt>
                <c:pt idx="21">
                  <c:v>0.49279767602980995</c:v>
                </c:pt>
                <c:pt idx="22">
                  <c:v>0.49305152424447751</c:v>
                </c:pt>
                <c:pt idx="23">
                  <c:v>0.48923458517738805</c:v>
                </c:pt>
                <c:pt idx="24">
                  <c:v>0.51196708176936712</c:v>
                </c:pt>
                <c:pt idx="25">
                  <c:v>0.51370943795161406</c:v>
                </c:pt>
                <c:pt idx="26">
                  <c:v>0.51404285030938635</c:v>
                </c:pt>
                <c:pt idx="27">
                  <c:v>0.51646659909564452</c:v>
                </c:pt>
                <c:pt idx="28">
                  <c:v>0.52497308108063223</c:v>
                </c:pt>
                <c:pt idx="29">
                  <c:v>0.52433571615900809</c:v>
                </c:pt>
                <c:pt idx="30">
                  <c:v>0.5223033383888076</c:v>
                </c:pt>
                <c:pt idx="31">
                  <c:v>0.51313189359974953</c:v>
                </c:pt>
                <c:pt idx="32">
                  <c:v>0.51259618047598199</c:v>
                </c:pt>
                <c:pt idx="33">
                  <c:v>0.53394312170024094</c:v>
                </c:pt>
                <c:pt idx="34">
                  <c:v>0.53255523765092561</c:v>
                </c:pt>
                <c:pt idx="35">
                  <c:v>0.53544489606441004</c:v>
                </c:pt>
                <c:pt idx="36">
                  <c:v>0.55980105191141138</c:v>
                </c:pt>
                <c:pt idx="37">
                  <c:v>0.55800334711682786</c:v>
                </c:pt>
                <c:pt idx="38">
                  <c:v>0.55831209130179849</c:v>
                </c:pt>
                <c:pt idx="39">
                  <c:v>0.56113045877718559</c:v>
                </c:pt>
                <c:pt idx="40">
                  <c:v>0.5603601609635368</c:v>
                </c:pt>
                <c:pt idx="41">
                  <c:v>0.55173848610868725</c:v>
                </c:pt>
                <c:pt idx="42">
                  <c:v>0.56165335022905716</c:v>
                </c:pt>
                <c:pt idx="43">
                  <c:v>0.55619968554873922</c:v>
                </c:pt>
                <c:pt idx="44">
                  <c:v>0.55885239199536008</c:v>
                </c:pt>
                <c:pt idx="45">
                  <c:v>0.58127876727848671</c:v>
                </c:pt>
                <c:pt idx="46">
                  <c:v>0.59149676787263383</c:v>
                </c:pt>
                <c:pt idx="47">
                  <c:v>0.59767999797535665</c:v>
                </c:pt>
                <c:pt idx="48">
                  <c:v>0.73378466639024098</c:v>
                </c:pt>
                <c:pt idx="49">
                  <c:v>0.73362650862764178</c:v>
                </c:pt>
                <c:pt idx="50">
                  <c:v>0.72553491650094681</c:v>
                </c:pt>
                <c:pt idx="51">
                  <c:v>0.722005791513193</c:v>
                </c:pt>
                <c:pt idx="52">
                  <c:v>0.72781191591868633</c:v>
                </c:pt>
                <c:pt idx="53">
                  <c:v>0.73543621041733864</c:v>
                </c:pt>
                <c:pt idx="54">
                  <c:v>0.73604052294280353</c:v>
                </c:pt>
                <c:pt idx="55">
                  <c:v>0.73530540756887108</c:v>
                </c:pt>
                <c:pt idx="56">
                  <c:v>0.7088593488934225</c:v>
                </c:pt>
                <c:pt idx="57">
                  <c:v>0.70835194972788851</c:v>
                </c:pt>
                <c:pt idx="58">
                  <c:v>0.69757583456183392</c:v>
                </c:pt>
                <c:pt idx="59">
                  <c:v>0.69300815919262548</c:v>
                </c:pt>
                <c:pt idx="60">
                  <c:v>0.78522690259684658</c:v>
                </c:pt>
                <c:pt idx="61">
                  <c:v>0.78546298966671046</c:v>
                </c:pt>
                <c:pt idx="62">
                  <c:v>0.78907063882765238</c:v>
                </c:pt>
                <c:pt idx="63">
                  <c:v>0.78880803113633302</c:v>
                </c:pt>
                <c:pt idx="64">
                  <c:v>0.77089333434989993</c:v>
                </c:pt>
                <c:pt idx="65">
                  <c:v>0.77049252709142291</c:v>
                </c:pt>
                <c:pt idx="66">
                  <c:v>0.76840436600665196</c:v>
                </c:pt>
                <c:pt idx="67">
                  <c:v>0.76734113854993846</c:v>
                </c:pt>
                <c:pt idx="68">
                  <c:v>0.76581291962049547</c:v>
                </c:pt>
                <c:pt idx="69">
                  <c:v>0.76051738951882708</c:v>
                </c:pt>
                <c:pt idx="70">
                  <c:v>0.75775612118541658</c:v>
                </c:pt>
                <c:pt idx="71">
                  <c:v>0.76104967976172744</c:v>
                </c:pt>
                <c:pt idx="72">
                  <c:v>0.88866069957031724</c:v>
                </c:pt>
                <c:pt idx="73">
                  <c:v>0.88919610437059426</c:v>
                </c:pt>
                <c:pt idx="74">
                  <c:v>0.888107734846316</c:v>
                </c:pt>
                <c:pt idx="75">
                  <c:v>0.88439309682950573</c:v>
                </c:pt>
                <c:pt idx="76">
                  <c:v>0.88585297793739937</c:v>
                </c:pt>
                <c:pt idx="77">
                  <c:v>0.89572103549984505</c:v>
                </c:pt>
                <c:pt idx="78">
                  <c:v>0.90660079945740701</c:v>
                </c:pt>
                <c:pt idx="79">
                  <c:v>0.90474149343296362</c:v>
                </c:pt>
                <c:pt idx="80">
                  <c:v>0.90317703554840933</c:v>
                </c:pt>
                <c:pt idx="81">
                  <c:v>0.90189014074424156</c:v>
                </c:pt>
                <c:pt idx="82">
                  <c:v>0.90908028497318183</c:v>
                </c:pt>
                <c:pt idx="83">
                  <c:v>0.91119781919741261</c:v>
                </c:pt>
                <c:pt idx="84">
                  <c:v>0.90899269694050178</c:v>
                </c:pt>
                <c:pt idx="85">
                  <c:v>0.90295146543137439</c:v>
                </c:pt>
                <c:pt idx="86">
                  <c:v>0.91081152736701199</c:v>
                </c:pt>
                <c:pt idx="87">
                  <c:v>0.91396636898954342</c:v>
                </c:pt>
                <c:pt idx="88">
                  <c:v>0.91116574714292031</c:v>
                </c:pt>
                <c:pt idx="89">
                  <c:v>0.91248801282064629</c:v>
                </c:pt>
                <c:pt idx="90">
                  <c:v>0.91392768046697404</c:v>
                </c:pt>
                <c:pt idx="91">
                  <c:v>0.92333197350573126</c:v>
                </c:pt>
                <c:pt idx="92">
                  <c:v>0.92619583415219042</c:v>
                </c:pt>
                <c:pt idx="93">
                  <c:v>0.91683346695039769</c:v>
                </c:pt>
                <c:pt idx="94">
                  <c:v>0.91724454553558288</c:v>
                </c:pt>
                <c:pt idx="95">
                  <c:v>0.91225017667285302</c:v>
                </c:pt>
                <c:pt idx="96">
                  <c:v>0.9117244655763368</c:v>
                </c:pt>
                <c:pt idx="97">
                  <c:v>0.9112302435415619</c:v>
                </c:pt>
                <c:pt idx="98">
                  <c:v>0.91350046731367751</c:v>
                </c:pt>
                <c:pt idx="99">
                  <c:v>0.91233978713992225</c:v>
                </c:pt>
                <c:pt idx="100">
                  <c:v>0.92726415115157712</c:v>
                </c:pt>
                <c:pt idx="101">
                  <c:v>0.92742495915173995</c:v>
                </c:pt>
                <c:pt idx="102">
                  <c:v>0.92930751104365006</c:v>
                </c:pt>
                <c:pt idx="103">
                  <c:v>0.92533764791650663</c:v>
                </c:pt>
                <c:pt idx="104">
                  <c:v>0.92390347098838388</c:v>
                </c:pt>
                <c:pt idx="105">
                  <c:v>0.902721550398493</c:v>
                </c:pt>
                <c:pt idx="106">
                  <c:v>0.89453354333632906</c:v>
                </c:pt>
                <c:pt idx="107">
                  <c:v>0.89445774194255234</c:v>
                </c:pt>
                <c:pt idx="108">
                  <c:v>0.18504625456353041</c:v>
                </c:pt>
                <c:pt idx="109">
                  <c:v>0.19148327954867395</c:v>
                </c:pt>
                <c:pt idx="110">
                  <c:v>0.18792160465823837</c:v>
                </c:pt>
                <c:pt idx="111">
                  <c:v>0.18719043932073065</c:v>
                </c:pt>
                <c:pt idx="112">
                  <c:v>0.18110849145489072</c:v>
                </c:pt>
                <c:pt idx="113">
                  <c:v>0.16819022394671534</c:v>
                </c:pt>
                <c:pt idx="114">
                  <c:v>0.19117306502686715</c:v>
                </c:pt>
                <c:pt idx="115">
                  <c:v>0.18973080754992766</c:v>
                </c:pt>
                <c:pt idx="116">
                  <c:v>0.1883377536439288</c:v>
                </c:pt>
                <c:pt idx="117">
                  <c:v>0.19498239647671511</c:v>
                </c:pt>
                <c:pt idx="118">
                  <c:v>0.24551426281225786</c:v>
                </c:pt>
                <c:pt idx="119">
                  <c:v>0.25479062457962109</c:v>
                </c:pt>
                <c:pt idx="120">
                  <c:v>0.24886808579027264</c:v>
                </c:pt>
                <c:pt idx="121">
                  <c:v>0.25912916148123377</c:v>
                </c:pt>
                <c:pt idx="122">
                  <c:v>0.27492318372822477</c:v>
                </c:pt>
                <c:pt idx="123">
                  <c:v>0.29072702904460734</c:v>
                </c:pt>
                <c:pt idx="124">
                  <c:v>0.30596516605000956</c:v>
                </c:pt>
                <c:pt idx="125">
                  <c:v>0.31727836702960488</c:v>
                </c:pt>
                <c:pt idx="126">
                  <c:v>0.31604632599213911</c:v>
                </c:pt>
                <c:pt idx="127">
                  <c:v>0.32423341257293758</c:v>
                </c:pt>
                <c:pt idx="128">
                  <c:v>0.32669008306585201</c:v>
                </c:pt>
                <c:pt idx="129">
                  <c:v>0.32801086604942509</c:v>
                </c:pt>
                <c:pt idx="130">
                  <c:v>0.3262516737056127</c:v>
                </c:pt>
                <c:pt idx="131">
                  <c:v>0.32714294972567959</c:v>
                </c:pt>
                <c:pt idx="132">
                  <c:v>0.3241576244638984</c:v>
                </c:pt>
                <c:pt idx="133">
                  <c:v>0.32590087246710553</c:v>
                </c:pt>
                <c:pt idx="134">
                  <c:v>0.32616429055227047</c:v>
                </c:pt>
                <c:pt idx="135">
                  <c:v>0.33372580204575819</c:v>
                </c:pt>
                <c:pt idx="136">
                  <c:v>0.33413281084622326</c:v>
                </c:pt>
                <c:pt idx="137">
                  <c:v>0.34062293173125302</c:v>
                </c:pt>
                <c:pt idx="138">
                  <c:v>0.34423338898441191</c:v>
                </c:pt>
                <c:pt idx="139">
                  <c:v>0.35146296945010558</c:v>
                </c:pt>
                <c:pt idx="140">
                  <c:v>0.35223276901345213</c:v>
                </c:pt>
                <c:pt idx="141">
                  <c:v>0.36233649542595536</c:v>
                </c:pt>
                <c:pt idx="142">
                  <c:v>0.36335693257425417</c:v>
                </c:pt>
                <c:pt idx="143">
                  <c:v>0.3612304824762872</c:v>
                </c:pt>
                <c:pt idx="144">
                  <c:v>0.36764235319054939</c:v>
                </c:pt>
                <c:pt idx="145">
                  <c:v>0.36871066853586598</c:v>
                </c:pt>
                <c:pt idx="146">
                  <c:v>0.37118205043635277</c:v>
                </c:pt>
                <c:pt idx="147">
                  <c:v>0.36852871249812558</c:v>
                </c:pt>
                <c:pt idx="148">
                  <c:v>0.36905176789486671</c:v>
                </c:pt>
                <c:pt idx="149">
                  <c:v>0.36886791113697837</c:v>
                </c:pt>
                <c:pt idx="150">
                  <c:v>0.36930504140462139</c:v>
                </c:pt>
                <c:pt idx="151">
                  <c:v>0.36967630637551541</c:v>
                </c:pt>
                <c:pt idx="152">
                  <c:v>0.37108262073990028</c:v>
                </c:pt>
                <c:pt idx="153">
                  <c:v>0.37581012982617468</c:v>
                </c:pt>
                <c:pt idx="154">
                  <c:v>0.3895276214068103</c:v>
                </c:pt>
                <c:pt idx="155">
                  <c:v>0.38810693585502065</c:v>
                </c:pt>
                <c:pt idx="156">
                  <c:v>0.38797953111769179</c:v>
                </c:pt>
                <c:pt idx="157">
                  <c:v>0.39121757694874915</c:v>
                </c:pt>
                <c:pt idx="158">
                  <c:v>0.39521893349781323</c:v>
                </c:pt>
                <c:pt idx="159">
                  <c:v>0.39678738315520401</c:v>
                </c:pt>
                <c:pt idx="160">
                  <c:v>0.39353184599493085</c:v>
                </c:pt>
                <c:pt idx="161">
                  <c:v>0.39600293216125859</c:v>
                </c:pt>
                <c:pt idx="162">
                  <c:v>0.39806486368063609</c:v>
                </c:pt>
                <c:pt idx="163">
                  <c:v>0.39773731537510992</c:v>
                </c:pt>
                <c:pt idx="164">
                  <c:v>0.39858385935151286</c:v>
                </c:pt>
                <c:pt idx="165">
                  <c:v>0.39809744574009653</c:v>
                </c:pt>
                <c:pt idx="166">
                  <c:v>0.39723332756309437</c:v>
                </c:pt>
                <c:pt idx="167">
                  <c:v>0.39624425638438487</c:v>
                </c:pt>
                <c:pt idx="168">
                  <c:v>0.97927164592563631</c:v>
                </c:pt>
                <c:pt idx="169">
                  <c:v>0.97864318264762451</c:v>
                </c:pt>
                <c:pt idx="170">
                  <c:v>0.97889538852170233</c:v>
                </c:pt>
                <c:pt idx="171">
                  <c:v>0.97946574708067569</c:v>
                </c:pt>
                <c:pt idx="172">
                  <c:v>0.97976225404172279</c:v>
                </c:pt>
                <c:pt idx="173">
                  <c:v>0.97966116579338303</c:v>
                </c:pt>
                <c:pt idx="174">
                  <c:v>0.97862762375449497</c:v>
                </c:pt>
                <c:pt idx="175">
                  <c:v>0.97725553099133688</c:v>
                </c:pt>
                <c:pt idx="176">
                  <c:v>0.97739880752594899</c:v>
                </c:pt>
                <c:pt idx="177">
                  <c:v>0.97675024796594012</c:v>
                </c:pt>
                <c:pt idx="178">
                  <c:v>0.97155779158033562</c:v>
                </c:pt>
                <c:pt idx="179">
                  <c:v>0.96981604333788529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32-4CA7-A674-9B45826F5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58368"/>
        <c:axId val="172459904"/>
      </c:areaChart>
      <c:dateAx>
        <c:axId val="1724583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crossAx val="172459904"/>
        <c:crosses val="autoZero"/>
        <c:auto val="1"/>
        <c:lblOffset val="100"/>
        <c:baseTimeUnit val="months"/>
      </c:dateAx>
      <c:valAx>
        <c:axId val="17245990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24583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SolverPretty!$B$3:$B$18</c:f>
              <c:strCache>
                <c:ptCount val="16"/>
                <c:pt idx="0">
                  <c:v>T-Bills: US</c:v>
                </c:pt>
                <c:pt idx="1">
                  <c:v>Bonds: US Govt MT</c:v>
                </c:pt>
                <c:pt idx="2">
                  <c:v>Bonds: US Govt LT</c:v>
                </c:pt>
                <c:pt idx="3">
                  <c:v>Bonds: Corporate</c:v>
                </c:pt>
                <c:pt idx="4">
                  <c:v>Bonds: Mortgages</c:v>
                </c:pt>
                <c:pt idx="5">
                  <c:v>Bonds: Global LT</c:v>
                </c:pt>
                <c:pt idx="6">
                  <c:v>Commodities</c:v>
                </c:pt>
                <c:pt idx="7">
                  <c:v>Stocks: U.S. Lg Cap Growth</c:v>
                </c:pt>
                <c:pt idx="8">
                  <c:v>Stocks: U.S. Lg Cap Value</c:v>
                </c:pt>
                <c:pt idx="9">
                  <c:v>Stocks:  U.S. Mid-Cap</c:v>
                </c:pt>
                <c:pt idx="10">
                  <c:v>Stocks: U.S. Small Cap Growth</c:v>
                </c:pt>
                <c:pt idx="11">
                  <c:v>Stocks: U.S. Small Cap Value</c:v>
                </c:pt>
                <c:pt idx="12">
                  <c:v>Stocks: EM</c:v>
                </c:pt>
                <c:pt idx="13">
                  <c:v>Stocks: Europe</c:v>
                </c:pt>
                <c:pt idx="14">
                  <c:v>Stocks: Far East ex Japan</c:v>
                </c:pt>
                <c:pt idx="15">
                  <c:v>Stocks: Japan</c:v>
                </c:pt>
              </c:strCache>
            </c:strRef>
          </c:cat>
          <c:val>
            <c:numRef>
              <c:f>SolverPretty!$C$3:$C$18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1.6267339098050271E-2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0.98373270728559781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8-E640-A694-1A070284B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4096831"/>
        <c:axId val="1444132495"/>
      </c:barChart>
      <c:catAx>
        <c:axId val="1444096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132495"/>
        <c:crosses val="autoZero"/>
        <c:auto val="1"/>
        <c:lblAlgn val="ctr"/>
        <c:lblOffset val="100"/>
        <c:noMultiLvlLbl val="0"/>
      </c:catAx>
      <c:valAx>
        <c:axId val="144413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09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chemeClr val="accent1"/>
            </a:solidFill>
          </c:spPr>
          <c:explosion val="10"/>
          <c:dPt>
            <c:idx val="0"/>
            <c:bubble3D val="0"/>
            <c:explosion val="29"/>
            <c:spPr>
              <a:solidFill>
                <a:srgbClr val="7030A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540D-A244-927F-D36ABB000E94}"/>
              </c:ext>
            </c:extLst>
          </c:dPt>
          <c:dPt>
            <c:idx val="1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40D-A244-927F-D36ABB000E94}"/>
              </c:ext>
            </c:extLst>
          </c:dPt>
          <c:dLbls>
            <c:dLbl>
              <c:idx val="0"/>
              <c:layout>
                <c:manualLayout>
                  <c:x val="-4.0786449730553781E-4"/>
                  <c:y val="3.8580961712207624E-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D-A244-927F-D36ABB000E94}"/>
                </c:ext>
              </c:extLst>
            </c:dLbl>
            <c:dLbl>
              <c:idx val="1"/>
              <c:layout>
                <c:manualLayout>
                  <c:x val="-2.2475449525152298E-2"/>
                  <c:y val="-0.1165531943183539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0D-A244-927F-D36ABB000E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SolverPretty!$B$22:$B$23</c:f>
              <c:strCache>
                <c:ptCount val="2"/>
                <c:pt idx="0">
                  <c:v>Selection</c:v>
                </c:pt>
                <c:pt idx="1">
                  <c:v>Style</c:v>
                </c:pt>
              </c:strCache>
            </c:strRef>
          </c:cat>
          <c:val>
            <c:numRef>
              <c:f>SolverPretty!$C$22:$C$23</c:f>
              <c:numCache>
                <c:formatCode>0.0000%</c:formatCode>
                <c:ptCount val="2"/>
                <c:pt idx="0">
                  <c:v>0.29903980111667727</c:v>
                </c:pt>
                <c:pt idx="1">
                  <c:v>0.70096019888332273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0D-A244-927F-D36ABB000E9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SolverPretty!$B$3:$B$18</c:f>
              <c:strCache>
                <c:ptCount val="16"/>
                <c:pt idx="0">
                  <c:v>T-Bills: US</c:v>
                </c:pt>
                <c:pt idx="1">
                  <c:v>Bonds: US Govt MT</c:v>
                </c:pt>
                <c:pt idx="2">
                  <c:v>Bonds: US Govt LT</c:v>
                </c:pt>
                <c:pt idx="3">
                  <c:v>Bonds: Corporate</c:v>
                </c:pt>
                <c:pt idx="4">
                  <c:v>Bonds: Mortgages</c:v>
                </c:pt>
                <c:pt idx="5">
                  <c:v>Bonds: Global LT</c:v>
                </c:pt>
                <c:pt idx="6">
                  <c:v>Commodities</c:v>
                </c:pt>
                <c:pt idx="7">
                  <c:v>Stocks: U.S. Lg Cap Growth</c:v>
                </c:pt>
                <c:pt idx="8">
                  <c:v>Stocks: U.S. Lg Cap Value</c:v>
                </c:pt>
                <c:pt idx="9">
                  <c:v>Stocks:  U.S. Mid-Cap</c:v>
                </c:pt>
                <c:pt idx="10">
                  <c:v>Stocks: U.S. Small Cap Growth</c:v>
                </c:pt>
                <c:pt idx="11">
                  <c:v>Stocks: U.S. Small Cap Value</c:v>
                </c:pt>
                <c:pt idx="12">
                  <c:v>Stocks: EM</c:v>
                </c:pt>
                <c:pt idx="13">
                  <c:v>Stocks: Europe</c:v>
                </c:pt>
                <c:pt idx="14">
                  <c:v>Stocks: Far East ex Japan</c:v>
                </c:pt>
                <c:pt idx="15">
                  <c:v>Stocks: Japan</c:v>
                </c:pt>
              </c:strCache>
            </c:strRef>
          </c:cat>
          <c:val>
            <c:numRef>
              <c:f>SolverPretty!$C$3:$C$18</c:f>
              <c:numCache>
                <c:formatCode>0.00%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1.6267339098050271E-2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0.98373270728559781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8A-3540-A35D-DFF5A9F1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4096831"/>
        <c:axId val="1444132495"/>
      </c:barChart>
      <c:catAx>
        <c:axId val="1444096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132495"/>
        <c:crosses val="autoZero"/>
        <c:auto val="1"/>
        <c:lblAlgn val="ctr"/>
        <c:lblOffset val="100"/>
        <c:noMultiLvlLbl val="0"/>
      </c:catAx>
      <c:valAx>
        <c:axId val="1444132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409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spPr>
            <a:solidFill>
              <a:schemeClr val="accent1"/>
            </a:solidFill>
          </c:spPr>
          <c:explosion val="18"/>
          <c:dPt>
            <c:idx val="0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0177-8D41-9AB2-50C7F7B43DCA}"/>
              </c:ext>
            </c:extLst>
          </c:dPt>
          <c:dPt>
            <c:idx val="1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E62C-C04A-9C87-E3821D55515F}"/>
              </c:ext>
            </c:extLst>
          </c:dPt>
          <c:dLbls>
            <c:dLbl>
              <c:idx val="0"/>
              <c:layout>
                <c:manualLayout>
                  <c:x val="9.1122916874453216E-2"/>
                  <c:y val="1.667169628728509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77-8D41-9AB2-50C7F7B43DCA}"/>
                </c:ext>
              </c:extLst>
            </c:dLbl>
            <c:dLbl>
              <c:idx val="1"/>
              <c:layout>
                <c:manualLayout>
                  <c:x val="-5.3160227085415561E-2"/>
                  <c:y val="-6.22672019436847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1982580105636"/>
                      <c:h val="0.178925690133765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62C-C04A-9C87-E3821D5551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SolverPretty!$B$22:$B$23</c:f>
              <c:strCache>
                <c:ptCount val="2"/>
                <c:pt idx="0">
                  <c:v>Selection</c:v>
                </c:pt>
                <c:pt idx="1">
                  <c:v>Style</c:v>
                </c:pt>
              </c:strCache>
            </c:strRef>
          </c:cat>
          <c:val>
            <c:numRef>
              <c:f>SolverPretty!$C$22:$C$23</c:f>
              <c:numCache>
                <c:formatCode>0.0000%</c:formatCode>
                <c:ptCount val="2"/>
                <c:pt idx="0">
                  <c:v>0.29903980111667727</c:v>
                </c:pt>
                <c:pt idx="1">
                  <c:v>0.70096019888332273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8D41-9AB2-50C7F7B43DC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097564241788917"/>
          <c:y val="0.81613302819351685"/>
          <c:w val="0.32556984662039684"/>
          <c:h val="0.15129554763164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53974</xdr:rowOff>
    </xdr:from>
    <xdr:to>
      <xdr:col>5</xdr:col>
      <xdr:colOff>644525</xdr:colOff>
      <xdr:row>61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66674</xdr:colOff>
      <xdr:row>35</xdr:row>
      <xdr:rowOff>53975</xdr:rowOff>
    </xdr:from>
    <xdr:to>
      <xdr:col>18</xdr:col>
      <xdr:colOff>133349</xdr:colOff>
      <xdr:row>61</xdr:row>
      <xdr:rowOff>130175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428625</xdr:colOff>
      <xdr:row>3</xdr:row>
      <xdr:rowOff>85725</xdr:rowOff>
    </xdr:from>
    <xdr:to>
      <xdr:col>21</xdr:col>
      <xdr:colOff>419100</xdr:colOff>
      <xdr:row>29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79</xdr:row>
      <xdr:rowOff>0</xdr:rowOff>
    </xdr:from>
    <xdr:to>
      <xdr:col>18</xdr:col>
      <xdr:colOff>247650</xdr:colOff>
      <xdr:row>105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53974</xdr:rowOff>
    </xdr:from>
    <xdr:to>
      <xdr:col>5</xdr:col>
      <xdr:colOff>644525</xdr:colOff>
      <xdr:row>61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66674</xdr:colOff>
      <xdr:row>35</xdr:row>
      <xdr:rowOff>53975</xdr:rowOff>
    </xdr:from>
    <xdr:to>
      <xdr:col>18</xdr:col>
      <xdr:colOff>133349</xdr:colOff>
      <xdr:row>61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428625</xdr:colOff>
      <xdr:row>3</xdr:row>
      <xdr:rowOff>85725</xdr:rowOff>
    </xdr:from>
    <xdr:to>
      <xdr:col>21</xdr:col>
      <xdr:colOff>419100</xdr:colOff>
      <xdr:row>29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79</xdr:row>
      <xdr:rowOff>0</xdr:rowOff>
    </xdr:from>
    <xdr:to>
      <xdr:col>18</xdr:col>
      <xdr:colOff>247650</xdr:colOff>
      <xdr:row>105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53974</xdr:rowOff>
    </xdr:from>
    <xdr:to>
      <xdr:col>5</xdr:col>
      <xdr:colOff>644525</xdr:colOff>
      <xdr:row>61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66674</xdr:colOff>
      <xdr:row>35</xdr:row>
      <xdr:rowOff>53975</xdr:rowOff>
    </xdr:from>
    <xdr:to>
      <xdr:col>18</xdr:col>
      <xdr:colOff>133349</xdr:colOff>
      <xdr:row>61</xdr:row>
      <xdr:rowOff>130175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428625</xdr:colOff>
      <xdr:row>3</xdr:row>
      <xdr:rowOff>85725</xdr:rowOff>
    </xdr:from>
    <xdr:to>
      <xdr:col>21</xdr:col>
      <xdr:colOff>419100</xdr:colOff>
      <xdr:row>29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79</xdr:row>
      <xdr:rowOff>0</xdr:rowOff>
    </xdr:from>
    <xdr:to>
      <xdr:col>18</xdr:col>
      <xdr:colOff>247650</xdr:colOff>
      <xdr:row>105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112722</xdr:colOff>
      <xdr:row>4</xdr:row>
      <xdr:rowOff>187869</xdr:rowOff>
    </xdr:from>
    <xdr:to>
      <xdr:col>2</xdr:col>
      <xdr:colOff>375740</xdr:colOff>
      <xdr:row>6</xdr:row>
      <xdr:rowOff>157812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4D087879-7BF5-155B-318A-8F52D4564A95}"/>
            </a:ext>
          </a:extLst>
        </xdr:cNvPr>
        <xdr:cNvSpPr/>
      </xdr:nvSpPr>
      <xdr:spPr>
        <a:xfrm>
          <a:off x="939349" y="1292544"/>
          <a:ext cx="1089645" cy="3456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Run Style</a:t>
          </a:r>
        </a:p>
        <a:p>
          <a:pPr algn="l"/>
          <a:endParaRPr lang="en-US" sz="1100"/>
        </a:p>
      </xdr:txBody>
    </xdr:sp>
    <xdr:clientData/>
  </xdr:twoCellAnchor>
  <xdr:twoCellAnchor>
    <xdr:from>
      <xdr:col>1</xdr:col>
      <xdr:colOff>27101</xdr:colOff>
      <xdr:row>7</xdr:row>
      <xdr:rowOff>142911</xdr:rowOff>
    </xdr:from>
    <xdr:to>
      <xdr:col>4</xdr:col>
      <xdr:colOff>643466</xdr:colOff>
      <xdr:row>24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D60B02-6620-DE42-B962-9B69984F18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540844</xdr:colOff>
      <xdr:row>7</xdr:row>
      <xdr:rowOff>176775</xdr:rowOff>
    </xdr:from>
    <xdr:to>
      <xdr:col>9</xdr:col>
      <xdr:colOff>711201</xdr:colOff>
      <xdr:row>24</xdr:row>
      <xdr:rowOff>160867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B6EDAE-74A5-5A4C-96DE-86C98B508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511716</xdr:colOff>
      <xdr:row>2</xdr:row>
      <xdr:rowOff>4800</xdr:rowOff>
    </xdr:from>
    <xdr:to>
      <xdr:col>11</xdr:col>
      <xdr:colOff>203200</xdr:colOff>
      <xdr:row>21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45A7E5-6EAD-2089-92CA-FDBC5F7E1E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588210</xdr:colOff>
      <xdr:row>24</xdr:row>
      <xdr:rowOff>98926</xdr:rowOff>
    </xdr:from>
    <xdr:to>
      <xdr:col>4</xdr:col>
      <xdr:colOff>634999</xdr:colOff>
      <xdr:row>36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3D7011-E334-21D2-948A-2CC1DB01A5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John/Documents/Courses-JB/AdvValuation/MyMaterials/HW01%20LoanHWsolution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venyang/Downloads/HW03%20StyleData.xlsx" TargetMode="External"/><Relationship Id="rId1" Type="http://schemas.openxmlformats.org/officeDocument/2006/relationships/externalLinkPath" Target="HW03%20Style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ecutiveSummary"/>
      <sheetName val="Amortization"/>
      <sheetName val="Work"/>
      <sheetName val="ExtraPrin"/>
      <sheetName val="Rubric"/>
      <sheetName val="EX_LevelPayment"/>
      <sheetName val="EX_LevelPrincial"/>
      <sheetName val="EX_Bullet"/>
      <sheetName val="EX_General"/>
    </sheetNames>
    <sheetDataSet>
      <sheetData sheetId="0">
        <row r="2">
          <cell r="B2">
            <v>5800</v>
          </cell>
        </row>
        <row r="3">
          <cell r="B3">
            <v>0.08</v>
          </cell>
        </row>
        <row r="4">
          <cell r="B4">
            <v>2</v>
          </cell>
        </row>
        <row r="5">
          <cell r="B5">
            <v>2</v>
          </cell>
        </row>
        <row r="6">
          <cell r="B6" t="str">
            <v>Bullet</v>
          </cell>
        </row>
        <row r="8">
          <cell r="B8">
            <v>0.04</v>
          </cell>
        </row>
        <row r="9">
          <cell r="B9">
            <v>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yleOverTime"/>
      <sheetName val="TimeVanguardInvGrade"/>
      <sheetName val="TimeHarbor"/>
      <sheetName val="Front"/>
      <sheetName val="FFWork"/>
      <sheetName val="MutualFunds"/>
      <sheetName val="Benchmarks"/>
      <sheetName val="FamaFrench"/>
    </sheetNames>
    <sheetDataSet>
      <sheetData sheetId="0">
        <row r="2">
          <cell r="B2">
            <v>36160</v>
          </cell>
          <cell r="C2">
            <v>36191</v>
          </cell>
          <cell r="D2">
            <v>36219</v>
          </cell>
          <cell r="E2">
            <v>36250</v>
          </cell>
          <cell r="F2">
            <v>36280</v>
          </cell>
          <cell r="G2">
            <v>36311</v>
          </cell>
          <cell r="H2">
            <v>36341</v>
          </cell>
          <cell r="I2">
            <v>36372</v>
          </cell>
          <cell r="J2">
            <v>36403</v>
          </cell>
          <cell r="K2">
            <v>36433</v>
          </cell>
          <cell r="L2">
            <v>36464</v>
          </cell>
          <cell r="M2">
            <v>36494</v>
          </cell>
          <cell r="N2">
            <v>36525</v>
          </cell>
          <cell r="O2">
            <v>36556</v>
          </cell>
          <cell r="P2">
            <v>36585</v>
          </cell>
          <cell r="Q2">
            <v>36616</v>
          </cell>
          <cell r="R2">
            <v>36646</v>
          </cell>
          <cell r="S2">
            <v>36677</v>
          </cell>
          <cell r="T2">
            <v>36707</v>
          </cell>
          <cell r="U2">
            <v>36738</v>
          </cell>
          <cell r="V2">
            <v>36769</v>
          </cell>
          <cell r="W2">
            <v>36799</v>
          </cell>
          <cell r="X2">
            <v>36830</v>
          </cell>
          <cell r="Y2">
            <v>36860</v>
          </cell>
          <cell r="Z2">
            <v>36891</v>
          </cell>
          <cell r="AA2">
            <v>36922</v>
          </cell>
          <cell r="AB2">
            <v>36950</v>
          </cell>
          <cell r="AC2">
            <v>36981</v>
          </cell>
          <cell r="AD2">
            <v>37011</v>
          </cell>
          <cell r="AE2">
            <v>37042</v>
          </cell>
          <cell r="AF2">
            <v>37072</v>
          </cell>
          <cell r="AG2">
            <v>37103</v>
          </cell>
          <cell r="AH2">
            <v>37134</v>
          </cell>
          <cell r="AI2">
            <v>37164</v>
          </cell>
          <cell r="AJ2">
            <v>37195</v>
          </cell>
          <cell r="AK2">
            <v>37225</v>
          </cell>
          <cell r="AL2">
            <v>37256</v>
          </cell>
          <cell r="AM2">
            <v>37287</v>
          </cell>
          <cell r="AN2">
            <v>37315</v>
          </cell>
          <cell r="AO2">
            <v>37346</v>
          </cell>
          <cell r="AP2">
            <v>37376</v>
          </cell>
          <cell r="AQ2">
            <v>37407</v>
          </cell>
          <cell r="AR2">
            <v>37437</v>
          </cell>
          <cell r="AS2">
            <v>37468</v>
          </cell>
          <cell r="AT2">
            <v>37499</v>
          </cell>
          <cell r="AU2">
            <v>37529</v>
          </cell>
          <cell r="AV2">
            <v>37560</v>
          </cell>
          <cell r="AW2">
            <v>37590</v>
          </cell>
          <cell r="AX2">
            <v>37621</v>
          </cell>
          <cell r="AY2">
            <v>37652</v>
          </cell>
          <cell r="AZ2">
            <v>37680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0.24249446285457082</v>
          </cell>
          <cell r="AM4">
            <v>0.24155321598025439</v>
          </cell>
          <cell r="AN4">
            <v>0.23721593457466025</v>
          </cell>
          <cell r="AO4">
            <v>0.30394693453948446</v>
          </cell>
          <cell r="AP4">
            <v>7.1040695858453351E-2</v>
          </cell>
          <cell r="AQ4">
            <v>0.16991287474388625</v>
          </cell>
          <cell r="AR4">
            <v>0.15914103976628866</v>
          </cell>
          <cell r="AS4">
            <v>0.14012801192003879</v>
          </cell>
          <cell r="AT4">
            <v>3.3058668792414141E-2</v>
          </cell>
          <cell r="AU4">
            <v>0.15171918856662475</v>
          </cell>
          <cell r="AV4">
            <v>0.17033172472367855</v>
          </cell>
          <cell r="AW4">
            <v>0.14923253863312932</v>
          </cell>
          <cell r="AX4">
            <v>0.15958492414905356</v>
          </cell>
          <cell r="AY4">
            <v>8.2606674607834316E-2</v>
          </cell>
          <cell r="AZ4">
            <v>0</v>
          </cell>
        </row>
        <row r="21">
          <cell r="B21">
            <v>0.22784460372602688</v>
          </cell>
          <cell r="C21">
            <v>0.2272555909140187</v>
          </cell>
          <cell r="D21">
            <v>0.24221366154787338</v>
          </cell>
          <cell r="E21">
            <v>0.2425626392017084</v>
          </cell>
          <cell r="F21">
            <v>0.25483718684450385</v>
          </cell>
          <cell r="G21">
            <v>0.25021005598163926</v>
          </cell>
          <cell r="H21">
            <v>0.25307828439341029</v>
          </cell>
          <cell r="I21">
            <v>0.25570713589158411</v>
          </cell>
          <cell r="J21">
            <v>0.25834126044145456</v>
          </cell>
          <cell r="K21">
            <v>0.24795680377564211</v>
          </cell>
          <cell r="L21">
            <v>0.25559334863908145</v>
          </cell>
          <cell r="M21">
            <v>0.25631081370113662</v>
          </cell>
          <cell r="N21">
            <v>0.26997480670301643</v>
          </cell>
          <cell r="O21">
            <v>0.27800792190048262</v>
          </cell>
          <cell r="P21">
            <v>0.2746585240956988</v>
          </cell>
          <cell r="Q21">
            <v>0.29241126360337943</v>
          </cell>
          <cell r="R21">
            <v>0.28961511620833502</v>
          </cell>
          <cell r="S21">
            <v>0.28163744974089244</v>
          </cell>
          <cell r="T21">
            <v>0.28126686837448489</v>
          </cell>
          <cell r="U21">
            <v>0.28088401122520168</v>
          </cell>
          <cell r="V21">
            <v>0.28884466855690438</v>
          </cell>
          <cell r="W21">
            <v>0.28746173282235277</v>
          </cell>
          <cell r="X21">
            <v>0.28123736159090063</v>
          </cell>
          <cell r="Y21">
            <v>0.27472747472617809</v>
          </cell>
          <cell r="Z21">
            <v>0.23001065859903957</v>
          </cell>
          <cell r="AA21">
            <v>0.23409276093098041</v>
          </cell>
          <cell r="AB21">
            <v>0.2344299883046691</v>
          </cell>
          <cell r="AC21">
            <v>0.24220513058379101</v>
          </cell>
          <cell r="AD21">
            <v>0.37334170685909951</v>
          </cell>
          <cell r="AE21">
            <v>0.36971799652342363</v>
          </cell>
          <cell r="AF21">
            <v>0.36627676566800615</v>
          </cell>
          <cell r="AG21">
            <v>0.35562180613388383</v>
          </cell>
          <cell r="AH21">
            <v>0.34185442708782465</v>
          </cell>
          <cell r="AI21">
            <v>0.35627560941095615</v>
          </cell>
          <cell r="AJ21">
            <v>0.35987337506268857</v>
          </cell>
          <cell r="AK21">
            <v>0.36810828218790415</v>
          </cell>
          <cell r="AL21">
            <v>0.40845675577193141</v>
          </cell>
          <cell r="AM21">
            <v>0.4051082156843312</v>
          </cell>
          <cell r="AN21">
            <v>0.4020611419885034</v>
          </cell>
          <cell r="AO21">
            <v>0.39356302378502916</v>
          </cell>
          <cell r="AP21">
            <v>0.49496359673623791</v>
          </cell>
          <cell r="AQ21">
            <v>0.48513849078363713</v>
          </cell>
          <cell r="AR21">
            <v>0.49493195544573187</v>
          </cell>
          <cell r="AS21">
            <v>0.50195709477877759</v>
          </cell>
          <cell r="AT21">
            <v>0.50973775708346059</v>
          </cell>
          <cell r="AU21">
            <v>0.51857210904477302</v>
          </cell>
          <cell r="AV21">
            <v>0.51270805237435102</v>
          </cell>
          <cell r="AW21">
            <v>0.52375170592293352</v>
          </cell>
          <cell r="AX21">
            <v>0.5283618095923559</v>
          </cell>
          <cell r="AY21">
            <v>0.54996980134869933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Y27"/>
  <sheetViews>
    <sheetView zoomScaleNormal="100" workbookViewId="0">
      <selection activeCell="A4" sqref="A4"/>
    </sheetView>
  </sheetViews>
  <sheetFormatPr baseColWidth="10" defaultColWidth="8.83203125" defaultRowHeight="15" x14ac:dyDescent="0.2"/>
  <cols>
    <col min="1" max="1" width="31.6640625" customWidth="1"/>
    <col min="2" max="3" width="12.1640625" bestFit="1" customWidth="1"/>
    <col min="4" max="10" width="10.33203125" bestFit="1" customWidth="1"/>
    <col min="11" max="14" width="11.33203125" bestFit="1" customWidth="1"/>
    <col min="15" max="15" width="10.33203125" bestFit="1" customWidth="1"/>
    <col min="16" max="16" width="13" bestFit="1" customWidth="1"/>
    <col min="17" max="22" width="10.33203125" bestFit="1" customWidth="1"/>
    <col min="23" max="26" width="11.33203125" bestFit="1" customWidth="1"/>
    <col min="27" max="34" width="10.33203125" bestFit="1" customWidth="1"/>
    <col min="35" max="38" width="11.33203125" bestFit="1" customWidth="1"/>
    <col min="39" max="46" width="10.33203125" bestFit="1" customWidth="1"/>
    <col min="47" max="50" width="11.33203125" bestFit="1" customWidth="1"/>
    <col min="51" max="58" width="10.33203125" bestFit="1" customWidth="1"/>
    <col min="59" max="62" width="11.33203125" bestFit="1" customWidth="1"/>
    <col min="63" max="70" width="10.33203125" bestFit="1" customWidth="1"/>
    <col min="71" max="74" width="11.33203125" bestFit="1" customWidth="1"/>
    <col min="75" max="82" width="10.33203125" bestFit="1" customWidth="1"/>
    <col min="83" max="86" width="11.33203125" bestFit="1" customWidth="1"/>
    <col min="87" max="94" width="10.33203125" bestFit="1" customWidth="1"/>
    <col min="95" max="98" width="11.33203125" bestFit="1" customWidth="1"/>
    <col min="99" max="106" width="10.33203125" bestFit="1" customWidth="1"/>
    <col min="107" max="110" width="11.33203125" bestFit="1" customWidth="1"/>
    <col min="111" max="118" width="10.33203125" bestFit="1" customWidth="1"/>
    <col min="119" max="122" width="11.33203125" bestFit="1" customWidth="1"/>
    <col min="123" max="130" width="10.33203125" bestFit="1" customWidth="1"/>
    <col min="131" max="134" width="11.33203125" bestFit="1" customWidth="1"/>
    <col min="135" max="142" width="10.33203125" bestFit="1" customWidth="1"/>
    <col min="143" max="146" width="11.33203125" bestFit="1" customWidth="1"/>
    <col min="147" max="154" width="10.33203125" bestFit="1" customWidth="1"/>
    <col min="155" max="158" width="11.33203125" bestFit="1" customWidth="1"/>
    <col min="159" max="166" width="10.33203125" bestFit="1" customWidth="1"/>
    <col min="167" max="170" width="11.33203125" bestFit="1" customWidth="1"/>
    <col min="171" max="178" width="10.33203125" bestFit="1" customWidth="1"/>
    <col min="179" max="181" width="11.33203125" bestFit="1" customWidth="1"/>
  </cols>
  <sheetData>
    <row r="1" spans="1:181" ht="16" x14ac:dyDescent="0.2">
      <c r="A1" s="17" t="s">
        <v>55</v>
      </c>
      <c r="B1" s="18">
        <v>34365</v>
      </c>
      <c r="C1" s="18">
        <v>34393</v>
      </c>
      <c r="D1" s="18">
        <v>34424</v>
      </c>
      <c r="E1" s="18">
        <v>34454</v>
      </c>
      <c r="F1" s="18">
        <v>34485</v>
      </c>
      <c r="G1" s="18">
        <v>34515</v>
      </c>
      <c r="H1" s="18">
        <v>34546</v>
      </c>
      <c r="I1" s="18">
        <v>34577</v>
      </c>
      <c r="J1" s="18">
        <v>34607</v>
      </c>
      <c r="K1" s="18">
        <v>34638</v>
      </c>
      <c r="L1" s="18">
        <v>34668</v>
      </c>
      <c r="M1" s="18">
        <v>34699</v>
      </c>
      <c r="N1" s="18">
        <v>34730</v>
      </c>
      <c r="O1" s="18">
        <v>34758</v>
      </c>
      <c r="P1" s="18">
        <v>34789</v>
      </c>
      <c r="Q1" s="18">
        <v>34819</v>
      </c>
      <c r="R1" s="18">
        <v>34850</v>
      </c>
      <c r="S1" s="18">
        <v>34880</v>
      </c>
      <c r="T1" s="18">
        <v>34911</v>
      </c>
      <c r="U1" s="18">
        <v>34942</v>
      </c>
      <c r="V1" s="18">
        <v>34972</v>
      </c>
      <c r="W1" s="18">
        <v>35003</v>
      </c>
      <c r="X1" s="18">
        <v>35033</v>
      </c>
      <c r="Y1" s="18">
        <v>35064</v>
      </c>
      <c r="Z1" s="18">
        <v>35095</v>
      </c>
      <c r="AA1" s="18">
        <v>35124</v>
      </c>
      <c r="AB1" s="18">
        <v>35155</v>
      </c>
      <c r="AC1" s="18">
        <v>35185</v>
      </c>
      <c r="AD1" s="18">
        <v>35216</v>
      </c>
      <c r="AE1" s="18">
        <v>35246</v>
      </c>
      <c r="AF1" s="18">
        <v>35277</v>
      </c>
      <c r="AG1" s="18">
        <v>35308</v>
      </c>
      <c r="AH1" s="18">
        <v>35338</v>
      </c>
      <c r="AI1" s="18">
        <v>35369</v>
      </c>
      <c r="AJ1" s="18">
        <v>35399</v>
      </c>
      <c r="AK1" s="18">
        <v>35430</v>
      </c>
      <c r="AL1" s="18">
        <v>35461</v>
      </c>
      <c r="AM1" s="18">
        <v>35489</v>
      </c>
      <c r="AN1" s="18">
        <v>35520</v>
      </c>
      <c r="AO1" s="18">
        <v>35550</v>
      </c>
      <c r="AP1" s="18">
        <v>35581</v>
      </c>
      <c r="AQ1" s="18">
        <v>35611</v>
      </c>
      <c r="AR1" s="18">
        <v>35642</v>
      </c>
      <c r="AS1" s="18">
        <v>35673</v>
      </c>
      <c r="AT1" s="18">
        <v>35703</v>
      </c>
      <c r="AU1" s="18">
        <v>35734</v>
      </c>
      <c r="AV1" s="18">
        <v>35764</v>
      </c>
      <c r="AW1" s="18">
        <v>35795</v>
      </c>
      <c r="AX1" s="18">
        <v>35826</v>
      </c>
      <c r="AY1" s="18">
        <v>35854</v>
      </c>
      <c r="AZ1" s="18">
        <v>35885</v>
      </c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</row>
    <row r="2" spans="1:181" ht="16" x14ac:dyDescent="0.2">
      <c r="A2" s="21">
        <v>41608</v>
      </c>
      <c r="B2" s="18">
        <v>36160</v>
      </c>
      <c r="C2" s="18">
        <v>36191</v>
      </c>
      <c r="D2" s="18">
        <v>36219</v>
      </c>
      <c r="E2" s="18">
        <v>36250</v>
      </c>
      <c r="F2" s="18">
        <v>36280</v>
      </c>
      <c r="G2" s="18">
        <v>36311</v>
      </c>
      <c r="H2" s="18">
        <v>36341</v>
      </c>
      <c r="I2" s="18">
        <v>36372</v>
      </c>
      <c r="J2" s="18">
        <v>36403</v>
      </c>
      <c r="K2" s="18">
        <v>36433</v>
      </c>
      <c r="L2" s="18">
        <v>36464</v>
      </c>
      <c r="M2" s="18">
        <v>36494</v>
      </c>
      <c r="N2" s="18">
        <v>36525</v>
      </c>
      <c r="O2" s="18">
        <v>36556</v>
      </c>
      <c r="P2" s="18">
        <v>36585</v>
      </c>
      <c r="Q2" s="18">
        <v>36616</v>
      </c>
      <c r="R2" s="18">
        <v>36646</v>
      </c>
      <c r="S2" s="18">
        <v>36677</v>
      </c>
      <c r="T2" s="18">
        <v>36707</v>
      </c>
      <c r="U2" s="18">
        <v>36738</v>
      </c>
      <c r="V2" s="18">
        <v>36769</v>
      </c>
      <c r="W2" s="18">
        <v>36799</v>
      </c>
      <c r="X2" s="18">
        <v>36830</v>
      </c>
      <c r="Y2" s="18">
        <v>36860</v>
      </c>
      <c r="Z2" s="18">
        <v>36891</v>
      </c>
      <c r="AA2" s="18">
        <v>36922</v>
      </c>
      <c r="AB2" s="18">
        <v>36950</v>
      </c>
      <c r="AC2" s="18">
        <v>36981</v>
      </c>
      <c r="AD2" s="18">
        <v>37011</v>
      </c>
      <c r="AE2" s="18">
        <v>37042</v>
      </c>
      <c r="AF2" s="18">
        <v>37072</v>
      </c>
      <c r="AG2" s="18">
        <v>37103</v>
      </c>
      <c r="AH2" s="18">
        <v>37134</v>
      </c>
      <c r="AI2" s="18">
        <v>37164</v>
      </c>
      <c r="AJ2" s="18">
        <v>37195</v>
      </c>
      <c r="AK2" s="18">
        <v>37225</v>
      </c>
      <c r="AL2" s="18">
        <v>37256</v>
      </c>
      <c r="AM2" s="18">
        <v>37287</v>
      </c>
      <c r="AN2" s="18">
        <v>37315</v>
      </c>
      <c r="AO2" s="18">
        <v>37346</v>
      </c>
      <c r="AP2" s="18">
        <v>37376</v>
      </c>
      <c r="AQ2" s="18">
        <v>37407</v>
      </c>
      <c r="AR2" s="18">
        <v>37437</v>
      </c>
      <c r="AS2" s="18">
        <v>37468</v>
      </c>
      <c r="AT2" s="18">
        <v>37499</v>
      </c>
      <c r="AU2" s="18">
        <v>37529</v>
      </c>
      <c r="AV2" s="18">
        <v>37560</v>
      </c>
      <c r="AW2" s="18">
        <v>37590</v>
      </c>
      <c r="AX2" s="18">
        <v>37621</v>
      </c>
      <c r="AY2" s="18">
        <v>37652</v>
      </c>
      <c r="AZ2" s="18">
        <v>37680</v>
      </c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</row>
    <row r="3" spans="1:181" x14ac:dyDescent="0.2">
      <c r="A3" s="19" t="s">
        <v>58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</row>
    <row r="4" spans="1:181" ht="16" x14ac:dyDescent="0.2">
      <c r="A4" s="17" t="e">
        <f>#REF!</f>
        <v>#REF!</v>
      </c>
      <c r="B4" s="19">
        <v>0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0.24249446285457082</v>
      </c>
      <c r="AM4" s="19">
        <v>0.24155321598025439</v>
      </c>
      <c r="AN4" s="19">
        <v>0.23721593457466025</v>
      </c>
      <c r="AO4" s="19">
        <v>0.30394693453948446</v>
      </c>
      <c r="AP4" s="19">
        <v>7.1040695858453351E-2</v>
      </c>
      <c r="AQ4" s="19">
        <v>0.16991287474388625</v>
      </c>
      <c r="AR4" s="19">
        <v>0.15914103976628866</v>
      </c>
      <c r="AS4" s="19">
        <v>0.14012801192003879</v>
      </c>
      <c r="AT4" s="19">
        <v>3.3058668792414141E-2</v>
      </c>
      <c r="AU4" s="19">
        <v>0.15171918856662475</v>
      </c>
      <c r="AV4" s="19">
        <v>0.17033172472367855</v>
      </c>
      <c r="AW4" s="19">
        <v>0.14923253863312932</v>
      </c>
      <c r="AX4" s="19">
        <v>0.15958492414905356</v>
      </c>
      <c r="AY4" s="19">
        <v>8.2606674607834316E-2</v>
      </c>
      <c r="AZ4" s="19">
        <v>0</v>
      </c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</row>
    <row r="5" spans="1:181" ht="16" x14ac:dyDescent="0.2">
      <c r="A5" s="17" t="e">
        <f>#REF!</f>
        <v>#REF!</v>
      </c>
      <c r="B5" s="19">
        <v>0.3666343883837519</v>
      </c>
      <c r="C5" s="19">
        <v>0.37375301028364027</v>
      </c>
      <c r="D5" s="19">
        <v>0.27223458578892584</v>
      </c>
      <c r="E5" s="19">
        <v>0.23968701365479769</v>
      </c>
      <c r="F5" s="19">
        <v>0.32542420118527704</v>
      </c>
      <c r="G5" s="19">
        <v>0.31524838002261163</v>
      </c>
      <c r="H5" s="19">
        <v>0.3194554695619316</v>
      </c>
      <c r="I5" s="19">
        <v>0.30358915353712435</v>
      </c>
      <c r="J5" s="19">
        <v>0.2769864210122156</v>
      </c>
      <c r="K5" s="19">
        <v>0.28653710196236643</v>
      </c>
      <c r="L5" s="19">
        <v>0.35418934602115931</v>
      </c>
      <c r="M5" s="19">
        <v>0.35939798802606787</v>
      </c>
      <c r="N5" s="19">
        <v>0.34676673831039079</v>
      </c>
      <c r="O5" s="19">
        <v>0.32010546060919509</v>
      </c>
      <c r="P5" s="19">
        <v>0.28287855136413481</v>
      </c>
      <c r="Q5" s="19">
        <v>0.23780940682726964</v>
      </c>
      <c r="R5" s="19">
        <v>0.24336599337717141</v>
      </c>
      <c r="S5" s="19">
        <v>0.2071565734896724</v>
      </c>
      <c r="T5" s="19">
        <v>0.21668332713227442</v>
      </c>
      <c r="U5" s="19">
        <v>0.22539493692839277</v>
      </c>
      <c r="V5" s="19">
        <v>0.23894167912488382</v>
      </c>
      <c r="W5" s="19">
        <v>0.23023566278922675</v>
      </c>
      <c r="X5" s="19">
        <v>0.19934450174174367</v>
      </c>
      <c r="Y5" s="19">
        <v>0.21390705016775974</v>
      </c>
      <c r="Z5" s="19">
        <v>0.28566647783560167</v>
      </c>
      <c r="AA5" s="19">
        <v>0.28791596794049751</v>
      </c>
      <c r="AB5" s="19">
        <v>0.17378218975040347</v>
      </c>
      <c r="AC5" s="19">
        <v>0.16081137129607626</v>
      </c>
      <c r="AD5" s="19">
        <v>0.23032492682124667</v>
      </c>
      <c r="AE5" s="19">
        <v>0.26933288076797623</v>
      </c>
      <c r="AF5" s="19">
        <v>0.23824785987139882</v>
      </c>
      <c r="AG5" s="19">
        <v>0.22126128290227048</v>
      </c>
      <c r="AH5" s="19">
        <v>0.15999174733165075</v>
      </c>
      <c r="AI5" s="19">
        <v>0.13706369706454757</v>
      </c>
      <c r="AJ5" s="19">
        <v>7.0088166011370592E-2</v>
      </c>
      <c r="AK5" s="19">
        <v>6.433547273638282E-2</v>
      </c>
      <c r="AL5" s="19">
        <v>0</v>
      </c>
      <c r="AM5" s="19">
        <v>0</v>
      </c>
      <c r="AN5" s="19">
        <v>0</v>
      </c>
      <c r="AO5" s="19">
        <v>0</v>
      </c>
      <c r="AP5" s="19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>
        <v>0</v>
      </c>
      <c r="AZ5" s="19">
        <v>8.2211631632914534E-2</v>
      </c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</row>
    <row r="6" spans="1:181" ht="16" x14ac:dyDescent="0.2">
      <c r="A6" s="17" t="e">
        <f>#REF!</f>
        <v>#REF!</v>
      </c>
      <c r="B6" s="19">
        <v>0</v>
      </c>
      <c r="C6" s="19">
        <v>0</v>
      </c>
      <c r="D6" s="19">
        <v>9.3968772669350512E-2</v>
      </c>
      <c r="E6" s="19">
        <v>0.11439800747971796</v>
      </c>
      <c r="F6" s="19">
        <v>2.861637491270513E-2</v>
      </c>
      <c r="G6" s="19">
        <v>2.9891168637664684E-2</v>
      </c>
      <c r="H6" s="19">
        <v>3.4944556139225959E-2</v>
      </c>
      <c r="I6" s="19">
        <v>4.4835257938745925E-2</v>
      </c>
      <c r="J6" s="19">
        <v>5.1881600590254096E-2</v>
      </c>
      <c r="K6" s="19">
        <v>7.1434423702847902E-2</v>
      </c>
      <c r="L6" s="19">
        <v>0</v>
      </c>
      <c r="M6" s="19">
        <v>6.3772000129565989E-3</v>
      </c>
      <c r="N6" s="19">
        <v>1.4283988633445209E-3</v>
      </c>
      <c r="O6" s="19">
        <v>0</v>
      </c>
      <c r="P6" s="19">
        <v>0</v>
      </c>
      <c r="Q6" s="19">
        <v>0</v>
      </c>
      <c r="R6" s="19">
        <v>0</v>
      </c>
      <c r="S6" s="19">
        <v>3.0246212850906371E-2</v>
      </c>
      <c r="T6" s="19">
        <v>2.3898295492848991E-2</v>
      </c>
      <c r="U6" s="19">
        <v>1.1872722301272691E-2</v>
      </c>
      <c r="V6" s="19">
        <v>9.4352727121531062E-4</v>
      </c>
      <c r="W6" s="19">
        <v>7.615829767370616E-3</v>
      </c>
      <c r="X6" s="19">
        <v>3.5558060852543066E-2</v>
      </c>
      <c r="Y6" s="19">
        <v>2.8410968151077916E-2</v>
      </c>
      <c r="Z6" s="19">
        <v>4.8800492104222479E-2</v>
      </c>
      <c r="AA6" s="19">
        <v>4.5400210947220021E-2</v>
      </c>
      <c r="AB6" s="19">
        <v>0.1752947547189522</v>
      </c>
      <c r="AC6" s="19">
        <v>0.17224578700518658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19">
        <v>0</v>
      </c>
      <c r="AR6" s="19">
        <v>0</v>
      </c>
      <c r="AS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>
        <v>0</v>
      </c>
      <c r="AZ6" s="19">
        <v>4.3144852816303661E-2</v>
      </c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</row>
    <row r="7" spans="1:181" ht="16" x14ac:dyDescent="0.2">
      <c r="A7" s="17" t="e">
        <f>#REF!</f>
        <v>#REF!</v>
      </c>
      <c r="B7" s="19">
        <v>0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19">
        <v>0</v>
      </c>
      <c r="AP7" s="19">
        <v>0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>
        <v>0</v>
      </c>
      <c r="AZ7" s="19">
        <v>5.7339297664865854E-2</v>
      </c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</row>
    <row r="8" spans="1:181" ht="16" x14ac:dyDescent="0.2">
      <c r="A8" s="17" t="e">
        <f>#REF!</f>
        <v>#REF!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0.14755217695894648</v>
      </c>
      <c r="AQ8" s="19">
        <v>4.7088122245807544E-2</v>
      </c>
      <c r="AR8" s="19">
        <v>5.2322412735642185E-2</v>
      </c>
      <c r="AS8" s="19">
        <v>6.465790285915364E-2</v>
      </c>
      <c r="AT8" s="19">
        <v>0.10789731707825247</v>
      </c>
      <c r="AU8" s="19">
        <v>3.1855403259303861E-2</v>
      </c>
      <c r="AV8" s="19">
        <v>0</v>
      </c>
      <c r="AW8" s="19">
        <v>0</v>
      </c>
      <c r="AX8" s="19">
        <v>0</v>
      </c>
      <c r="AY8" s="19">
        <v>7.1487519866123381E-2</v>
      </c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</row>
    <row r="9" spans="1:181" ht="16" x14ac:dyDescent="0.2">
      <c r="A9" s="17" t="e">
        <f>#REF!</f>
        <v>#REF!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4.137043743982545E-2</v>
      </c>
      <c r="AE9" s="19">
        <v>0</v>
      </c>
      <c r="AF9" s="19">
        <v>3.7407597528922816E-2</v>
      </c>
      <c r="AG9" s="19">
        <v>6.5326280992033331E-2</v>
      </c>
      <c r="AH9" s="19">
        <v>0.14554315360578324</v>
      </c>
      <c r="AI9" s="19">
        <v>0.16508541988616654</v>
      </c>
      <c r="AJ9" s="19">
        <v>0.23515218684032288</v>
      </c>
      <c r="AK9" s="19">
        <v>0.22239065648269077</v>
      </c>
      <c r="AL9" s="19">
        <v>6.4874028669812081E-2</v>
      </c>
      <c r="AM9" s="19">
        <v>6.7234355890936862E-2</v>
      </c>
      <c r="AN9" s="19">
        <v>6.5337241691214409E-2</v>
      </c>
      <c r="AO9" s="19">
        <v>2.0523277180662308E-2</v>
      </c>
      <c r="AP9" s="19">
        <v>1.9244890675719016E-2</v>
      </c>
      <c r="AQ9" s="19">
        <v>5.3727039764344085E-2</v>
      </c>
      <c r="AR9" s="19">
        <v>4.9532656798660861E-2</v>
      </c>
      <c r="AS9" s="19">
        <v>5.3470968856695944E-2</v>
      </c>
      <c r="AT9" s="19">
        <v>0.11716367278159012</v>
      </c>
      <c r="AU9" s="19">
        <v>9.40039050436349E-2</v>
      </c>
      <c r="AV9" s="19">
        <v>0.11396480391887669</v>
      </c>
      <c r="AW9" s="19">
        <v>0.12260730381241562</v>
      </c>
      <c r="AX9" s="19">
        <v>0.10817305028453315</v>
      </c>
      <c r="AY9" s="19">
        <v>8.5435106232876715E-2</v>
      </c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</row>
    <row r="10" spans="1:181" ht="16" x14ac:dyDescent="0.2">
      <c r="A10" s="17" t="e">
        <f>#REF!</f>
        <v>#REF!</v>
      </c>
      <c r="B10" s="19">
        <v>0</v>
      </c>
      <c r="C10" s="19">
        <v>0</v>
      </c>
      <c r="D10" s="19">
        <v>0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19">
        <v>0</v>
      </c>
      <c r="AP10" s="19">
        <v>0</v>
      </c>
      <c r="AQ10" s="19">
        <v>0</v>
      </c>
      <c r="AR10" s="19">
        <v>0</v>
      </c>
      <c r="AS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>
        <v>0</v>
      </c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</row>
    <row r="11" spans="1:181" ht="16" x14ac:dyDescent="0.2">
      <c r="A11" s="17" t="e">
        <f>#REF!</f>
        <v>#REF!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19">
        <v>0</v>
      </c>
      <c r="AP11" s="19">
        <v>0.15151915182095232</v>
      </c>
      <c r="AQ11" s="19">
        <v>0.13564370976464951</v>
      </c>
      <c r="AR11" s="19">
        <v>0.14250566325483516</v>
      </c>
      <c r="AS11" s="19">
        <v>0.14254594895809836</v>
      </c>
      <c r="AT11" s="19">
        <v>0.12839614598824273</v>
      </c>
      <c r="AU11" s="19">
        <v>0.12459689748481405</v>
      </c>
      <c r="AV11" s="19">
        <v>0.12653695439474338</v>
      </c>
      <c r="AW11" s="19">
        <v>0.12403454672165043</v>
      </c>
      <c r="AX11" s="19">
        <v>0.12880684720967422</v>
      </c>
      <c r="AY11" s="19">
        <v>0.1822584435368616</v>
      </c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</row>
    <row r="12" spans="1:181" ht="16" x14ac:dyDescent="0.2">
      <c r="A12" s="17" t="e">
        <f>#REF!</f>
        <v>#REF!</v>
      </c>
      <c r="B12" s="19">
        <v>0.1283379603700868</v>
      </c>
      <c r="C12" s="19">
        <v>0.15338486671635418</v>
      </c>
      <c r="D12" s="19">
        <v>0.12960584534025063</v>
      </c>
      <c r="E12" s="19">
        <v>9.7940670152033255E-2</v>
      </c>
      <c r="F12" s="19">
        <v>0.1797659699555019</v>
      </c>
      <c r="G12" s="19">
        <v>0.14788491053271938</v>
      </c>
      <c r="H12" s="19">
        <v>0.15432142665440934</v>
      </c>
      <c r="I12" s="19">
        <v>0.17028258625675799</v>
      </c>
      <c r="J12" s="19">
        <v>0.1760956538796917</v>
      </c>
      <c r="K12" s="19">
        <v>0.14358180761194944</v>
      </c>
      <c r="L12" s="19">
        <v>0.2905528015656158</v>
      </c>
      <c r="M12" s="19">
        <v>0.26321289663078329</v>
      </c>
      <c r="N12" s="19">
        <v>0.27350541452764837</v>
      </c>
      <c r="O12" s="19">
        <v>0.26774328271452863</v>
      </c>
      <c r="P12" s="19">
        <v>0.34342853871018353</v>
      </c>
      <c r="Q12" s="19">
        <v>0.44331385471503976</v>
      </c>
      <c r="R12" s="19">
        <v>0.43694940480168099</v>
      </c>
      <c r="S12" s="19">
        <v>0.46529837486102787</v>
      </c>
      <c r="T12" s="19">
        <v>0.47016198714453289</v>
      </c>
      <c r="U12" s="19">
        <v>0.47330425579422186</v>
      </c>
      <c r="V12" s="19">
        <v>0.48257371122799175</v>
      </c>
      <c r="W12" s="19">
        <v>0.48687598559218687</v>
      </c>
      <c r="X12" s="19">
        <v>0.52629446007062508</v>
      </c>
      <c r="Y12" s="19">
        <v>0.50377666722881775</v>
      </c>
      <c r="Z12" s="19">
        <v>0.5682731944784416</v>
      </c>
      <c r="AA12" s="19">
        <v>0.56603620037295477</v>
      </c>
      <c r="AB12" s="19">
        <v>0.54500797628263542</v>
      </c>
      <c r="AC12" s="19">
        <v>0.55547432838865396</v>
      </c>
      <c r="AD12" s="19">
        <v>0.55476174648164056</v>
      </c>
      <c r="AE12" s="19">
        <v>0.56218912680686539</v>
      </c>
      <c r="AF12" s="19">
        <v>0.55809590586745939</v>
      </c>
      <c r="AG12" s="19">
        <v>0.55466085300936163</v>
      </c>
      <c r="AH12" s="19">
        <v>0.52281196434581789</v>
      </c>
      <c r="AI12" s="19">
        <v>0.52456169931497743</v>
      </c>
      <c r="AJ12" s="19">
        <v>0.52515635087167156</v>
      </c>
      <c r="AK12" s="19">
        <v>0.55130197761418687</v>
      </c>
      <c r="AL12" s="19">
        <v>0.46542105271717343</v>
      </c>
      <c r="AM12" s="19">
        <v>0.45454849625907484</v>
      </c>
      <c r="AN12" s="19">
        <v>0.43976881268818302</v>
      </c>
      <c r="AO12" s="19">
        <v>0.43252069441240776</v>
      </c>
      <c r="AP12" s="19">
        <v>0.38392841257907684</v>
      </c>
      <c r="AQ12" s="19">
        <v>0.38414438149433527</v>
      </c>
      <c r="AR12" s="19">
        <v>0.38166148996116722</v>
      </c>
      <c r="AS12" s="19">
        <v>0.38616480158887423</v>
      </c>
      <c r="AT12" s="19">
        <v>0.42746006979708195</v>
      </c>
      <c r="AU12" s="19">
        <v>0.41619363195751402</v>
      </c>
      <c r="AV12" s="19">
        <v>0.39708888250685487</v>
      </c>
      <c r="AW12" s="19">
        <v>0.42361175420365016</v>
      </c>
      <c r="AX12" s="19">
        <v>0.42758033515129729</v>
      </c>
      <c r="AY12" s="19">
        <v>0.39989359555856135</v>
      </c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</row>
    <row r="13" spans="1:181" ht="16" x14ac:dyDescent="0.2">
      <c r="A13" s="17" t="e">
        <f>#REF!</f>
        <v>#REF!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>
        <v>0</v>
      </c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</row>
    <row r="14" spans="1:181" ht="16" x14ac:dyDescent="0.2">
      <c r="A14" s="17" t="e">
        <f>#REF!</f>
        <v>#REF!</v>
      </c>
      <c r="B14" s="19">
        <v>8.217876696499743E-2</v>
      </c>
      <c r="C14" s="19">
        <v>9.7618530276187637E-2</v>
      </c>
      <c r="D14" s="19">
        <v>0.10216742928488572</v>
      </c>
      <c r="E14" s="19">
        <v>8.8694644372579776E-2</v>
      </c>
      <c r="F14" s="19">
        <v>8.4642513021336976E-2</v>
      </c>
      <c r="G14" s="19">
        <v>7.5852207052695783E-2</v>
      </c>
      <c r="H14" s="19">
        <v>8.1867361155495547E-2</v>
      </c>
      <c r="I14" s="19">
        <v>8.1411409749305219E-2</v>
      </c>
      <c r="J14" s="19">
        <v>7.5228467671946977E-2</v>
      </c>
      <c r="K14" s="19">
        <v>0.10170550767778573</v>
      </c>
      <c r="L14" s="19">
        <v>0.12301859234926592</v>
      </c>
      <c r="M14" s="19">
        <v>0.14307714321732787</v>
      </c>
      <c r="N14" s="19">
        <v>0.15381875499778583</v>
      </c>
      <c r="O14" s="19">
        <v>0.13832334090087878</v>
      </c>
      <c r="P14" s="19">
        <v>8.5446549826923471E-2</v>
      </c>
      <c r="Q14" s="19">
        <v>6.3648185445496566E-2</v>
      </c>
      <c r="R14" s="19">
        <v>6.4455581324543279E-2</v>
      </c>
      <c r="S14" s="19">
        <v>5.3894924035260999E-2</v>
      </c>
      <c r="T14" s="19">
        <v>5.2366549655765281E-2</v>
      </c>
      <c r="U14" s="19">
        <v>5.354308967872836E-2</v>
      </c>
      <c r="V14" s="19">
        <v>5.3251886807790472E-2</v>
      </c>
      <c r="W14" s="19">
        <v>5.3424764691252118E-2</v>
      </c>
      <c r="X14" s="19">
        <v>4.4879414399262921E-2</v>
      </c>
      <c r="Y14" s="19">
        <v>4.0748283610688801E-2</v>
      </c>
      <c r="Z14" s="19">
        <v>4.2410572399616826E-2</v>
      </c>
      <c r="AA14" s="19">
        <v>4.4761568469878873E-2</v>
      </c>
      <c r="AB14" s="19">
        <v>3.7414564055055263E-2</v>
      </c>
      <c r="AC14" s="19">
        <v>4.0870161618364251E-2</v>
      </c>
      <c r="AD14" s="19">
        <v>9.7697598130178628E-2</v>
      </c>
      <c r="AE14" s="19">
        <v>0.1016897943612365</v>
      </c>
      <c r="AF14" s="19">
        <v>9.6031821459914748E-2</v>
      </c>
      <c r="AG14" s="19">
        <v>9.257863928616912E-2</v>
      </c>
      <c r="AH14" s="19">
        <v>8.4084063874513545E-2</v>
      </c>
      <c r="AI14" s="19">
        <v>8.4507643565193066E-2</v>
      </c>
      <c r="AJ14" s="19">
        <v>8.228500424432042E-2</v>
      </c>
      <c r="AK14" s="19">
        <v>8.5288325831715583E-2</v>
      </c>
      <c r="AL14" s="19">
        <v>8.8932756183300959E-2</v>
      </c>
      <c r="AM14" s="19">
        <v>8.7635735251225214E-2</v>
      </c>
      <c r="AN14" s="19">
        <v>7.2833639893863142E-2</v>
      </c>
      <c r="AO14" s="19">
        <v>6.5031633205801798E-2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>
        <v>0</v>
      </c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</row>
    <row r="15" spans="1:181" ht="14.25" customHeight="1" x14ac:dyDescent="0.2">
      <c r="A15" s="17" t="e">
        <f>#REF!</f>
        <v>#REF!</v>
      </c>
      <c r="B15" s="19">
        <v>0.26727078826699113</v>
      </c>
      <c r="C15" s="19">
        <v>0.2236598553827267</v>
      </c>
      <c r="D15" s="19">
        <v>0.25003934376204312</v>
      </c>
      <c r="E15" s="19">
        <v>0.32270185282483627</v>
      </c>
      <c r="F15" s="19">
        <v>0.27754132502017592</v>
      </c>
      <c r="G15" s="19">
        <v>0.32707642892560873</v>
      </c>
      <c r="H15" s="19">
        <v>0.31238609522709465</v>
      </c>
      <c r="I15" s="19">
        <v>0.30209628757895995</v>
      </c>
      <c r="J15" s="19">
        <v>0.32765916907502551</v>
      </c>
      <c r="K15" s="19">
        <v>0.30306885968122488</v>
      </c>
      <c r="L15" s="19">
        <v>0.16316909742778729</v>
      </c>
      <c r="M15" s="19">
        <v>0.14868132920818528</v>
      </c>
      <c r="N15" s="19">
        <v>0.17945147723245689</v>
      </c>
      <c r="O15" s="19">
        <v>0.23844024822526008</v>
      </c>
      <c r="P15" s="19">
        <v>0.25068504148028908</v>
      </c>
      <c r="Q15" s="19">
        <v>0.23103812999011639</v>
      </c>
      <c r="R15" s="19">
        <v>0.22772529031914002</v>
      </c>
      <c r="S15" s="19">
        <v>0.21746433009017083</v>
      </c>
      <c r="T15" s="19">
        <v>0.2094581922984789</v>
      </c>
      <c r="U15" s="19">
        <v>0.21029916594881712</v>
      </c>
      <c r="V15" s="19">
        <v>0.19640075604041218</v>
      </c>
      <c r="W15" s="19">
        <v>0.19469464641496537</v>
      </c>
      <c r="X15" s="19">
        <v>0.17963872905593611</v>
      </c>
      <c r="Y15" s="19">
        <v>0.19330007943466057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6.9982848943540968E-2</v>
      </c>
      <c r="AM15" s="19">
        <v>7.7726090496108735E-2</v>
      </c>
      <c r="AN15" s="19">
        <v>9.7990199561824629E-2</v>
      </c>
      <c r="AO15" s="19">
        <v>8.442833637951401E-2</v>
      </c>
      <c r="AP15" s="19">
        <v>0.14200623200496776</v>
      </c>
      <c r="AQ15" s="19">
        <v>0.11104811388699022</v>
      </c>
      <c r="AR15" s="19">
        <v>0.1173774043552665</v>
      </c>
      <c r="AS15" s="19">
        <v>0.11658914666637009</v>
      </c>
      <c r="AT15" s="19">
        <v>6.9575369351181152E-2</v>
      </c>
      <c r="AU15" s="19">
        <v>5.959329237185567E-2</v>
      </c>
      <c r="AV15" s="19">
        <v>7.5630781764609592E-2</v>
      </c>
      <c r="AW15" s="19">
        <v>6.7091902365919831E-2</v>
      </c>
      <c r="AX15" s="19">
        <v>6.5679375269582466E-2</v>
      </c>
      <c r="AY15" s="19">
        <v>8.9531696400108371E-2</v>
      </c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</row>
    <row r="16" spans="1:181" ht="16" x14ac:dyDescent="0.2">
      <c r="A16" s="17" t="e">
        <f>#REF!</f>
        <v>#REF!</v>
      </c>
      <c r="B16" s="19">
        <v>0.14199683769877824</v>
      </c>
      <c r="C16" s="19">
        <v>0.14800656743853402</v>
      </c>
      <c r="D16" s="19">
        <v>0.13595659963186374</v>
      </c>
      <c r="E16" s="19">
        <v>0.11171685900019677</v>
      </c>
      <c r="F16" s="19">
        <v>6.8525714050224576E-2</v>
      </c>
      <c r="G16" s="19">
        <v>7.3536376303288589E-2</v>
      </c>
      <c r="H16" s="19">
        <v>7.4675003952351091E-2</v>
      </c>
      <c r="I16" s="19">
        <v>7.5284034209408768E-2</v>
      </c>
      <c r="J16" s="19">
        <v>7.440953744688597E-2</v>
      </c>
      <c r="K16" s="19">
        <v>8.6941497568850959E-2</v>
      </c>
      <c r="L16" s="19">
        <v>6.0059291264237487E-2</v>
      </c>
      <c r="M16" s="19">
        <v>6.8224153652569494E-2</v>
      </c>
      <c r="N16" s="19">
        <v>1.500326574965455E-2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1.4505256296940106E-2</v>
      </c>
      <c r="AI16" s="19">
        <v>1.3824406166379982E-2</v>
      </c>
      <c r="AJ16" s="19">
        <v>1.7442753358276577E-2</v>
      </c>
      <c r="AK16" s="19">
        <v>1.9637265796398234E-3</v>
      </c>
      <c r="AL16" s="19">
        <v>9.1962817516963134E-3</v>
      </c>
      <c r="AM16" s="19">
        <v>9.9964302348243099E-3</v>
      </c>
      <c r="AN16" s="19">
        <v>3.7779996497234958E-2</v>
      </c>
      <c r="AO16" s="19">
        <v>5.7100433884783974E-2</v>
      </c>
      <c r="AP16" s="19">
        <v>8.4709440101884054E-2</v>
      </c>
      <c r="AQ16" s="19">
        <v>9.8436758099986699E-2</v>
      </c>
      <c r="AR16" s="19">
        <v>9.7460333128139107E-2</v>
      </c>
      <c r="AS16" s="19">
        <v>9.6444219150768548E-2</v>
      </c>
      <c r="AT16" s="19">
        <v>0.1164497562112371</v>
      </c>
      <c r="AU16" s="19">
        <v>0.12203868131625249</v>
      </c>
      <c r="AV16" s="19">
        <v>0.11644785269123649</v>
      </c>
      <c r="AW16" s="19">
        <v>0.11342295426323426</v>
      </c>
      <c r="AX16" s="19">
        <v>0.11017646793585899</v>
      </c>
      <c r="AY16" s="19">
        <v>5.5459647849649837E-2</v>
      </c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</row>
    <row r="17" spans="1:181" ht="16" x14ac:dyDescent="0.2">
      <c r="A17" s="17" t="e">
        <f>#REF!</f>
        <v>#REF!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>
        <v>0</v>
      </c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</row>
    <row r="18" spans="1:181" ht="16" x14ac:dyDescent="0.2">
      <c r="A18" s="17" t="e">
        <f>#REF!</f>
        <v>#REF!</v>
      </c>
      <c r="B18" s="22">
        <v>1.3582258315394087E-2</v>
      </c>
      <c r="C18" s="22">
        <v>3.5781699025568222E-3</v>
      </c>
      <c r="D18" s="19">
        <v>1.602842352268008E-2</v>
      </c>
      <c r="E18" s="19">
        <v>2.4861952515838052E-2</v>
      </c>
      <c r="F18" s="19">
        <v>3.5484901854778067E-2</v>
      </c>
      <c r="G18" s="19">
        <v>3.0511528525410898E-2</v>
      </c>
      <c r="H18" s="19">
        <v>2.2351087309491556E-2</v>
      </c>
      <c r="I18" s="19">
        <v>2.2502270729697346E-2</v>
      </c>
      <c r="J18" s="19">
        <v>1.774015032397986E-2</v>
      </c>
      <c r="K18" s="19">
        <v>6.7318017949742036E-3</v>
      </c>
      <c r="L18" s="19">
        <v>9.0118713719338824E-3</v>
      </c>
      <c r="M18" s="19">
        <v>1.1030289252109122E-2</v>
      </c>
      <c r="N18" s="19">
        <v>3.0026950318718829E-2</v>
      </c>
      <c r="O18" s="19">
        <v>3.5388667550137073E-2</v>
      </c>
      <c r="P18" s="19">
        <v>3.7562318618468718E-2</v>
      </c>
      <c r="Q18" s="19">
        <v>2.4191423022077337E-2</v>
      </c>
      <c r="R18" s="19">
        <v>2.7504730177463958E-2</v>
      </c>
      <c r="S18" s="19">
        <v>2.5940584672961196E-2</v>
      </c>
      <c r="T18" s="19">
        <v>2.7432648276099203E-2</v>
      </c>
      <c r="U18" s="19">
        <v>2.5586829348566889E-2</v>
      </c>
      <c r="V18" s="19">
        <v>2.7889439527706249E-2</v>
      </c>
      <c r="W18" s="19">
        <v>2.7154110744997951E-2</v>
      </c>
      <c r="X18" s="19">
        <v>1.4285833879888798E-2</v>
      </c>
      <c r="Y18" s="19">
        <v>1.9857951406994968E-2</v>
      </c>
      <c r="Z18" s="19">
        <v>5.4850263182117019E-2</v>
      </c>
      <c r="AA18" s="19">
        <v>5.5887052269448186E-2</v>
      </c>
      <c r="AB18" s="19">
        <v>6.850151519295325E-2</v>
      </c>
      <c r="AC18" s="19">
        <v>7.0599351691718576E-2</v>
      </c>
      <c r="AD18" s="19">
        <v>4.5369595609734956E-2</v>
      </c>
      <c r="AE18" s="19">
        <v>4.169854349664557E-2</v>
      </c>
      <c r="AF18" s="19">
        <v>4.170072517891709E-2</v>
      </c>
      <c r="AG18" s="19">
        <v>4.496286623422531E-2</v>
      </c>
      <c r="AH18" s="19">
        <v>4.4372784519733852E-2</v>
      </c>
      <c r="AI18" s="19">
        <v>4.4479051823186955E-2</v>
      </c>
      <c r="AJ18" s="19">
        <v>4.5527324824076836E-2</v>
      </c>
      <c r="AK18" s="19">
        <v>5.9171669851402826E-2</v>
      </c>
      <c r="AL18" s="19">
        <v>5.9099568879904911E-2</v>
      </c>
      <c r="AM18" s="19">
        <v>6.1306675887575261E-2</v>
      </c>
      <c r="AN18" s="19">
        <v>4.9075175093019438E-2</v>
      </c>
      <c r="AO18" s="19">
        <v>3.6449690397345212E-2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>
        <v>0</v>
      </c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</row>
    <row r="19" spans="1:181" ht="16" x14ac:dyDescent="0.2">
      <c r="A19" s="17" t="e">
        <f>#REF!</f>
        <v>#REF!</v>
      </c>
      <c r="B19" s="22">
        <v>0</v>
      </c>
      <c r="C19" s="22">
        <v>0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3.0476695517373274E-2</v>
      </c>
      <c r="AE19" s="19">
        <v>2.5090654567275994E-2</v>
      </c>
      <c r="AF19" s="19">
        <v>2.8517090093386984E-2</v>
      </c>
      <c r="AG19" s="19">
        <v>2.1211077575939905E-2</v>
      </c>
      <c r="AH19" s="19">
        <v>2.8692030025560276E-2</v>
      </c>
      <c r="AI19" s="19">
        <v>3.0478082179548165E-2</v>
      </c>
      <c r="AJ19" s="19">
        <v>2.4349213849960583E-2</v>
      </c>
      <c r="AK19" s="19">
        <v>1.5549170903981082E-2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>
        <v>3.3328315947983987E-2</v>
      </c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</row>
    <row r="20" spans="1:181" x14ac:dyDescent="0.2">
      <c r="A20" s="19"/>
      <c r="B20" s="22"/>
      <c r="C20" s="22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</row>
    <row r="21" spans="1:181" x14ac:dyDescent="0.2">
      <c r="A21" s="20" t="s">
        <v>57</v>
      </c>
      <c r="B21" s="22">
        <v>0.22784460372602688</v>
      </c>
      <c r="C21" s="22">
        <v>0.2272555909140187</v>
      </c>
      <c r="D21" s="19">
        <v>0.24221366154787338</v>
      </c>
      <c r="E21" s="19">
        <v>0.2425626392017084</v>
      </c>
      <c r="F21" s="19">
        <v>0.25483718684450385</v>
      </c>
      <c r="G21" s="19">
        <v>0.25021005598163926</v>
      </c>
      <c r="H21" s="19">
        <v>0.25307828439341029</v>
      </c>
      <c r="I21" s="19">
        <v>0.25570713589158411</v>
      </c>
      <c r="J21" s="19">
        <v>0.25834126044145456</v>
      </c>
      <c r="K21" s="19">
        <v>0.24795680377564211</v>
      </c>
      <c r="L21" s="19">
        <v>0.25559334863908145</v>
      </c>
      <c r="M21" s="19">
        <v>0.25631081370113662</v>
      </c>
      <c r="N21" s="19">
        <v>0.26997480670301643</v>
      </c>
      <c r="O21" s="19">
        <v>0.27800792190048262</v>
      </c>
      <c r="P21" s="19">
        <v>0.2746585240956988</v>
      </c>
      <c r="Q21" s="19">
        <v>0.29241126360337943</v>
      </c>
      <c r="R21" s="19">
        <v>0.28961511620833502</v>
      </c>
      <c r="S21" s="19">
        <v>0.28163744974089244</v>
      </c>
      <c r="T21" s="19">
        <v>0.28126686837448489</v>
      </c>
      <c r="U21" s="19">
        <v>0.28088401122520168</v>
      </c>
      <c r="V21" s="19">
        <v>0.28884466855690438</v>
      </c>
      <c r="W21" s="19">
        <v>0.28746173282235277</v>
      </c>
      <c r="X21" s="19">
        <v>0.28123736159090063</v>
      </c>
      <c r="Y21" s="19">
        <v>0.27472747472617809</v>
      </c>
      <c r="Z21" s="19">
        <v>0.23001065859903957</v>
      </c>
      <c r="AA21" s="19">
        <v>0.23409276093098041</v>
      </c>
      <c r="AB21" s="19">
        <v>0.2344299883046691</v>
      </c>
      <c r="AC21" s="19">
        <v>0.24220513058379101</v>
      </c>
      <c r="AD21" s="19">
        <v>0.37334170685909951</v>
      </c>
      <c r="AE21" s="19">
        <v>0.36971799652342363</v>
      </c>
      <c r="AF21" s="19">
        <v>0.36627676566800615</v>
      </c>
      <c r="AG21" s="19">
        <v>0.35562180613388383</v>
      </c>
      <c r="AH21" s="19">
        <v>0.34185442708782465</v>
      </c>
      <c r="AI21" s="19">
        <v>0.35627560941095615</v>
      </c>
      <c r="AJ21" s="19">
        <v>0.35987337506268857</v>
      </c>
      <c r="AK21" s="19">
        <v>0.36810828218790415</v>
      </c>
      <c r="AL21" s="19">
        <v>0.40845675577193141</v>
      </c>
      <c r="AM21" s="19">
        <v>0.4051082156843312</v>
      </c>
      <c r="AN21" s="19">
        <v>0.4020611419885034</v>
      </c>
      <c r="AO21" s="19">
        <v>0.39356302378502916</v>
      </c>
      <c r="AP21" s="19">
        <v>0.49496359673623791</v>
      </c>
      <c r="AQ21" s="19">
        <v>0.48513849078363713</v>
      </c>
      <c r="AR21" s="19">
        <v>0.49493195544573187</v>
      </c>
      <c r="AS21" s="19">
        <v>0.50195709477877759</v>
      </c>
      <c r="AT21" s="19">
        <v>0.50973775708346059</v>
      </c>
      <c r="AU21" s="19">
        <v>0.51857210904477302</v>
      </c>
      <c r="AV21" s="19">
        <v>0.51270805237435102</v>
      </c>
      <c r="AW21" s="19">
        <v>0.52375170592293352</v>
      </c>
      <c r="AX21" s="19">
        <v>0.5283618095923559</v>
      </c>
      <c r="AY21" s="19">
        <v>0.54996980134869933</v>
      </c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</row>
    <row r="22" spans="1:181" x14ac:dyDescent="0.2">
      <c r="A22" s="19"/>
      <c r="B22" s="22"/>
      <c r="C22" s="22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</row>
    <row r="23" spans="1:181" x14ac:dyDescent="0.2">
      <c r="A23" s="19"/>
      <c r="B23" s="22"/>
      <c r="C23" s="22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</row>
    <row r="24" spans="1:181" x14ac:dyDescent="0.2">
      <c r="A24" s="19"/>
      <c r="B24" s="22"/>
      <c r="C24" s="22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</row>
    <row r="25" spans="1:181" x14ac:dyDescent="0.2">
      <c r="A25" s="19"/>
      <c r="B25" s="22"/>
      <c r="C25" s="22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</row>
    <row r="26" spans="1:181" x14ac:dyDescent="0.2">
      <c r="B26" s="22"/>
      <c r="C26" s="22"/>
    </row>
    <row r="27" spans="1:181" x14ac:dyDescent="0.2">
      <c r="B27" s="22"/>
      <c r="C27" s="22"/>
    </row>
  </sheetData>
  <conditionalFormatting sqref="A4:A19">
    <cfRule type="cellIs" dxfId="2" priority="1" operator="equal">
      <formula>$H$2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FY27"/>
  <sheetViews>
    <sheetView zoomScaleNormal="100" workbookViewId="0">
      <selection activeCell="D34" sqref="D34"/>
    </sheetView>
  </sheetViews>
  <sheetFormatPr baseColWidth="10" defaultColWidth="8.83203125" defaultRowHeight="15" x14ac:dyDescent="0.2"/>
  <cols>
    <col min="1" max="1" width="31.6640625" customWidth="1"/>
    <col min="2" max="3" width="12.1640625" bestFit="1" customWidth="1"/>
    <col min="4" max="10" width="10.33203125" bestFit="1" customWidth="1"/>
    <col min="11" max="14" width="11.33203125" bestFit="1" customWidth="1"/>
    <col min="15" max="15" width="10.33203125" bestFit="1" customWidth="1"/>
    <col min="16" max="16" width="13" bestFit="1" customWidth="1"/>
    <col min="17" max="22" width="10.33203125" bestFit="1" customWidth="1"/>
    <col min="23" max="26" width="11.33203125" bestFit="1" customWidth="1"/>
    <col min="27" max="34" width="10.33203125" bestFit="1" customWidth="1"/>
    <col min="35" max="38" width="11.33203125" bestFit="1" customWidth="1"/>
    <col min="39" max="46" width="10.33203125" bestFit="1" customWidth="1"/>
    <col min="47" max="50" width="11.33203125" bestFit="1" customWidth="1"/>
    <col min="51" max="58" width="10.33203125" bestFit="1" customWidth="1"/>
    <col min="59" max="62" width="11.33203125" bestFit="1" customWidth="1"/>
    <col min="63" max="70" width="10.33203125" bestFit="1" customWidth="1"/>
    <col min="71" max="74" width="11.33203125" bestFit="1" customWidth="1"/>
    <col min="75" max="82" width="10.33203125" bestFit="1" customWidth="1"/>
    <col min="83" max="86" width="11.33203125" bestFit="1" customWidth="1"/>
    <col min="87" max="94" width="10.33203125" bestFit="1" customWidth="1"/>
    <col min="95" max="98" width="11.33203125" bestFit="1" customWidth="1"/>
    <col min="99" max="106" width="10.33203125" bestFit="1" customWidth="1"/>
    <col min="107" max="110" width="11.33203125" bestFit="1" customWidth="1"/>
    <col min="111" max="118" width="10.33203125" bestFit="1" customWidth="1"/>
    <col min="119" max="122" width="11.33203125" bestFit="1" customWidth="1"/>
    <col min="123" max="130" width="10.33203125" bestFit="1" customWidth="1"/>
    <col min="131" max="134" width="11.33203125" bestFit="1" customWidth="1"/>
    <col min="135" max="142" width="10.33203125" bestFit="1" customWidth="1"/>
    <col min="143" max="146" width="11.33203125" bestFit="1" customWidth="1"/>
    <col min="147" max="154" width="10.33203125" bestFit="1" customWidth="1"/>
    <col min="155" max="158" width="11.33203125" bestFit="1" customWidth="1"/>
    <col min="159" max="166" width="10.33203125" bestFit="1" customWidth="1"/>
    <col min="167" max="170" width="11.33203125" bestFit="1" customWidth="1"/>
    <col min="171" max="178" width="10.33203125" bestFit="1" customWidth="1"/>
    <col min="179" max="181" width="11.33203125" bestFit="1" customWidth="1"/>
  </cols>
  <sheetData>
    <row r="1" spans="1:181" ht="16" x14ac:dyDescent="0.2">
      <c r="A1" s="17" t="s">
        <v>55</v>
      </c>
      <c r="B1" s="18">
        <v>34365</v>
      </c>
      <c r="C1" s="18">
        <v>34393</v>
      </c>
      <c r="D1" s="18">
        <v>34424</v>
      </c>
      <c r="E1" s="18">
        <v>34454</v>
      </c>
      <c r="F1" s="18">
        <v>34485</v>
      </c>
      <c r="G1" s="18">
        <v>34515</v>
      </c>
      <c r="H1" s="18">
        <v>34546</v>
      </c>
      <c r="I1" s="18">
        <v>34577</v>
      </c>
      <c r="J1" s="18">
        <v>34607</v>
      </c>
      <c r="K1" s="18">
        <v>34638</v>
      </c>
      <c r="L1" s="18">
        <v>34668</v>
      </c>
      <c r="M1" s="18">
        <v>34699</v>
      </c>
      <c r="N1" s="18">
        <v>34730</v>
      </c>
      <c r="O1" s="18">
        <v>34758</v>
      </c>
      <c r="P1" s="18">
        <v>34789</v>
      </c>
      <c r="Q1" s="18">
        <v>34819</v>
      </c>
      <c r="R1" s="18">
        <v>34850</v>
      </c>
      <c r="S1" s="18">
        <v>34880</v>
      </c>
      <c r="T1" s="18">
        <v>34911</v>
      </c>
      <c r="U1" s="18">
        <v>34942</v>
      </c>
      <c r="V1" s="18">
        <v>34972</v>
      </c>
      <c r="W1" s="18">
        <v>35003</v>
      </c>
      <c r="X1" s="18">
        <v>35033</v>
      </c>
      <c r="Y1" s="18">
        <v>35064</v>
      </c>
      <c r="Z1" s="18">
        <v>35095</v>
      </c>
      <c r="AA1" s="18">
        <v>35124</v>
      </c>
      <c r="AB1" s="18">
        <v>35155</v>
      </c>
      <c r="AC1" s="18">
        <v>35185</v>
      </c>
      <c r="AD1" s="18">
        <v>35216</v>
      </c>
      <c r="AE1" s="18">
        <v>35246</v>
      </c>
      <c r="AF1" s="18">
        <v>35277</v>
      </c>
      <c r="AG1" s="18">
        <v>35308</v>
      </c>
      <c r="AH1" s="18">
        <v>35338</v>
      </c>
      <c r="AI1" s="18">
        <v>35369</v>
      </c>
      <c r="AJ1" s="18">
        <v>35399</v>
      </c>
      <c r="AK1" s="18">
        <v>35430</v>
      </c>
      <c r="AL1" s="18">
        <v>35461</v>
      </c>
      <c r="AM1" s="18">
        <v>35489</v>
      </c>
      <c r="AN1" s="18">
        <v>35520</v>
      </c>
      <c r="AO1" s="18">
        <v>35550</v>
      </c>
      <c r="AP1" s="18">
        <v>35581</v>
      </c>
      <c r="AQ1" s="18">
        <v>35611</v>
      </c>
      <c r="AR1" s="18">
        <v>35642</v>
      </c>
      <c r="AS1" s="18">
        <v>35673</v>
      </c>
      <c r="AT1" s="18">
        <v>35703</v>
      </c>
      <c r="AU1" s="18">
        <v>35734</v>
      </c>
      <c r="AV1" s="18">
        <v>35764</v>
      </c>
      <c r="AW1" s="18">
        <v>35795</v>
      </c>
      <c r="AX1" s="18">
        <v>35826</v>
      </c>
      <c r="AY1" s="18">
        <v>35854</v>
      </c>
      <c r="AZ1" s="18">
        <v>35885</v>
      </c>
      <c r="BA1" s="18">
        <v>35915</v>
      </c>
      <c r="BB1" s="18">
        <v>35946</v>
      </c>
      <c r="BC1" s="18">
        <v>35976</v>
      </c>
      <c r="BD1" s="18">
        <v>36007</v>
      </c>
      <c r="BE1" s="18">
        <v>36038</v>
      </c>
      <c r="BF1" s="18">
        <v>36068</v>
      </c>
      <c r="BG1" s="18">
        <v>36099</v>
      </c>
      <c r="BH1" s="18">
        <v>36129</v>
      </c>
      <c r="BI1" s="18">
        <v>36160</v>
      </c>
      <c r="BJ1" s="18">
        <v>36191</v>
      </c>
      <c r="BK1" s="18">
        <v>36219</v>
      </c>
      <c r="BL1" s="18">
        <v>36250</v>
      </c>
      <c r="BM1" s="18">
        <v>36280</v>
      </c>
      <c r="BN1" s="18">
        <v>36311</v>
      </c>
      <c r="BO1" s="18">
        <v>36341</v>
      </c>
      <c r="BP1" s="18">
        <v>36372</v>
      </c>
      <c r="BQ1" s="18">
        <v>36403</v>
      </c>
      <c r="BR1" s="18">
        <v>36433</v>
      </c>
      <c r="BS1" s="18">
        <v>36464</v>
      </c>
      <c r="BT1" s="18">
        <v>36494</v>
      </c>
      <c r="BU1" s="18">
        <v>36525</v>
      </c>
      <c r="BV1" s="18">
        <v>36556</v>
      </c>
      <c r="BW1" s="18">
        <v>36585</v>
      </c>
      <c r="BX1" s="18">
        <v>36616</v>
      </c>
      <c r="BY1" s="18">
        <v>36646</v>
      </c>
      <c r="BZ1" s="18">
        <v>36677</v>
      </c>
      <c r="CA1" s="18">
        <v>36707</v>
      </c>
      <c r="CB1" s="18">
        <v>36738</v>
      </c>
      <c r="CC1" s="18">
        <v>36769</v>
      </c>
      <c r="CD1" s="18">
        <v>36799</v>
      </c>
      <c r="CE1" s="18">
        <v>36830</v>
      </c>
      <c r="CF1" s="18">
        <v>36860</v>
      </c>
      <c r="CG1" s="18">
        <v>36891</v>
      </c>
      <c r="CH1" s="18">
        <v>36922</v>
      </c>
      <c r="CI1" s="18">
        <v>36950</v>
      </c>
      <c r="CJ1" s="18">
        <v>36981</v>
      </c>
      <c r="CK1" s="18">
        <v>37011</v>
      </c>
      <c r="CL1" s="18">
        <v>37042</v>
      </c>
      <c r="CM1" s="18">
        <v>37072</v>
      </c>
      <c r="CN1" s="18">
        <v>37103</v>
      </c>
      <c r="CO1" s="18">
        <v>37134</v>
      </c>
      <c r="CP1" s="18">
        <v>37164</v>
      </c>
      <c r="CQ1" s="18">
        <v>37195</v>
      </c>
      <c r="CR1" s="18">
        <v>37225</v>
      </c>
      <c r="CS1" s="18">
        <v>37256</v>
      </c>
      <c r="CT1" s="18">
        <v>37287</v>
      </c>
      <c r="CU1" s="18">
        <v>37315</v>
      </c>
      <c r="CV1" s="18">
        <v>37346</v>
      </c>
      <c r="CW1" s="18">
        <v>37376</v>
      </c>
      <c r="CX1" s="18">
        <v>37407</v>
      </c>
      <c r="CY1" s="18">
        <v>37437</v>
      </c>
      <c r="CZ1" s="18">
        <v>37468</v>
      </c>
      <c r="DA1" s="18">
        <v>37499</v>
      </c>
      <c r="DB1" s="18">
        <v>37529</v>
      </c>
      <c r="DC1" s="18">
        <v>37560</v>
      </c>
      <c r="DD1" s="18">
        <v>37590</v>
      </c>
      <c r="DE1" s="18">
        <v>37621</v>
      </c>
      <c r="DF1" s="18">
        <v>37652</v>
      </c>
      <c r="DG1" s="18">
        <v>37680</v>
      </c>
      <c r="DH1" s="18">
        <v>37711</v>
      </c>
      <c r="DI1" s="18">
        <v>37741</v>
      </c>
      <c r="DJ1" s="18">
        <v>37772</v>
      </c>
      <c r="DK1" s="18">
        <v>37802</v>
      </c>
      <c r="DL1" s="18">
        <v>37833</v>
      </c>
      <c r="DM1" s="18">
        <v>37864</v>
      </c>
      <c r="DN1" s="18">
        <v>37894</v>
      </c>
      <c r="DO1" s="18">
        <v>37925</v>
      </c>
      <c r="DP1" s="18">
        <v>37955</v>
      </c>
      <c r="DQ1" s="18">
        <v>37986</v>
      </c>
      <c r="DR1" s="18">
        <v>38017</v>
      </c>
      <c r="DS1" s="18">
        <v>38046</v>
      </c>
      <c r="DT1" s="18">
        <v>38077</v>
      </c>
      <c r="DU1" s="18">
        <v>38107</v>
      </c>
      <c r="DV1" s="18">
        <v>38138</v>
      </c>
      <c r="DW1" s="18">
        <v>38168</v>
      </c>
      <c r="DX1" s="18">
        <v>38199</v>
      </c>
      <c r="DY1" s="18">
        <v>38230</v>
      </c>
      <c r="DZ1" s="18">
        <v>38260</v>
      </c>
      <c r="EA1" s="18">
        <v>38291</v>
      </c>
      <c r="EB1" s="18">
        <v>38321</v>
      </c>
      <c r="EC1" s="18">
        <v>38352</v>
      </c>
      <c r="ED1" s="18">
        <v>38383</v>
      </c>
      <c r="EE1" s="18">
        <v>38411</v>
      </c>
      <c r="EF1" s="18">
        <v>38442</v>
      </c>
      <c r="EG1" s="18">
        <v>38472</v>
      </c>
      <c r="EH1" s="18">
        <v>38503</v>
      </c>
      <c r="EI1" s="18">
        <v>38533</v>
      </c>
      <c r="EJ1" s="18">
        <v>38564</v>
      </c>
      <c r="EK1" s="18">
        <v>38595</v>
      </c>
      <c r="EL1" s="18">
        <v>38625</v>
      </c>
      <c r="EM1" s="18">
        <v>38656</v>
      </c>
      <c r="EN1" s="18">
        <v>38686</v>
      </c>
      <c r="EO1" s="18">
        <v>38717</v>
      </c>
      <c r="EP1" s="18">
        <v>38748</v>
      </c>
      <c r="EQ1" s="18">
        <v>38776</v>
      </c>
      <c r="ER1" s="18">
        <v>38807</v>
      </c>
      <c r="ES1" s="18">
        <v>38837</v>
      </c>
      <c r="ET1" s="18">
        <v>38868</v>
      </c>
      <c r="EU1" s="18">
        <v>38898</v>
      </c>
      <c r="EV1" s="18">
        <v>38929</v>
      </c>
      <c r="EW1" s="18">
        <v>38960</v>
      </c>
      <c r="EX1" s="18">
        <v>38990</v>
      </c>
      <c r="EY1" s="18">
        <v>39021</v>
      </c>
      <c r="EZ1" s="18">
        <v>39051</v>
      </c>
      <c r="FA1" s="18">
        <v>39082</v>
      </c>
      <c r="FB1" s="18">
        <v>39113</v>
      </c>
      <c r="FC1" s="18">
        <v>39141</v>
      </c>
      <c r="FD1" s="18">
        <v>39172</v>
      </c>
      <c r="FE1" s="18">
        <v>39202</v>
      </c>
      <c r="FF1" s="18">
        <v>39233</v>
      </c>
      <c r="FG1" s="18">
        <v>39263</v>
      </c>
      <c r="FH1" s="18">
        <v>39294</v>
      </c>
      <c r="FI1" s="18">
        <v>39325</v>
      </c>
      <c r="FJ1" s="18">
        <v>39355</v>
      </c>
      <c r="FK1" s="18">
        <v>39386</v>
      </c>
      <c r="FL1" s="18">
        <v>39416</v>
      </c>
      <c r="FM1" s="18">
        <v>39447</v>
      </c>
      <c r="FN1" s="18">
        <v>39478</v>
      </c>
      <c r="FO1" s="18">
        <v>39507</v>
      </c>
      <c r="FP1" s="18">
        <v>39538</v>
      </c>
      <c r="FQ1" s="18">
        <v>39568</v>
      </c>
      <c r="FR1" s="18">
        <v>39599</v>
      </c>
      <c r="FS1" s="18">
        <v>39629</v>
      </c>
      <c r="FT1" s="18">
        <v>39660</v>
      </c>
      <c r="FU1" s="18">
        <v>39691</v>
      </c>
      <c r="FV1" s="18">
        <v>39721</v>
      </c>
      <c r="FW1" s="18">
        <v>39752</v>
      </c>
      <c r="FX1" s="18">
        <v>39782</v>
      </c>
      <c r="FY1" s="18">
        <v>39813</v>
      </c>
    </row>
    <row r="2" spans="1:181" ht="16" x14ac:dyDescent="0.2">
      <c r="A2" s="21">
        <v>41608</v>
      </c>
      <c r="B2" s="18">
        <v>36160</v>
      </c>
      <c r="C2" s="18">
        <v>36191</v>
      </c>
      <c r="D2" s="18">
        <v>36219</v>
      </c>
      <c r="E2" s="18">
        <v>36250</v>
      </c>
      <c r="F2" s="18">
        <v>36280</v>
      </c>
      <c r="G2" s="18">
        <v>36311</v>
      </c>
      <c r="H2" s="18">
        <v>36341</v>
      </c>
      <c r="I2" s="18">
        <v>36372</v>
      </c>
      <c r="J2" s="18">
        <v>36403</v>
      </c>
      <c r="K2" s="18">
        <v>36433</v>
      </c>
      <c r="L2" s="18">
        <v>36464</v>
      </c>
      <c r="M2" s="18">
        <v>36494</v>
      </c>
      <c r="N2" s="18">
        <v>36525</v>
      </c>
      <c r="O2" s="18">
        <v>36556</v>
      </c>
      <c r="P2" s="18">
        <v>36585</v>
      </c>
      <c r="Q2" s="18">
        <v>36616</v>
      </c>
      <c r="R2" s="18">
        <v>36646</v>
      </c>
      <c r="S2" s="18">
        <v>36677</v>
      </c>
      <c r="T2" s="18">
        <v>36707</v>
      </c>
      <c r="U2" s="18">
        <v>36738</v>
      </c>
      <c r="V2" s="18">
        <v>36769</v>
      </c>
      <c r="W2" s="18">
        <v>36799</v>
      </c>
      <c r="X2" s="18">
        <v>36830</v>
      </c>
      <c r="Y2" s="18">
        <v>36860</v>
      </c>
      <c r="Z2" s="18">
        <v>36891</v>
      </c>
      <c r="AA2" s="18">
        <v>36922</v>
      </c>
      <c r="AB2" s="18">
        <v>36950</v>
      </c>
      <c r="AC2" s="18">
        <v>36981</v>
      </c>
      <c r="AD2" s="18">
        <v>37011</v>
      </c>
      <c r="AE2" s="18">
        <v>37042</v>
      </c>
      <c r="AF2" s="18">
        <v>37072</v>
      </c>
      <c r="AG2" s="18">
        <v>37103</v>
      </c>
      <c r="AH2" s="18">
        <v>37134</v>
      </c>
      <c r="AI2" s="18">
        <v>37164</v>
      </c>
      <c r="AJ2" s="18">
        <v>37195</v>
      </c>
      <c r="AK2" s="18">
        <v>37225</v>
      </c>
      <c r="AL2" s="18">
        <v>37256</v>
      </c>
      <c r="AM2" s="18">
        <v>37287</v>
      </c>
      <c r="AN2" s="18">
        <v>37315</v>
      </c>
      <c r="AO2" s="18">
        <v>37346</v>
      </c>
      <c r="AP2" s="18">
        <v>37376</v>
      </c>
      <c r="AQ2" s="18">
        <v>37407</v>
      </c>
      <c r="AR2" s="18">
        <v>37437</v>
      </c>
      <c r="AS2" s="18">
        <v>37468</v>
      </c>
      <c r="AT2" s="18">
        <v>37499</v>
      </c>
      <c r="AU2" s="18">
        <v>37529</v>
      </c>
      <c r="AV2" s="18">
        <v>37560</v>
      </c>
      <c r="AW2" s="18">
        <v>37590</v>
      </c>
      <c r="AX2" s="18">
        <v>37621</v>
      </c>
      <c r="AY2" s="18">
        <v>37652</v>
      </c>
      <c r="AZ2" s="18">
        <v>37680</v>
      </c>
      <c r="BA2" s="18">
        <v>37711</v>
      </c>
      <c r="BB2" s="18">
        <v>37741</v>
      </c>
      <c r="BC2" s="18">
        <v>37772</v>
      </c>
      <c r="BD2" s="18">
        <v>37802</v>
      </c>
      <c r="BE2" s="18">
        <v>37833</v>
      </c>
      <c r="BF2" s="18">
        <v>37864</v>
      </c>
      <c r="BG2" s="18">
        <v>37894</v>
      </c>
      <c r="BH2" s="18">
        <v>37925</v>
      </c>
      <c r="BI2" s="18">
        <v>37955</v>
      </c>
      <c r="BJ2" s="18">
        <v>37986</v>
      </c>
      <c r="BK2" s="18">
        <v>38017</v>
      </c>
      <c r="BL2" s="18">
        <v>38046</v>
      </c>
      <c r="BM2" s="18">
        <v>38077</v>
      </c>
      <c r="BN2" s="18">
        <v>38107</v>
      </c>
      <c r="BO2" s="18">
        <v>38138</v>
      </c>
      <c r="BP2" s="18">
        <v>38168</v>
      </c>
      <c r="BQ2" s="18">
        <v>38199</v>
      </c>
      <c r="BR2" s="18">
        <v>38230</v>
      </c>
      <c r="BS2" s="18">
        <v>38260</v>
      </c>
      <c r="BT2" s="18">
        <v>38291</v>
      </c>
      <c r="BU2" s="18">
        <v>38321</v>
      </c>
      <c r="BV2" s="18">
        <v>38352</v>
      </c>
      <c r="BW2" s="18">
        <v>38383</v>
      </c>
      <c r="BX2" s="18">
        <v>38411</v>
      </c>
      <c r="BY2" s="18">
        <v>38442</v>
      </c>
      <c r="BZ2" s="18">
        <v>38472</v>
      </c>
      <c r="CA2" s="18">
        <v>38503</v>
      </c>
      <c r="CB2" s="18">
        <v>38533</v>
      </c>
      <c r="CC2" s="18">
        <v>38564</v>
      </c>
      <c r="CD2" s="18">
        <v>38595</v>
      </c>
      <c r="CE2" s="18">
        <v>38625</v>
      </c>
      <c r="CF2" s="18">
        <v>38656</v>
      </c>
      <c r="CG2" s="18">
        <v>38686</v>
      </c>
      <c r="CH2" s="18">
        <v>38717</v>
      </c>
      <c r="CI2" s="18">
        <v>38748</v>
      </c>
      <c r="CJ2" s="18">
        <v>38776</v>
      </c>
      <c r="CK2" s="18">
        <v>38807</v>
      </c>
      <c r="CL2" s="18">
        <v>38837</v>
      </c>
      <c r="CM2" s="18">
        <v>38868</v>
      </c>
      <c r="CN2" s="18">
        <v>38898</v>
      </c>
      <c r="CO2" s="18">
        <v>38929</v>
      </c>
      <c r="CP2" s="18">
        <v>38960</v>
      </c>
      <c r="CQ2" s="18">
        <v>38990</v>
      </c>
      <c r="CR2" s="18">
        <v>39021</v>
      </c>
      <c r="CS2" s="18">
        <v>39051</v>
      </c>
      <c r="CT2" s="18">
        <v>39082</v>
      </c>
      <c r="CU2" s="18">
        <v>39113</v>
      </c>
      <c r="CV2" s="18">
        <v>39141</v>
      </c>
      <c r="CW2" s="18">
        <v>39172</v>
      </c>
      <c r="CX2" s="18">
        <v>39202</v>
      </c>
      <c r="CY2" s="18">
        <v>39233</v>
      </c>
      <c r="CZ2" s="18">
        <v>39263</v>
      </c>
      <c r="DA2" s="18">
        <v>39294</v>
      </c>
      <c r="DB2" s="18">
        <v>39325</v>
      </c>
      <c r="DC2" s="18">
        <v>39355</v>
      </c>
      <c r="DD2" s="18">
        <v>39386</v>
      </c>
      <c r="DE2" s="18">
        <v>39416</v>
      </c>
      <c r="DF2" s="18">
        <v>39447</v>
      </c>
      <c r="DG2" s="18">
        <v>39478</v>
      </c>
      <c r="DH2" s="18">
        <v>39507</v>
      </c>
      <c r="DI2" s="18">
        <v>39538</v>
      </c>
      <c r="DJ2" s="18">
        <v>39568</v>
      </c>
      <c r="DK2" s="18">
        <v>39599</v>
      </c>
      <c r="DL2" s="18">
        <v>39629</v>
      </c>
      <c r="DM2" s="18">
        <v>39660</v>
      </c>
      <c r="DN2" s="18">
        <v>39691</v>
      </c>
      <c r="DO2" s="18">
        <v>39721</v>
      </c>
      <c r="DP2" s="18">
        <v>39752</v>
      </c>
      <c r="DQ2" s="18">
        <v>39782</v>
      </c>
      <c r="DR2" s="18">
        <v>39813</v>
      </c>
      <c r="DS2" s="18">
        <v>39844</v>
      </c>
      <c r="DT2" s="18">
        <v>39872</v>
      </c>
      <c r="DU2" s="18">
        <v>39903</v>
      </c>
      <c r="DV2" s="18">
        <v>39933</v>
      </c>
      <c r="DW2" s="18">
        <v>39964</v>
      </c>
      <c r="DX2" s="18">
        <v>39994</v>
      </c>
      <c r="DY2" s="18">
        <v>40025</v>
      </c>
      <c r="DZ2" s="18">
        <v>40056</v>
      </c>
      <c r="EA2" s="18">
        <v>40086</v>
      </c>
      <c r="EB2" s="18">
        <v>40117</v>
      </c>
      <c r="EC2" s="18">
        <v>40147</v>
      </c>
      <c r="ED2" s="18">
        <v>40178</v>
      </c>
      <c r="EE2" s="18">
        <v>40209</v>
      </c>
      <c r="EF2" s="18">
        <v>40237</v>
      </c>
      <c r="EG2" s="18">
        <v>40268</v>
      </c>
      <c r="EH2" s="18">
        <v>40298</v>
      </c>
      <c r="EI2" s="18">
        <v>40329</v>
      </c>
      <c r="EJ2" s="18">
        <v>40359</v>
      </c>
      <c r="EK2" s="18">
        <v>40390</v>
      </c>
      <c r="EL2" s="18">
        <v>40421</v>
      </c>
      <c r="EM2" s="18">
        <v>40451</v>
      </c>
      <c r="EN2" s="18">
        <v>40482</v>
      </c>
      <c r="EO2" s="18">
        <v>40512</v>
      </c>
      <c r="EP2" s="18">
        <v>40543</v>
      </c>
      <c r="EQ2" s="18">
        <v>40574</v>
      </c>
      <c r="ER2" s="18">
        <v>40602</v>
      </c>
      <c r="ES2" s="18">
        <v>40633</v>
      </c>
      <c r="ET2" s="18">
        <v>40663</v>
      </c>
      <c r="EU2" s="18">
        <v>40694</v>
      </c>
      <c r="EV2" s="18">
        <v>40724</v>
      </c>
      <c r="EW2" s="18">
        <v>40755</v>
      </c>
      <c r="EX2" s="18">
        <v>40786</v>
      </c>
      <c r="EY2" s="18">
        <v>40816</v>
      </c>
      <c r="EZ2" s="18">
        <v>40847</v>
      </c>
      <c r="FA2" s="18">
        <v>40877</v>
      </c>
      <c r="FB2" s="18">
        <v>40908</v>
      </c>
      <c r="FC2" s="18">
        <v>40939</v>
      </c>
      <c r="FD2" s="18">
        <v>40968</v>
      </c>
      <c r="FE2" s="18">
        <v>40999</v>
      </c>
      <c r="FF2" s="18">
        <v>41029</v>
      </c>
      <c r="FG2" s="18">
        <v>41060</v>
      </c>
      <c r="FH2" s="18">
        <v>41090</v>
      </c>
      <c r="FI2" s="18">
        <v>41121</v>
      </c>
      <c r="FJ2" s="18">
        <v>41152</v>
      </c>
      <c r="FK2" s="18">
        <v>41182</v>
      </c>
      <c r="FL2" s="18">
        <v>41213</v>
      </c>
      <c r="FM2" s="18">
        <v>41243</v>
      </c>
      <c r="FN2" s="18">
        <v>41274</v>
      </c>
      <c r="FO2" s="18">
        <v>41305</v>
      </c>
      <c r="FP2" s="18">
        <v>41333</v>
      </c>
      <c r="FQ2" s="18">
        <v>41364</v>
      </c>
      <c r="FR2" s="18">
        <v>41394</v>
      </c>
      <c r="FS2" s="18">
        <v>41425</v>
      </c>
      <c r="FT2" s="18">
        <v>41455</v>
      </c>
      <c r="FU2" s="18">
        <v>41486</v>
      </c>
      <c r="FV2" s="18">
        <v>41517</v>
      </c>
      <c r="FW2" s="18">
        <v>41547</v>
      </c>
      <c r="FX2" s="18">
        <v>41578</v>
      </c>
      <c r="FY2" s="18">
        <v>41608</v>
      </c>
    </row>
    <row r="3" spans="1:181" x14ac:dyDescent="0.2">
      <c r="A3" s="19" t="s">
        <v>58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</row>
    <row r="4" spans="1:181" ht="16" x14ac:dyDescent="0.2">
      <c r="A4" s="17" t="e">
        <f>#REF!</f>
        <v>#REF!</v>
      </c>
      <c r="B4" s="19">
        <v>0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</v>
      </c>
      <c r="AM4" s="19">
        <v>0</v>
      </c>
      <c r="AN4" s="19">
        <v>0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0</v>
      </c>
      <c r="BD4" s="19">
        <v>0</v>
      </c>
      <c r="BE4" s="19">
        <v>0</v>
      </c>
      <c r="BF4" s="19">
        <v>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19">
        <v>0</v>
      </c>
      <c r="BN4" s="19">
        <v>0</v>
      </c>
      <c r="BO4" s="19">
        <v>0</v>
      </c>
      <c r="BP4" s="19">
        <v>0</v>
      </c>
      <c r="BQ4" s="19">
        <v>0</v>
      </c>
      <c r="BR4" s="19">
        <v>0</v>
      </c>
      <c r="BS4" s="19">
        <v>0</v>
      </c>
      <c r="BT4" s="19">
        <v>0</v>
      </c>
      <c r="BU4" s="19">
        <v>0</v>
      </c>
      <c r="BV4" s="19">
        <v>0</v>
      </c>
      <c r="BW4" s="19">
        <v>0</v>
      </c>
      <c r="BX4" s="19">
        <v>0</v>
      </c>
      <c r="BY4" s="19">
        <v>0</v>
      </c>
      <c r="BZ4" s="19">
        <v>0</v>
      </c>
      <c r="CA4" s="19">
        <v>0</v>
      </c>
      <c r="CB4" s="19">
        <v>0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</v>
      </c>
      <c r="CK4" s="19">
        <v>0</v>
      </c>
      <c r="CL4" s="19">
        <v>0</v>
      </c>
      <c r="CM4" s="19">
        <v>0</v>
      </c>
      <c r="CN4" s="19">
        <v>0</v>
      </c>
      <c r="CO4" s="19">
        <v>0</v>
      </c>
      <c r="CP4" s="19">
        <v>0</v>
      </c>
      <c r="CQ4" s="19">
        <v>0</v>
      </c>
      <c r="CR4" s="19">
        <v>0</v>
      </c>
      <c r="CS4" s="19">
        <v>0</v>
      </c>
      <c r="CT4" s="19">
        <v>0</v>
      </c>
      <c r="CU4" s="19">
        <v>0</v>
      </c>
      <c r="CV4" s="19">
        <v>0</v>
      </c>
      <c r="CW4" s="19">
        <v>0</v>
      </c>
      <c r="CX4" s="19">
        <v>0</v>
      </c>
      <c r="CY4" s="19">
        <v>0</v>
      </c>
      <c r="CZ4" s="19">
        <v>0</v>
      </c>
      <c r="DA4" s="19">
        <v>0</v>
      </c>
      <c r="DB4" s="19">
        <v>0</v>
      </c>
      <c r="DC4" s="19">
        <v>0</v>
      </c>
      <c r="DD4" s="19">
        <v>0</v>
      </c>
      <c r="DE4" s="19">
        <v>0</v>
      </c>
      <c r="DF4" s="19">
        <v>0</v>
      </c>
      <c r="DG4" s="19">
        <v>0</v>
      </c>
      <c r="DH4" s="19">
        <v>0</v>
      </c>
      <c r="DI4" s="19">
        <v>0</v>
      </c>
      <c r="DJ4" s="19">
        <v>0</v>
      </c>
      <c r="DK4" s="19">
        <v>0</v>
      </c>
      <c r="DL4" s="19">
        <v>0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0</v>
      </c>
      <c r="DT4" s="19">
        <v>0</v>
      </c>
      <c r="DU4" s="19">
        <v>0</v>
      </c>
      <c r="DV4" s="19">
        <v>0</v>
      </c>
      <c r="DW4" s="19">
        <v>0</v>
      </c>
      <c r="DX4" s="19">
        <v>0</v>
      </c>
      <c r="DY4" s="19">
        <v>0</v>
      </c>
      <c r="DZ4" s="19">
        <v>0</v>
      </c>
      <c r="EA4" s="19">
        <v>0</v>
      </c>
      <c r="EB4" s="19">
        <v>0</v>
      </c>
      <c r="EC4" s="19">
        <v>0</v>
      </c>
      <c r="ED4" s="19">
        <v>0</v>
      </c>
      <c r="EE4" s="19">
        <v>0</v>
      </c>
      <c r="EF4" s="19">
        <v>0</v>
      </c>
      <c r="EG4" s="19">
        <v>0</v>
      </c>
      <c r="EH4" s="19">
        <v>0</v>
      </c>
      <c r="EI4" s="19">
        <v>0</v>
      </c>
      <c r="EJ4" s="19">
        <v>0</v>
      </c>
      <c r="EK4" s="19">
        <v>0</v>
      </c>
      <c r="EL4" s="19">
        <v>0</v>
      </c>
      <c r="EM4" s="19">
        <v>0</v>
      </c>
      <c r="EN4" s="19">
        <v>0</v>
      </c>
      <c r="EO4" s="19">
        <v>0</v>
      </c>
      <c r="EP4" s="19">
        <v>0</v>
      </c>
      <c r="EQ4" s="19">
        <v>0</v>
      </c>
      <c r="ER4" s="19">
        <v>0</v>
      </c>
      <c r="ES4" s="19">
        <v>0</v>
      </c>
      <c r="ET4" s="19">
        <v>0</v>
      </c>
      <c r="EU4" s="19">
        <v>0</v>
      </c>
      <c r="EV4" s="19">
        <v>0</v>
      </c>
      <c r="EW4" s="19">
        <v>0</v>
      </c>
      <c r="EX4" s="19">
        <v>0</v>
      </c>
      <c r="EY4" s="19">
        <v>0</v>
      </c>
      <c r="EZ4" s="19">
        <v>0</v>
      </c>
      <c r="FA4" s="19">
        <v>0</v>
      </c>
      <c r="FB4" s="19">
        <v>0</v>
      </c>
      <c r="FC4" s="19">
        <v>0</v>
      </c>
      <c r="FD4" s="19">
        <v>0</v>
      </c>
      <c r="FE4" s="19">
        <v>0</v>
      </c>
      <c r="FF4" s="19">
        <v>0</v>
      </c>
      <c r="FG4" s="19">
        <v>0</v>
      </c>
      <c r="FH4" s="19">
        <v>0</v>
      </c>
      <c r="FI4" s="19">
        <v>0</v>
      </c>
      <c r="FJ4" s="19">
        <v>0</v>
      </c>
      <c r="FK4" s="19">
        <v>0</v>
      </c>
      <c r="FL4" s="19">
        <v>0</v>
      </c>
      <c r="FM4" s="19">
        <v>0</v>
      </c>
      <c r="FN4" s="19">
        <v>0</v>
      </c>
      <c r="FO4" s="19">
        <v>0</v>
      </c>
      <c r="FP4" s="19">
        <v>0</v>
      </c>
      <c r="FQ4" s="19">
        <v>0</v>
      </c>
      <c r="FR4" s="19">
        <v>0</v>
      </c>
      <c r="FS4" s="19">
        <v>0</v>
      </c>
      <c r="FT4" s="19">
        <v>0</v>
      </c>
      <c r="FU4" s="19">
        <v>0</v>
      </c>
      <c r="FV4" s="19">
        <v>0</v>
      </c>
      <c r="FW4" s="19">
        <v>0</v>
      </c>
      <c r="FX4" s="19">
        <v>0</v>
      </c>
      <c r="FY4" s="19">
        <v>0</v>
      </c>
    </row>
    <row r="5" spans="1:181" ht="16" x14ac:dyDescent="0.2">
      <c r="A5" s="17" t="e">
        <f>#REF!</f>
        <v>#REF!</v>
      </c>
      <c r="B5" s="19">
        <v>3.0398099828980625E-2</v>
      </c>
      <c r="C5" s="19">
        <v>1.9194719169282653E-2</v>
      </c>
      <c r="D5" s="19">
        <v>8.8766666442773607E-3</v>
      </c>
      <c r="E5" s="19">
        <v>5.254615184638714E-2</v>
      </c>
      <c r="F5" s="19">
        <v>5.904274486646114E-2</v>
      </c>
      <c r="G5" s="19">
        <v>5.4700176813526923E-2</v>
      </c>
      <c r="H5" s="19">
        <v>4.9334100597364754E-2</v>
      </c>
      <c r="I5" s="19">
        <v>4.8373933461500457E-2</v>
      </c>
      <c r="J5" s="19">
        <v>4.973854163582174E-2</v>
      </c>
      <c r="K5" s="19">
        <v>4.452565480586803E-2</v>
      </c>
      <c r="L5" s="19">
        <v>4.3307689699301433E-2</v>
      </c>
      <c r="M5" s="19">
        <v>3.6969009219517006E-2</v>
      </c>
      <c r="N5" s="19">
        <v>4.5403468386607727E-2</v>
      </c>
      <c r="O5" s="19">
        <v>5.0356619595176358E-2</v>
      </c>
      <c r="P5" s="19">
        <v>7.2861269977855705E-2</v>
      </c>
      <c r="Q5" s="19">
        <v>6.8330961872398663E-2</v>
      </c>
      <c r="R5" s="19">
        <v>5.4013274577772462E-2</v>
      </c>
      <c r="S5" s="19">
        <v>3.7850517667682909E-2</v>
      </c>
      <c r="T5" s="19">
        <v>1.9502396039284369E-2</v>
      </c>
      <c r="U5" s="19">
        <v>1.9005896603828957E-2</v>
      </c>
      <c r="V5" s="19">
        <v>2.5119270677649744E-2</v>
      </c>
      <c r="W5" s="19">
        <v>2.2550471838438085E-2</v>
      </c>
      <c r="X5" s="19">
        <v>1.4786799233632384E-2</v>
      </c>
      <c r="Y5" s="19">
        <v>1.5307316306953183E-2</v>
      </c>
      <c r="Z5" s="19">
        <v>8.7282791226332146E-3</v>
      </c>
      <c r="AA5" s="19">
        <v>0</v>
      </c>
      <c r="AB5" s="19">
        <v>0</v>
      </c>
      <c r="AC5" s="19">
        <v>0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19">
        <v>0</v>
      </c>
      <c r="AP5" s="19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9">
        <v>0</v>
      </c>
      <c r="AX5" s="19">
        <v>0</v>
      </c>
      <c r="AY5" s="19">
        <v>0</v>
      </c>
      <c r="AZ5" s="19">
        <v>0</v>
      </c>
      <c r="BA5" s="19">
        <v>0</v>
      </c>
      <c r="BB5" s="19">
        <v>0</v>
      </c>
      <c r="BC5" s="19">
        <v>0</v>
      </c>
      <c r="BD5" s="19">
        <v>0</v>
      </c>
      <c r="BE5" s="19">
        <v>0</v>
      </c>
      <c r="BF5" s="19">
        <v>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19">
        <v>0</v>
      </c>
      <c r="BN5" s="19">
        <v>0</v>
      </c>
      <c r="BO5" s="19">
        <v>0</v>
      </c>
      <c r="BP5" s="19">
        <v>0</v>
      </c>
      <c r="BQ5" s="19">
        <v>0</v>
      </c>
      <c r="BR5" s="19">
        <v>0</v>
      </c>
      <c r="BS5" s="19">
        <v>0</v>
      </c>
      <c r="BT5" s="19">
        <v>0</v>
      </c>
      <c r="BU5" s="19">
        <v>0</v>
      </c>
      <c r="BV5" s="19">
        <v>0</v>
      </c>
      <c r="BW5" s="19">
        <v>0</v>
      </c>
      <c r="BX5" s="19">
        <v>0</v>
      </c>
      <c r="BY5" s="19">
        <v>0</v>
      </c>
      <c r="BZ5" s="19">
        <v>0</v>
      </c>
      <c r="CA5" s="19">
        <v>0</v>
      </c>
      <c r="CB5" s="19">
        <v>0</v>
      </c>
      <c r="CC5" s="19">
        <v>0</v>
      </c>
      <c r="CD5" s="19">
        <v>0</v>
      </c>
      <c r="CE5" s="19">
        <v>0</v>
      </c>
      <c r="CF5" s="19">
        <v>0</v>
      </c>
      <c r="CG5" s="19">
        <v>0</v>
      </c>
      <c r="CH5" s="19">
        <v>0</v>
      </c>
      <c r="CI5" s="19">
        <v>0</v>
      </c>
      <c r="CJ5" s="19">
        <v>0</v>
      </c>
      <c r="CK5" s="19">
        <v>0</v>
      </c>
      <c r="CL5" s="19">
        <v>0</v>
      </c>
      <c r="CM5" s="19">
        <v>0</v>
      </c>
      <c r="CN5" s="19">
        <v>0</v>
      </c>
      <c r="CO5" s="19">
        <v>0</v>
      </c>
      <c r="CP5" s="19">
        <v>0</v>
      </c>
      <c r="CQ5" s="19">
        <v>0</v>
      </c>
      <c r="CR5" s="19">
        <v>0</v>
      </c>
      <c r="CS5" s="19">
        <v>0</v>
      </c>
      <c r="CT5" s="19">
        <v>0</v>
      </c>
      <c r="CU5" s="19">
        <v>0</v>
      </c>
      <c r="CV5" s="19">
        <v>0</v>
      </c>
      <c r="CW5" s="19">
        <v>0</v>
      </c>
      <c r="CX5" s="19">
        <v>0</v>
      </c>
      <c r="CY5" s="19">
        <v>0</v>
      </c>
      <c r="CZ5" s="19">
        <v>0</v>
      </c>
      <c r="DA5" s="19">
        <v>0</v>
      </c>
      <c r="DB5" s="19">
        <v>0</v>
      </c>
      <c r="DC5" s="19">
        <v>0</v>
      </c>
      <c r="DD5" s="19">
        <v>0</v>
      </c>
      <c r="DE5" s="19">
        <v>0</v>
      </c>
      <c r="DF5" s="19">
        <v>0</v>
      </c>
      <c r="DG5" s="19">
        <v>0</v>
      </c>
      <c r="DH5" s="19">
        <v>0</v>
      </c>
      <c r="DI5" s="19">
        <v>0</v>
      </c>
      <c r="DJ5" s="19">
        <v>0</v>
      </c>
      <c r="DK5" s="19">
        <v>0</v>
      </c>
      <c r="DL5" s="19">
        <v>0</v>
      </c>
      <c r="DM5" s="19">
        <v>0</v>
      </c>
      <c r="DN5" s="19">
        <v>0</v>
      </c>
      <c r="DO5" s="19">
        <v>0</v>
      </c>
      <c r="DP5" s="19">
        <v>0</v>
      </c>
      <c r="DQ5" s="19">
        <v>0</v>
      </c>
      <c r="DR5" s="19">
        <v>0</v>
      </c>
      <c r="DS5" s="19">
        <v>-4.1118808877249613E-7</v>
      </c>
      <c r="DT5" s="19">
        <v>0</v>
      </c>
      <c r="DU5" s="19">
        <v>0</v>
      </c>
      <c r="DV5" s="19">
        <v>0</v>
      </c>
      <c r="DW5" s="19">
        <v>0</v>
      </c>
      <c r="DX5" s="19">
        <v>0</v>
      </c>
      <c r="DY5" s="19">
        <v>0</v>
      </c>
      <c r="DZ5" s="19">
        <v>0</v>
      </c>
      <c r="EA5" s="19">
        <v>0</v>
      </c>
      <c r="EB5" s="19">
        <v>0</v>
      </c>
      <c r="EC5" s="19">
        <v>0</v>
      </c>
      <c r="ED5" s="19">
        <v>0</v>
      </c>
      <c r="EE5" s="19">
        <v>0</v>
      </c>
      <c r="EF5" s="19">
        <v>0</v>
      </c>
      <c r="EG5" s="19">
        <v>0</v>
      </c>
      <c r="EH5" s="19">
        <v>0</v>
      </c>
      <c r="EI5" s="19">
        <v>0</v>
      </c>
      <c r="EJ5" s="19">
        <v>0</v>
      </c>
      <c r="EK5" s="19">
        <v>0</v>
      </c>
      <c r="EL5" s="19">
        <v>0</v>
      </c>
      <c r="EM5" s="19">
        <v>0</v>
      </c>
      <c r="EN5" s="19">
        <v>0</v>
      </c>
      <c r="EO5" s="19">
        <v>0</v>
      </c>
      <c r="EP5" s="19">
        <v>0</v>
      </c>
      <c r="EQ5" s="19">
        <v>0</v>
      </c>
      <c r="ER5" s="19">
        <v>0</v>
      </c>
      <c r="ES5" s="19">
        <v>0</v>
      </c>
      <c r="ET5" s="19">
        <v>0</v>
      </c>
      <c r="EU5" s="19">
        <v>0</v>
      </c>
      <c r="EV5" s="19">
        <v>0</v>
      </c>
      <c r="EW5" s="19">
        <v>0</v>
      </c>
      <c r="EX5" s="19">
        <v>0</v>
      </c>
      <c r="EY5" s="19">
        <v>0</v>
      </c>
      <c r="EZ5" s="19">
        <v>0</v>
      </c>
      <c r="FA5" s="19">
        <v>0</v>
      </c>
      <c r="FB5" s="19">
        <v>0</v>
      </c>
      <c r="FC5" s="19">
        <v>0</v>
      </c>
      <c r="FD5" s="19">
        <v>0</v>
      </c>
      <c r="FE5" s="19">
        <v>0</v>
      </c>
      <c r="FF5" s="19">
        <v>0</v>
      </c>
      <c r="FG5" s="19">
        <v>0</v>
      </c>
      <c r="FH5" s="19">
        <v>0</v>
      </c>
      <c r="FI5" s="19">
        <v>0</v>
      </c>
      <c r="FJ5" s="19">
        <v>0</v>
      </c>
      <c r="FK5" s="19">
        <v>0</v>
      </c>
      <c r="FL5" s="19">
        <v>0</v>
      </c>
      <c r="FM5" s="19">
        <v>0</v>
      </c>
      <c r="FN5" s="19">
        <v>0</v>
      </c>
      <c r="FO5" s="19">
        <v>0</v>
      </c>
      <c r="FP5" s="19">
        <v>0</v>
      </c>
      <c r="FQ5" s="19">
        <v>0</v>
      </c>
      <c r="FR5" s="19">
        <v>0</v>
      </c>
      <c r="FS5" s="19">
        <v>0</v>
      </c>
      <c r="FT5" s="19">
        <v>0</v>
      </c>
      <c r="FU5" s="19">
        <v>0</v>
      </c>
      <c r="FV5" s="19">
        <v>0</v>
      </c>
      <c r="FW5" s="19">
        <v>0</v>
      </c>
      <c r="FX5" s="19">
        <v>0</v>
      </c>
      <c r="FY5" s="19">
        <v>0</v>
      </c>
    </row>
    <row r="6" spans="1:181" ht="16" x14ac:dyDescent="0.2">
      <c r="A6" s="17" t="e">
        <f>#REF!</f>
        <v>#REF!</v>
      </c>
      <c r="B6" s="19">
        <v>0.39259817258984625</v>
      </c>
      <c r="C6" s="19">
        <v>0.38060948182167864</v>
      </c>
      <c r="D6" s="19">
        <v>0.35509425152026652</v>
      </c>
      <c r="E6" s="19">
        <v>0.36027730814747888</v>
      </c>
      <c r="F6" s="19">
        <v>0.35797863344271519</v>
      </c>
      <c r="G6" s="19">
        <v>0.34306178935931986</v>
      </c>
      <c r="H6" s="19">
        <v>0.32495745425370404</v>
      </c>
      <c r="I6" s="19">
        <v>0.35613673776777222</v>
      </c>
      <c r="J6" s="19">
        <v>0.35384546004421641</v>
      </c>
      <c r="K6" s="19">
        <v>0.35489806760542902</v>
      </c>
      <c r="L6" s="19">
        <v>0.34934694026849</v>
      </c>
      <c r="M6" s="19">
        <v>0.33830511224513876</v>
      </c>
      <c r="N6" s="19">
        <v>0.34716276200438156</v>
      </c>
      <c r="O6" s="19">
        <v>0.33937816782421815</v>
      </c>
      <c r="P6" s="19">
        <v>0.32742049257008826</v>
      </c>
      <c r="Q6" s="19">
        <v>0.31207905989535373</v>
      </c>
      <c r="R6" s="19">
        <v>0.32160922713980705</v>
      </c>
      <c r="S6" s="19">
        <v>0.33014350296400086</v>
      </c>
      <c r="T6" s="19">
        <v>0.33500734894567258</v>
      </c>
      <c r="U6" s="19">
        <v>0.32381290899733761</v>
      </c>
      <c r="V6" s="19">
        <v>0.31877225668525672</v>
      </c>
      <c r="W6" s="19">
        <v>0.3067300172937022</v>
      </c>
      <c r="X6" s="19">
        <v>0.30777739671631571</v>
      </c>
      <c r="Y6" s="19">
        <v>0.30300307854262043</v>
      </c>
      <c r="Z6" s="19">
        <v>0.31514923685919022</v>
      </c>
      <c r="AA6" s="19">
        <v>0.31456018169244365</v>
      </c>
      <c r="AB6" s="19">
        <v>0.31547587555120155</v>
      </c>
      <c r="AC6" s="19">
        <v>0.29502465937454014</v>
      </c>
      <c r="AD6" s="19">
        <v>0.26678693179480817</v>
      </c>
      <c r="AE6" s="19">
        <v>0.26780856573928896</v>
      </c>
      <c r="AF6" s="19">
        <v>0.27091384522090217</v>
      </c>
      <c r="AG6" s="19">
        <v>0.26876543995901037</v>
      </c>
      <c r="AH6" s="19">
        <v>0.25987615053753466</v>
      </c>
      <c r="AI6" s="19">
        <v>0.22447244566524596</v>
      </c>
      <c r="AJ6" s="19">
        <v>0.22861508758703877</v>
      </c>
      <c r="AK6" s="19">
        <v>0.23528559565023663</v>
      </c>
      <c r="AL6" s="19">
        <v>0.19027470040867678</v>
      </c>
      <c r="AM6" s="19">
        <v>0.18408173601936392</v>
      </c>
      <c r="AN6" s="19">
        <v>0.18845821809134164</v>
      </c>
      <c r="AO6" s="19">
        <v>0.2119569710640884</v>
      </c>
      <c r="AP6" s="19">
        <v>0.22599708364395008</v>
      </c>
      <c r="AQ6" s="19">
        <v>0.2259524663135313</v>
      </c>
      <c r="AR6" s="19">
        <v>0.23359491177216768</v>
      </c>
      <c r="AS6" s="19">
        <v>0.20571962945687422</v>
      </c>
      <c r="AT6" s="19">
        <v>0.21972764625211752</v>
      </c>
      <c r="AU6" s="19">
        <v>0.21579885530872417</v>
      </c>
      <c r="AV6" s="19">
        <v>0.25305196196780627</v>
      </c>
      <c r="AW6" s="19">
        <v>0.23256879761122257</v>
      </c>
      <c r="AX6" s="19">
        <v>0.23027471840445027</v>
      </c>
      <c r="AY6" s="19">
        <v>0.23580805905979713</v>
      </c>
      <c r="AZ6" s="19">
        <v>0.25291799532210824</v>
      </c>
      <c r="BA6" s="19">
        <v>0.25338144335722507</v>
      </c>
      <c r="BB6" s="19">
        <v>0.26261386936177283</v>
      </c>
      <c r="BC6" s="19">
        <v>0.31185082822724791</v>
      </c>
      <c r="BD6" s="19">
        <v>0.30905473132580963</v>
      </c>
      <c r="BE6" s="19">
        <v>0.48925854559180054</v>
      </c>
      <c r="BF6" s="19">
        <v>0.4880818954766451</v>
      </c>
      <c r="BG6" s="19">
        <v>0.50625055707276245</v>
      </c>
      <c r="BH6" s="19">
        <v>0.52982191954096458</v>
      </c>
      <c r="BI6" s="19">
        <v>0.53287429203572467</v>
      </c>
      <c r="BJ6" s="19">
        <v>0.59839192537728214</v>
      </c>
      <c r="BK6" s="19">
        <v>0.60122773144770769</v>
      </c>
      <c r="BL6" s="19">
        <v>0.6155590880660361</v>
      </c>
      <c r="BM6" s="19">
        <v>0.60856700499772265</v>
      </c>
      <c r="BN6" s="19">
        <v>0.62894446100802603</v>
      </c>
      <c r="BO6" s="19">
        <v>0.62742701801795842</v>
      </c>
      <c r="BP6" s="19">
        <v>0.62780343835112562</v>
      </c>
      <c r="BQ6" s="19">
        <v>0.62270839116303156</v>
      </c>
      <c r="BR6" s="19">
        <v>0.6234124035219748</v>
      </c>
      <c r="BS6" s="19">
        <v>0.62468882948376658</v>
      </c>
      <c r="BT6" s="19">
        <v>0.62364103801238302</v>
      </c>
      <c r="BU6" s="19">
        <v>0.62186701251779219</v>
      </c>
      <c r="BV6" s="19">
        <v>0.62128086650932735</v>
      </c>
      <c r="BW6" s="19">
        <v>0.62856953553358086</v>
      </c>
      <c r="BX6" s="19">
        <v>0.65890140191217828</v>
      </c>
      <c r="BY6" s="19">
        <v>0.66310346098027495</v>
      </c>
      <c r="BZ6" s="19">
        <v>0.66522251919656517</v>
      </c>
      <c r="CA6" s="19">
        <v>0.65643919120793404</v>
      </c>
      <c r="CB6" s="19">
        <v>0.66093251402684428</v>
      </c>
      <c r="CC6" s="19">
        <v>0.67348137288955734</v>
      </c>
      <c r="CD6" s="19">
        <v>0.67369870943111443</v>
      </c>
      <c r="CE6" s="19">
        <v>0.71165124909865696</v>
      </c>
      <c r="CF6" s="19">
        <v>0.7194980860118142</v>
      </c>
      <c r="CG6" s="19">
        <v>0.7133125941340408</v>
      </c>
      <c r="CH6" s="19">
        <v>0.71350845137539587</v>
      </c>
      <c r="CI6" s="19">
        <v>0.7577164140985222</v>
      </c>
      <c r="CJ6" s="19">
        <v>0.75208220995901909</v>
      </c>
      <c r="CK6" s="19">
        <v>0.78496260973164533</v>
      </c>
      <c r="CL6" s="19">
        <v>0.79424372062060089</v>
      </c>
      <c r="CM6" s="19">
        <v>0.79875091699617362</v>
      </c>
      <c r="CN6" s="19">
        <v>0.7965541186472016</v>
      </c>
      <c r="CO6" s="19">
        <v>0.8001600340263243</v>
      </c>
      <c r="CP6" s="19">
        <v>0.80404906361558393</v>
      </c>
      <c r="CQ6" s="19">
        <v>0.78321775343009581</v>
      </c>
      <c r="CR6" s="19">
        <v>0.78976328097168347</v>
      </c>
      <c r="CS6" s="19">
        <v>0.83577635254366922</v>
      </c>
      <c r="CT6" s="19">
        <v>0.8452186869795042</v>
      </c>
      <c r="CU6" s="19">
        <v>0.8506154932006722</v>
      </c>
      <c r="CV6" s="19">
        <v>0.85036768389654771</v>
      </c>
      <c r="CW6" s="19">
        <v>0.85977234940078406</v>
      </c>
      <c r="CX6" s="19">
        <v>0.86345979002680662</v>
      </c>
      <c r="CY6" s="19">
        <v>0.88992171636317441</v>
      </c>
      <c r="CZ6" s="19">
        <v>0.88846739308083422</v>
      </c>
      <c r="DA6" s="19">
        <v>0.86444133101331833</v>
      </c>
      <c r="DB6" s="19">
        <v>0.85564089459480552</v>
      </c>
      <c r="DC6" s="19">
        <v>0.85267934246427657</v>
      </c>
      <c r="DD6" s="19">
        <v>0.84534701071674756</v>
      </c>
      <c r="DE6" s="19">
        <v>0.82265528433352419</v>
      </c>
      <c r="DF6" s="19">
        <v>0.82468015033674258</v>
      </c>
      <c r="DG6" s="19">
        <v>0.85920937492260852</v>
      </c>
      <c r="DH6" s="19">
        <v>0.86468809161167548</v>
      </c>
      <c r="DI6" s="19">
        <v>0.85064227462718645</v>
      </c>
      <c r="DJ6" s="19">
        <v>0.84382537599955421</v>
      </c>
      <c r="DK6" s="19">
        <v>0.85484903916654298</v>
      </c>
      <c r="DL6" s="19">
        <v>0.85770504844196249</v>
      </c>
      <c r="DM6" s="19">
        <v>0.85659240590883057</v>
      </c>
      <c r="DN6" s="19">
        <v>0.84193739137006751</v>
      </c>
      <c r="DO6" s="19">
        <v>0.53325694142528335</v>
      </c>
      <c r="DP6" s="19">
        <v>0.55568135005400332</v>
      </c>
      <c r="DQ6" s="19">
        <v>0.59269564695201282</v>
      </c>
      <c r="DR6" s="19">
        <v>0.74277987339093221</v>
      </c>
      <c r="DS6" s="19">
        <v>0.66416801353117649</v>
      </c>
      <c r="DT6" s="19">
        <v>0.66836239078875348</v>
      </c>
      <c r="DU6" s="19">
        <v>0.58394398203136799</v>
      </c>
      <c r="DV6" s="19">
        <v>0.56253656686422804</v>
      </c>
      <c r="DW6" s="19">
        <v>0.5019554350528822</v>
      </c>
      <c r="DX6" s="19">
        <v>0.47842701186115838</v>
      </c>
      <c r="DY6" s="19">
        <v>0.4614029314626949</v>
      </c>
      <c r="DZ6" s="19">
        <v>0.45822584950276746</v>
      </c>
      <c r="EA6" s="19">
        <v>0.45809731097718626</v>
      </c>
      <c r="EB6" s="19">
        <v>0.4634874321946284</v>
      </c>
      <c r="EC6" s="19">
        <v>0.46465420421591619</v>
      </c>
      <c r="ED6" s="19">
        <v>0.46235923574806442</v>
      </c>
      <c r="EE6" s="19">
        <v>0.45998754965974403</v>
      </c>
      <c r="EF6" s="19">
        <v>0.46136585558803228</v>
      </c>
      <c r="EG6" s="19">
        <v>0.46093739279763485</v>
      </c>
      <c r="EH6" s="19">
        <v>0.45959556989244693</v>
      </c>
      <c r="EI6" s="19">
        <v>0.45653100474683084</v>
      </c>
      <c r="EJ6" s="19">
        <v>0.45939915652081698</v>
      </c>
      <c r="EK6" s="19">
        <v>0.45808981274605715</v>
      </c>
      <c r="EL6" s="19">
        <v>0.46495375863200455</v>
      </c>
      <c r="EM6" s="19">
        <v>0.4649340500552348</v>
      </c>
      <c r="EN6" s="19">
        <v>0.47069778386872552</v>
      </c>
      <c r="EO6" s="19">
        <v>0.47258043317518417</v>
      </c>
      <c r="EP6" s="19">
        <v>0.47456520474257785</v>
      </c>
      <c r="EQ6" s="19">
        <v>0.4825172112269342</v>
      </c>
      <c r="ER6" s="19">
        <v>0.48471943945543267</v>
      </c>
      <c r="ES6" s="19">
        <v>0.47597357314870431</v>
      </c>
      <c r="ET6" s="19">
        <v>0.47499743870613576</v>
      </c>
      <c r="EU6" s="19">
        <v>0.47764688986992287</v>
      </c>
      <c r="EV6" s="19">
        <v>0.48217488085184068</v>
      </c>
      <c r="EW6" s="19">
        <v>0.48458276353195318</v>
      </c>
      <c r="EX6" s="19">
        <v>0.46760577120031516</v>
      </c>
      <c r="EY6" s="19">
        <v>0.48204539570747434</v>
      </c>
      <c r="EZ6" s="19">
        <v>0.4659711027305985</v>
      </c>
      <c r="FA6" s="19">
        <v>0.45441224975803501</v>
      </c>
      <c r="FB6" s="19">
        <v>0.4548424369962325</v>
      </c>
      <c r="FC6" s="19">
        <v>0.45178782349491875</v>
      </c>
      <c r="FD6" s="19">
        <v>0.4515538022992921</v>
      </c>
      <c r="FE6" s="19">
        <v>0.4563866116691242</v>
      </c>
      <c r="FF6" s="19">
        <v>0.45740172288426212</v>
      </c>
      <c r="FG6" s="19">
        <v>0.45904480100495826</v>
      </c>
      <c r="FH6" s="19">
        <v>0.46214616914936174</v>
      </c>
      <c r="FI6" s="19">
        <v>0.4638888197243497</v>
      </c>
      <c r="FJ6" s="19">
        <v>0.46311670828539858</v>
      </c>
      <c r="FK6" s="19">
        <v>0.46688601899643373</v>
      </c>
      <c r="FL6" s="19">
        <v>0.4604162066263543</v>
      </c>
      <c r="FM6" s="19">
        <v>0.45701786461864063</v>
      </c>
      <c r="FN6" s="19">
        <v>0.45831500268236935</v>
      </c>
      <c r="FO6" s="19">
        <v>0.45425643474153643</v>
      </c>
      <c r="FP6" s="19">
        <v>0.4577313070115826</v>
      </c>
      <c r="FQ6" s="19">
        <v>0.45883364676369748</v>
      </c>
      <c r="FR6" s="19">
        <v>0.46088982491816499</v>
      </c>
      <c r="FS6" s="19">
        <v>0.46274795953536541</v>
      </c>
      <c r="FT6" s="19">
        <v>0.47375326267966711</v>
      </c>
      <c r="FU6" s="19">
        <v>0.46832162781831643</v>
      </c>
      <c r="FV6" s="19">
        <v>0.47278756890310014</v>
      </c>
      <c r="FW6" s="19">
        <v>0.47882137585847101</v>
      </c>
      <c r="FX6" s="19">
        <v>0.46793861154229471</v>
      </c>
      <c r="FY6" s="19">
        <v>0.45740701490188607</v>
      </c>
    </row>
    <row r="7" spans="1:181" ht="16" x14ac:dyDescent="0.2">
      <c r="A7" s="17" t="e">
        <f>#REF!</f>
        <v>#REF!</v>
      </c>
      <c r="B7" s="19">
        <v>0.24240040791399337</v>
      </c>
      <c r="C7" s="19">
        <v>0.28109123951587389</v>
      </c>
      <c r="D7" s="19">
        <v>0.29563598782038231</v>
      </c>
      <c r="E7" s="19">
        <v>0.25261516901060799</v>
      </c>
      <c r="F7" s="19">
        <v>0.26414185650433275</v>
      </c>
      <c r="G7" s="19">
        <v>0.25565843410385708</v>
      </c>
      <c r="H7" s="19">
        <v>0.2521030559212753</v>
      </c>
      <c r="I7" s="19">
        <v>0.2558185703473409</v>
      </c>
      <c r="J7" s="19">
        <v>0.24783378781750862</v>
      </c>
      <c r="K7" s="19">
        <v>0.28087947722247597</v>
      </c>
      <c r="L7" s="19">
        <v>0.287663331676552</v>
      </c>
      <c r="M7" s="19">
        <v>0.29229928101455821</v>
      </c>
      <c r="N7" s="19">
        <v>0.28086583745994037</v>
      </c>
      <c r="O7" s="19">
        <v>0.27330285530804793</v>
      </c>
      <c r="P7" s="19">
        <v>0.26268223037400384</v>
      </c>
      <c r="Q7" s="19">
        <v>0.30689326175039922</v>
      </c>
      <c r="R7" s="19">
        <v>0.32178945981046353</v>
      </c>
      <c r="S7" s="19">
        <v>0.31816109220421146</v>
      </c>
      <c r="T7" s="19">
        <v>0.3501385304580012</v>
      </c>
      <c r="U7" s="19">
        <v>0.35392746223505772</v>
      </c>
      <c r="V7" s="19">
        <v>0.34132964908822416</v>
      </c>
      <c r="W7" s="19">
        <v>0.35422078557046527</v>
      </c>
      <c r="X7" s="19">
        <v>0.36281578182565205</v>
      </c>
      <c r="Y7" s="19">
        <v>0.36232234008441111</v>
      </c>
      <c r="Z7" s="19">
        <v>0.37555115086517604</v>
      </c>
      <c r="AA7" s="19">
        <v>0.42581002399530465</v>
      </c>
      <c r="AB7" s="19">
        <v>0.43606853824338654</v>
      </c>
      <c r="AC7" s="19">
        <v>0.42866747205789124</v>
      </c>
      <c r="AD7" s="19">
        <v>0.43133320072134801</v>
      </c>
      <c r="AE7" s="19">
        <v>0.44021287121939395</v>
      </c>
      <c r="AF7" s="19">
        <v>0.43920200533139619</v>
      </c>
      <c r="AG7" s="19">
        <v>0.45235151756557695</v>
      </c>
      <c r="AH7" s="19">
        <v>0.45760895222383341</v>
      </c>
      <c r="AI7" s="19">
        <v>0.42230133003505133</v>
      </c>
      <c r="AJ7" s="19">
        <v>0.43117590142356571</v>
      </c>
      <c r="AK7" s="19">
        <v>0.42793237508935644</v>
      </c>
      <c r="AL7" s="19">
        <v>0.43954061651588089</v>
      </c>
      <c r="AM7" s="19">
        <v>0.44241555929180998</v>
      </c>
      <c r="AN7" s="19">
        <v>0.44512374181788783</v>
      </c>
      <c r="AO7" s="19">
        <v>0.44876293035935733</v>
      </c>
      <c r="AP7" s="19">
        <v>0.44614393469256791</v>
      </c>
      <c r="AQ7" s="19">
        <v>0.45036669840982196</v>
      </c>
      <c r="AR7" s="19">
        <v>0.458283389169444</v>
      </c>
      <c r="AS7" s="19">
        <v>0.47330594751003335</v>
      </c>
      <c r="AT7" s="19">
        <v>0.47659163873700483</v>
      </c>
      <c r="AU7" s="19">
        <v>0.47453562343254724</v>
      </c>
      <c r="AV7" s="19">
        <v>0.44448186580111448</v>
      </c>
      <c r="AW7" s="19">
        <v>0.45545630084254368</v>
      </c>
      <c r="AX7" s="19">
        <v>0.45501696614354092</v>
      </c>
      <c r="AY7" s="19">
        <v>0.45745644876925184</v>
      </c>
      <c r="AZ7" s="19">
        <v>0.46488345340040949</v>
      </c>
      <c r="BA7" s="19">
        <v>0.44859091366938897</v>
      </c>
      <c r="BB7" s="19">
        <v>0.45265595203736503</v>
      </c>
      <c r="BC7" s="19">
        <v>0.43111412043724245</v>
      </c>
      <c r="BD7" s="19">
        <v>0.42328079317313422</v>
      </c>
      <c r="BE7" s="19">
        <v>0.38663716040616225</v>
      </c>
      <c r="BF7" s="19">
        <v>0.39582137394108435</v>
      </c>
      <c r="BG7" s="19">
        <v>0.39997912692301579</v>
      </c>
      <c r="BH7" s="19">
        <v>0.4025785730005762</v>
      </c>
      <c r="BI7" s="19">
        <v>0.4010859603603727</v>
      </c>
      <c r="BJ7" s="19">
        <v>0.37091296714456046</v>
      </c>
      <c r="BK7" s="19">
        <v>0.36761883743219775</v>
      </c>
      <c r="BL7" s="19">
        <v>0.34974978171814097</v>
      </c>
      <c r="BM7" s="19">
        <v>0.35729147778517589</v>
      </c>
      <c r="BN7" s="19">
        <v>0.32704684564823955</v>
      </c>
      <c r="BO7" s="19">
        <v>0.3277473285097306</v>
      </c>
      <c r="BP7" s="19">
        <v>0.32115562593292224</v>
      </c>
      <c r="BQ7" s="19">
        <v>0.32117370962039848</v>
      </c>
      <c r="BR7" s="19">
        <v>0.32126326608566097</v>
      </c>
      <c r="BS7" s="19">
        <v>0.31968315828883892</v>
      </c>
      <c r="BT7" s="19">
        <v>0.32105061479720348</v>
      </c>
      <c r="BU7" s="19">
        <v>0.32633260740232223</v>
      </c>
      <c r="BV7" s="19">
        <v>0.32520779599724203</v>
      </c>
      <c r="BW7" s="19">
        <v>0.32283252533328538</v>
      </c>
      <c r="BX7" s="19">
        <v>0.29172501721084976</v>
      </c>
      <c r="BY7" s="19">
        <v>0.28650718767579392</v>
      </c>
      <c r="BZ7" s="19">
        <v>0.28371689425814789</v>
      </c>
      <c r="CA7" s="19">
        <v>0.29537155134572285</v>
      </c>
      <c r="CB7" s="19">
        <v>0.28724900082237492</v>
      </c>
      <c r="CC7" s="19">
        <v>0.27673708366979172</v>
      </c>
      <c r="CD7" s="19">
        <v>0.27526220549427105</v>
      </c>
      <c r="CE7" s="19">
        <v>0.23614662383278659</v>
      </c>
      <c r="CF7" s="19">
        <v>0.22576552023094398</v>
      </c>
      <c r="CG7" s="19">
        <v>0.23395044059856751</v>
      </c>
      <c r="CH7" s="19">
        <v>0.23344460790259264</v>
      </c>
      <c r="CI7" s="19">
        <v>0.17358343160692416</v>
      </c>
      <c r="CJ7" s="19">
        <v>0.18039848716305998</v>
      </c>
      <c r="CK7" s="19">
        <v>0.14346620913232211</v>
      </c>
      <c r="CL7" s="19">
        <v>0.13430083090897976</v>
      </c>
      <c r="CM7" s="19">
        <v>0.12900365169235223</v>
      </c>
      <c r="CN7" s="19">
        <v>0.13288287988919664</v>
      </c>
      <c r="CO7" s="19">
        <v>0.12736954702336808</v>
      </c>
      <c r="CP7" s="19">
        <v>0.12094515227477894</v>
      </c>
      <c r="CQ7" s="19">
        <v>0.15335334559846023</v>
      </c>
      <c r="CR7" s="19">
        <v>0.14722925615430316</v>
      </c>
      <c r="CS7" s="19">
        <v>9.4258425414671165E-2</v>
      </c>
      <c r="CT7" s="19">
        <v>8.6226569096943165E-2</v>
      </c>
      <c r="CU7" s="19">
        <v>7.657849502554448E-2</v>
      </c>
      <c r="CV7" s="19">
        <v>8.1748658572245683E-2</v>
      </c>
      <c r="CW7" s="19">
        <v>6.8190761711990275E-2</v>
      </c>
      <c r="CX7" s="19">
        <v>6.4178479574353353E-2</v>
      </c>
      <c r="CY7" s="19">
        <v>3.8067271366833265E-2</v>
      </c>
      <c r="CZ7" s="19">
        <v>3.5545371959937996E-2</v>
      </c>
      <c r="DA7" s="19">
        <v>7.0285430361109319E-2</v>
      </c>
      <c r="DB7" s="19">
        <v>7.0089316077029853E-2</v>
      </c>
      <c r="DC7" s="19">
        <v>9.2750762846804627E-2</v>
      </c>
      <c r="DD7" s="19">
        <v>9.8123996467678762E-2</v>
      </c>
      <c r="DE7" s="19">
        <v>5.6752599633861471E-2</v>
      </c>
      <c r="DF7" s="19">
        <v>5.19941533439345E-2</v>
      </c>
      <c r="DG7" s="19">
        <v>0</v>
      </c>
      <c r="DH7" s="19">
        <v>0</v>
      </c>
      <c r="DI7" s="19">
        <v>0</v>
      </c>
      <c r="DJ7" s="19">
        <v>0</v>
      </c>
      <c r="DK7" s="19">
        <v>0</v>
      </c>
      <c r="DL7" s="19">
        <v>0</v>
      </c>
      <c r="DM7" s="19">
        <v>6.2860039963047957E-3</v>
      </c>
      <c r="DN7" s="19">
        <v>2.614630238536321E-2</v>
      </c>
      <c r="DO7" s="19">
        <v>0.41646639934429586</v>
      </c>
      <c r="DP7" s="19">
        <v>0.33590758779005092</v>
      </c>
      <c r="DQ7" s="19">
        <v>0.30366655496302869</v>
      </c>
      <c r="DR7" s="19">
        <v>0.10308559274910896</v>
      </c>
      <c r="DS7" s="19">
        <v>0.2176807351946794</v>
      </c>
      <c r="DT7" s="19">
        <v>0.20897397577949095</v>
      </c>
      <c r="DU7" s="19">
        <v>0.32029040920766816</v>
      </c>
      <c r="DV7" s="19">
        <v>0.34137798189540247</v>
      </c>
      <c r="DW7" s="19">
        <v>0.39799564428884243</v>
      </c>
      <c r="DX7" s="19">
        <v>0.43207158432919995</v>
      </c>
      <c r="DY7" s="19">
        <v>0.45209363605109265</v>
      </c>
      <c r="DZ7" s="19">
        <v>0.45259822265740113</v>
      </c>
      <c r="EA7" s="19">
        <v>0.45617872817509159</v>
      </c>
      <c r="EB7" s="19">
        <v>0.44684622425840748</v>
      </c>
      <c r="EC7" s="19">
        <v>0.43884045372567948</v>
      </c>
      <c r="ED7" s="19">
        <v>0.44285932397789085</v>
      </c>
      <c r="EE7" s="19">
        <v>0.44224575863624171</v>
      </c>
      <c r="EF7" s="19">
        <v>0.43905130914808271</v>
      </c>
      <c r="EG7" s="19">
        <v>0.43936760044569212</v>
      </c>
      <c r="EH7" s="19">
        <v>0.44251181934994893</v>
      </c>
      <c r="EI7" s="19">
        <v>0.43972962463771864</v>
      </c>
      <c r="EJ7" s="19">
        <v>0.43989215047910979</v>
      </c>
      <c r="EK7" s="19">
        <v>0.44039054439290276</v>
      </c>
      <c r="EL7" s="19">
        <v>0.4404951809691553</v>
      </c>
      <c r="EM7" s="19">
        <v>0.41986253822536107</v>
      </c>
      <c r="EN7" s="19">
        <v>0.41461017824440971</v>
      </c>
      <c r="EO7" s="19">
        <v>0.411120513990962</v>
      </c>
      <c r="EP7" s="19">
        <v>0.40067580490039156</v>
      </c>
      <c r="EQ7" s="19">
        <v>0.38159851921413057</v>
      </c>
      <c r="ER7" s="19">
        <v>0.37316963188424129</v>
      </c>
      <c r="ES7" s="19">
        <v>0.38102869504880921</v>
      </c>
      <c r="ET7" s="19">
        <v>0.3775903665485934</v>
      </c>
      <c r="EU7" s="19">
        <v>0.37253674173879742</v>
      </c>
      <c r="EV7" s="19">
        <v>0.36929486492090641</v>
      </c>
      <c r="EW7" s="19">
        <v>0.36381084458409835</v>
      </c>
      <c r="EX7" s="19">
        <v>0.37289398865942114</v>
      </c>
      <c r="EY7" s="19">
        <v>0.35473722590014839</v>
      </c>
      <c r="EZ7" s="19">
        <v>0.38088494110298965</v>
      </c>
      <c r="FA7" s="19">
        <v>0.3890673121290687</v>
      </c>
      <c r="FB7" s="19">
        <v>0.38186905688178058</v>
      </c>
      <c r="FC7" s="19">
        <v>0.38537826585920665</v>
      </c>
      <c r="FD7" s="19">
        <v>0.38673222074121688</v>
      </c>
      <c r="FE7" s="19">
        <v>0.38275110309663068</v>
      </c>
      <c r="FF7" s="19">
        <v>0.38261408080049936</v>
      </c>
      <c r="FG7" s="19">
        <v>0.38404648617711562</v>
      </c>
      <c r="FH7" s="19">
        <v>0.38069920745769215</v>
      </c>
      <c r="FI7" s="19">
        <v>0.38922444763825886</v>
      </c>
      <c r="FJ7" s="19">
        <v>0.39089661988594454</v>
      </c>
      <c r="FK7" s="19">
        <v>0.38440983163894793</v>
      </c>
      <c r="FL7" s="19">
        <v>0.39716840313397583</v>
      </c>
      <c r="FM7" s="19">
        <v>0.40525411344574475</v>
      </c>
      <c r="FN7" s="19">
        <v>0.40939187543426414</v>
      </c>
      <c r="FO7" s="19">
        <v>0.41809517264237372</v>
      </c>
      <c r="FP7" s="19">
        <v>0.41166278745476198</v>
      </c>
      <c r="FQ7" s="19">
        <v>0.41074747470807149</v>
      </c>
      <c r="FR7" s="19">
        <v>0.40249175217018424</v>
      </c>
      <c r="FS7" s="19">
        <v>0.39718146492233009</v>
      </c>
      <c r="FT7" s="19">
        <v>0.38029911080371859</v>
      </c>
      <c r="FU7" s="19">
        <v>0.3906092338437161</v>
      </c>
      <c r="FV7" s="19">
        <v>0.37995602369877496</v>
      </c>
      <c r="FW7" s="19">
        <v>0.38352641321639303</v>
      </c>
      <c r="FX7" s="19">
        <v>0.41875756068482661</v>
      </c>
      <c r="FY7" s="19">
        <v>0.42456337412467077</v>
      </c>
    </row>
    <row r="8" spans="1:181" ht="16" x14ac:dyDescent="0.2">
      <c r="A8" s="17" t="e">
        <f>#REF!</f>
        <v>#REF!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19">
        <v>0</v>
      </c>
      <c r="BN8" s="19">
        <v>0</v>
      </c>
      <c r="BO8" s="19">
        <v>0</v>
      </c>
      <c r="BP8" s="19">
        <v>0</v>
      </c>
      <c r="BQ8" s="19">
        <v>0</v>
      </c>
      <c r="BR8" s="19">
        <v>0</v>
      </c>
      <c r="BS8" s="19">
        <v>0</v>
      </c>
      <c r="BT8" s="19">
        <v>0</v>
      </c>
      <c r="BU8" s="19">
        <v>0</v>
      </c>
      <c r="BV8" s="19">
        <v>0</v>
      </c>
      <c r="BW8" s="19">
        <v>0</v>
      </c>
      <c r="BX8" s="19">
        <v>0</v>
      </c>
      <c r="BY8" s="19">
        <v>0</v>
      </c>
      <c r="BZ8" s="19">
        <v>0</v>
      </c>
      <c r="CA8" s="19">
        <v>0</v>
      </c>
      <c r="CB8" s="19">
        <v>0</v>
      </c>
      <c r="CC8" s="19">
        <v>0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0</v>
      </c>
      <c r="CJ8" s="19">
        <v>0</v>
      </c>
      <c r="CK8" s="19">
        <v>0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0</v>
      </c>
      <c r="CR8" s="19">
        <v>0</v>
      </c>
      <c r="CS8" s="19">
        <v>0</v>
      </c>
      <c r="CT8" s="19">
        <v>0</v>
      </c>
      <c r="CU8" s="19">
        <v>0</v>
      </c>
      <c r="CV8" s="19">
        <v>0</v>
      </c>
      <c r="CW8" s="19">
        <v>0</v>
      </c>
      <c r="CX8" s="19">
        <v>0</v>
      </c>
      <c r="CY8" s="19">
        <v>0</v>
      </c>
      <c r="CZ8" s="19">
        <v>0</v>
      </c>
      <c r="DA8" s="19">
        <v>0</v>
      </c>
      <c r="DB8" s="19">
        <v>0</v>
      </c>
      <c r="DC8" s="19">
        <v>0</v>
      </c>
      <c r="DD8" s="19">
        <v>0</v>
      </c>
      <c r="DE8" s="19">
        <v>0</v>
      </c>
      <c r="DF8" s="19">
        <v>0</v>
      </c>
      <c r="DG8" s="19">
        <v>0</v>
      </c>
      <c r="DH8" s="19">
        <v>0</v>
      </c>
      <c r="DI8" s="19">
        <v>0</v>
      </c>
      <c r="DJ8" s="19">
        <v>0</v>
      </c>
      <c r="DK8" s="19">
        <v>0</v>
      </c>
      <c r="DL8" s="19">
        <v>0</v>
      </c>
      <c r="DM8" s="19">
        <v>0</v>
      </c>
      <c r="DN8" s="19">
        <v>0</v>
      </c>
      <c r="DO8" s="19">
        <v>0</v>
      </c>
      <c r="DP8" s="19">
        <v>0</v>
      </c>
      <c r="DQ8" s="19">
        <v>0</v>
      </c>
      <c r="DR8" s="19">
        <v>0</v>
      </c>
      <c r="DS8" s="19">
        <v>0</v>
      </c>
      <c r="DT8" s="19">
        <v>0</v>
      </c>
      <c r="DU8" s="19">
        <v>0</v>
      </c>
      <c r="DV8" s="19">
        <v>0</v>
      </c>
      <c r="DW8" s="19">
        <v>0</v>
      </c>
      <c r="DX8" s="19">
        <v>0</v>
      </c>
      <c r="DY8" s="19">
        <v>0</v>
      </c>
      <c r="DZ8" s="19">
        <v>0</v>
      </c>
      <c r="EA8" s="19">
        <v>0</v>
      </c>
      <c r="EB8" s="19">
        <v>0</v>
      </c>
      <c r="EC8" s="19">
        <v>0</v>
      </c>
      <c r="ED8" s="19">
        <v>0</v>
      </c>
      <c r="EE8" s="19">
        <v>0</v>
      </c>
      <c r="EF8" s="19">
        <v>0</v>
      </c>
      <c r="EG8" s="19">
        <v>0</v>
      </c>
      <c r="EH8" s="19">
        <v>0</v>
      </c>
      <c r="EI8" s="19">
        <v>0</v>
      </c>
      <c r="EJ8" s="19">
        <v>0</v>
      </c>
      <c r="EK8" s="19">
        <v>0</v>
      </c>
      <c r="EL8" s="19">
        <v>0</v>
      </c>
      <c r="EM8" s="19">
        <v>0</v>
      </c>
      <c r="EN8" s="19">
        <v>0</v>
      </c>
      <c r="EO8" s="19">
        <v>0</v>
      </c>
      <c r="EP8" s="19">
        <v>0</v>
      </c>
      <c r="EQ8" s="19">
        <v>0</v>
      </c>
      <c r="ER8" s="19">
        <v>0</v>
      </c>
      <c r="ES8" s="19">
        <v>0</v>
      </c>
      <c r="ET8" s="19">
        <v>0</v>
      </c>
      <c r="EU8" s="19">
        <v>0</v>
      </c>
      <c r="EV8" s="19">
        <v>0</v>
      </c>
      <c r="EW8" s="19">
        <v>0</v>
      </c>
      <c r="EX8" s="19">
        <v>0</v>
      </c>
      <c r="EY8" s="19">
        <v>0</v>
      </c>
      <c r="EZ8" s="19">
        <v>0</v>
      </c>
      <c r="FA8" s="19">
        <v>0</v>
      </c>
      <c r="FB8" s="19">
        <v>0</v>
      </c>
      <c r="FC8" s="19">
        <v>0</v>
      </c>
      <c r="FD8" s="19">
        <v>0</v>
      </c>
      <c r="FE8" s="19">
        <v>0</v>
      </c>
      <c r="FF8" s="19">
        <v>0</v>
      </c>
      <c r="FG8" s="19">
        <v>0</v>
      </c>
      <c r="FH8" s="19">
        <v>0</v>
      </c>
      <c r="FI8" s="19">
        <v>0</v>
      </c>
      <c r="FJ8" s="19">
        <v>0</v>
      </c>
      <c r="FK8" s="19">
        <v>0</v>
      </c>
      <c r="FL8" s="19">
        <v>0</v>
      </c>
      <c r="FM8" s="19">
        <v>0</v>
      </c>
      <c r="FN8" s="19">
        <v>0</v>
      </c>
      <c r="FO8" s="19">
        <v>0</v>
      </c>
      <c r="FP8" s="19">
        <v>0</v>
      </c>
      <c r="FQ8" s="19">
        <v>0</v>
      </c>
      <c r="FR8" s="19">
        <v>0</v>
      </c>
      <c r="FS8" s="19">
        <v>0</v>
      </c>
      <c r="FT8" s="19">
        <v>0</v>
      </c>
      <c r="FU8" s="19">
        <v>0</v>
      </c>
      <c r="FV8" s="19">
        <v>0</v>
      </c>
      <c r="FW8" s="19">
        <v>0</v>
      </c>
      <c r="FX8" s="19">
        <v>0</v>
      </c>
      <c r="FY8" s="19">
        <v>0</v>
      </c>
    </row>
    <row r="9" spans="1:181" ht="16" x14ac:dyDescent="0.2">
      <c r="A9" s="17" t="e">
        <f>#REF!</f>
        <v>#REF!</v>
      </c>
      <c r="B9" s="19">
        <v>0.29048342269612176</v>
      </c>
      <c r="C9" s="19">
        <v>0.28412376337393519</v>
      </c>
      <c r="D9" s="19">
        <v>0.31279896725620054</v>
      </c>
      <c r="E9" s="19">
        <v>0.30497983195291978</v>
      </c>
      <c r="F9" s="19">
        <v>0.29764173831631552</v>
      </c>
      <c r="G9" s="19">
        <v>0.32655052629964443</v>
      </c>
      <c r="H9" s="19">
        <v>0.35611241420848216</v>
      </c>
      <c r="I9" s="19">
        <v>0.32023238988224134</v>
      </c>
      <c r="J9" s="19">
        <v>0.32918740389933909</v>
      </c>
      <c r="K9" s="19">
        <v>0.30404723526510752</v>
      </c>
      <c r="L9" s="19">
        <v>0.30600697793552617</v>
      </c>
      <c r="M9" s="19">
        <v>0.32093481845285021</v>
      </c>
      <c r="N9" s="19">
        <v>0.31375981187825508</v>
      </c>
      <c r="O9" s="19">
        <v>0.32202277097823173</v>
      </c>
      <c r="P9" s="19">
        <v>0.31815659557266779</v>
      </c>
      <c r="Q9" s="19">
        <v>0.30412346797116041</v>
      </c>
      <c r="R9" s="19">
        <v>0.29476951390844275</v>
      </c>
      <c r="S9" s="19">
        <v>0.30543385461002814</v>
      </c>
      <c r="T9" s="19">
        <v>0.2874037751328013</v>
      </c>
      <c r="U9" s="19">
        <v>0.29559529289417741</v>
      </c>
      <c r="V9" s="19">
        <v>0.30664703391278314</v>
      </c>
      <c r="W9" s="19">
        <v>0.3099866880946277</v>
      </c>
      <c r="X9" s="19">
        <v>0.30808915029040124</v>
      </c>
      <c r="Y9" s="19">
        <v>0.3107000287463707</v>
      </c>
      <c r="Z9" s="19">
        <v>0.29172400815165583</v>
      </c>
      <c r="AA9" s="19">
        <v>0.24849459602482898</v>
      </c>
      <c r="AB9" s="19">
        <v>0.23807799364816054</v>
      </c>
      <c r="AC9" s="19">
        <v>0.26454864441680365</v>
      </c>
      <c r="AD9" s="19">
        <v>0.29015279199349464</v>
      </c>
      <c r="AE9" s="19">
        <v>0.28062891458180328</v>
      </c>
      <c r="AF9" s="19">
        <v>0.27833879580928</v>
      </c>
      <c r="AG9" s="19">
        <v>0.27003819312406102</v>
      </c>
      <c r="AH9" s="19">
        <v>0.27395829093187318</v>
      </c>
      <c r="AI9" s="19">
        <v>0.33964055202136301</v>
      </c>
      <c r="AJ9" s="19">
        <v>0.32645317230373627</v>
      </c>
      <c r="AK9" s="19">
        <v>0.32342131383319528</v>
      </c>
      <c r="AL9" s="19">
        <v>0.35582372492221953</v>
      </c>
      <c r="AM9" s="19">
        <v>0.35870825720967769</v>
      </c>
      <c r="AN9" s="19">
        <v>0.35078154919196741</v>
      </c>
      <c r="AO9" s="19">
        <v>0.32900159392971973</v>
      </c>
      <c r="AP9" s="19">
        <v>0.31701466955465324</v>
      </c>
      <c r="AQ9" s="19">
        <v>0.31245962058536453</v>
      </c>
      <c r="AR9" s="19">
        <v>0.29514813358886249</v>
      </c>
      <c r="AS9" s="19">
        <v>0.30440655730937727</v>
      </c>
      <c r="AT9" s="19">
        <v>0.2866956540719352</v>
      </c>
      <c r="AU9" s="19">
        <v>0.29166766011399187</v>
      </c>
      <c r="AV9" s="19">
        <v>0.28247270116387885</v>
      </c>
      <c r="AW9" s="19">
        <v>0.29281119970784364</v>
      </c>
      <c r="AX9" s="19">
        <v>0.29587933662231986</v>
      </c>
      <c r="AY9" s="19">
        <v>0.28822142810881751</v>
      </c>
      <c r="AZ9" s="19">
        <v>0.26528742608985367</v>
      </c>
      <c r="BA9" s="19">
        <v>0.2768841442388647</v>
      </c>
      <c r="BB9" s="19">
        <v>0.25939448648961971</v>
      </c>
      <c r="BC9" s="19">
        <v>0.22364708173230588</v>
      </c>
      <c r="BD9" s="19">
        <v>0.23470573732806291</v>
      </c>
      <c r="BE9" s="19">
        <v>9.6368054977260295E-2</v>
      </c>
      <c r="BF9" s="19">
        <v>9.955317423480968E-2</v>
      </c>
      <c r="BG9" s="19">
        <v>7.663880653512424E-2</v>
      </c>
      <c r="BH9" s="19">
        <v>4.3982430889492913E-2</v>
      </c>
      <c r="BI9" s="19">
        <v>4.4067873531270896E-2</v>
      </c>
      <c r="BJ9" s="19">
        <v>0</v>
      </c>
      <c r="BK9" s="19">
        <v>0</v>
      </c>
      <c r="BL9" s="19">
        <v>0</v>
      </c>
      <c r="BM9" s="19">
        <v>0</v>
      </c>
      <c r="BN9" s="19">
        <v>0</v>
      </c>
      <c r="BO9" s="19">
        <v>0</v>
      </c>
      <c r="BP9" s="19">
        <v>0</v>
      </c>
      <c r="BQ9" s="19">
        <v>0</v>
      </c>
      <c r="BR9" s="19">
        <v>0</v>
      </c>
      <c r="BS9" s="19">
        <v>0</v>
      </c>
      <c r="BT9" s="19">
        <v>0</v>
      </c>
      <c r="BU9" s="19">
        <v>0</v>
      </c>
      <c r="BV9" s="19">
        <v>0</v>
      </c>
      <c r="BW9" s="19">
        <v>0</v>
      </c>
      <c r="BX9" s="19">
        <v>0</v>
      </c>
      <c r="BY9" s="19">
        <v>0</v>
      </c>
      <c r="BZ9" s="19">
        <v>0</v>
      </c>
      <c r="CA9" s="19">
        <v>0</v>
      </c>
      <c r="CB9" s="19">
        <v>0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0</v>
      </c>
      <c r="CJ9" s="19">
        <v>0</v>
      </c>
      <c r="CK9" s="19">
        <v>0</v>
      </c>
      <c r="CL9" s="19">
        <v>0</v>
      </c>
      <c r="CM9" s="19">
        <v>0</v>
      </c>
      <c r="CN9" s="19">
        <v>0</v>
      </c>
      <c r="CO9" s="19">
        <v>0</v>
      </c>
      <c r="CP9" s="19">
        <v>0</v>
      </c>
      <c r="CQ9" s="19">
        <v>0</v>
      </c>
      <c r="CR9" s="19">
        <v>0</v>
      </c>
      <c r="CS9" s="19">
        <v>0</v>
      </c>
      <c r="CT9" s="19">
        <v>0</v>
      </c>
      <c r="CU9" s="19">
        <v>0</v>
      </c>
      <c r="CV9" s="19">
        <v>0</v>
      </c>
      <c r="CW9" s="19">
        <v>0</v>
      </c>
      <c r="CX9" s="19">
        <v>0</v>
      </c>
      <c r="CY9" s="19">
        <v>0</v>
      </c>
      <c r="CZ9" s="19">
        <v>6.39484453251438E-3</v>
      </c>
      <c r="DA9" s="19">
        <v>3.1736214537452564E-3</v>
      </c>
      <c r="DB9" s="19">
        <v>1.0863316217530759E-2</v>
      </c>
      <c r="DC9" s="19">
        <v>5.4353900130147488E-4</v>
      </c>
      <c r="DD9" s="19">
        <v>0</v>
      </c>
      <c r="DE9" s="19">
        <v>5.5137442123870645E-2</v>
      </c>
      <c r="DF9" s="19">
        <v>5.6614577206282948E-2</v>
      </c>
      <c r="DG9" s="19">
        <v>3.042134352994082E-2</v>
      </c>
      <c r="DH9" s="19">
        <v>2.2919996962398773E-2</v>
      </c>
      <c r="DI9" s="19">
        <v>3.7573722242778822E-2</v>
      </c>
      <c r="DJ9" s="19">
        <v>3.7519401820048759E-2</v>
      </c>
      <c r="DK9" s="19">
        <v>2.7538076013862125E-2</v>
      </c>
      <c r="DL9" s="19">
        <v>2.2878733888179775E-2</v>
      </c>
      <c r="DM9" s="19">
        <v>0</v>
      </c>
      <c r="DN9" s="19">
        <v>0</v>
      </c>
      <c r="DO9" s="19">
        <v>0</v>
      </c>
      <c r="DP9" s="19">
        <v>0</v>
      </c>
      <c r="DQ9" s="19">
        <v>0</v>
      </c>
      <c r="DR9" s="19">
        <v>0</v>
      </c>
      <c r="DS9" s="19">
        <v>0</v>
      </c>
      <c r="DT9" s="19">
        <v>0</v>
      </c>
      <c r="DU9" s="19">
        <v>0</v>
      </c>
      <c r="DV9" s="19">
        <v>0</v>
      </c>
      <c r="DW9" s="19">
        <v>0</v>
      </c>
      <c r="DX9" s="19">
        <v>0</v>
      </c>
      <c r="DY9" s="19">
        <v>0</v>
      </c>
      <c r="DZ9" s="19">
        <v>0</v>
      </c>
      <c r="EA9" s="19">
        <v>0</v>
      </c>
      <c r="EB9" s="19">
        <v>0</v>
      </c>
      <c r="EC9" s="19">
        <v>0</v>
      </c>
      <c r="ED9" s="19">
        <v>0</v>
      </c>
      <c r="EE9" s="19">
        <v>0</v>
      </c>
      <c r="EF9" s="19">
        <v>0</v>
      </c>
      <c r="EG9" s="19">
        <v>0</v>
      </c>
      <c r="EH9" s="19">
        <v>0</v>
      </c>
      <c r="EI9" s="19">
        <v>0</v>
      </c>
      <c r="EJ9" s="19">
        <v>0</v>
      </c>
      <c r="EK9" s="19">
        <v>0</v>
      </c>
      <c r="EL9" s="19">
        <v>0</v>
      </c>
      <c r="EM9" s="19">
        <v>0</v>
      </c>
      <c r="EN9" s="19">
        <v>0</v>
      </c>
      <c r="EO9" s="19">
        <v>0</v>
      </c>
      <c r="EP9" s="19">
        <v>0</v>
      </c>
      <c r="EQ9" s="19">
        <v>0</v>
      </c>
      <c r="ER9" s="19">
        <v>0</v>
      </c>
      <c r="ES9" s="19">
        <v>0</v>
      </c>
      <c r="ET9" s="19">
        <v>0</v>
      </c>
      <c r="EU9" s="19">
        <v>0</v>
      </c>
      <c r="EV9" s="19">
        <v>0</v>
      </c>
      <c r="EW9" s="19">
        <v>0</v>
      </c>
      <c r="EX9" s="19">
        <v>0</v>
      </c>
      <c r="EY9" s="19">
        <v>0</v>
      </c>
      <c r="EZ9" s="19">
        <v>0</v>
      </c>
      <c r="FA9" s="19">
        <v>0</v>
      </c>
      <c r="FB9" s="19">
        <v>0</v>
      </c>
      <c r="FC9" s="19">
        <v>0</v>
      </c>
      <c r="FD9" s="19">
        <v>0</v>
      </c>
      <c r="FE9" s="19">
        <v>0</v>
      </c>
      <c r="FF9" s="19">
        <v>0</v>
      </c>
      <c r="FG9" s="19">
        <v>0</v>
      </c>
      <c r="FH9" s="19">
        <v>0</v>
      </c>
      <c r="FI9" s="19">
        <v>0</v>
      </c>
      <c r="FJ9" s="19">
        <v>0</v>
      </c>
      <c r="FK9" s="19">
        <v>0</v>
      </c>
      <c r="FL9" s="19">
        <v>0</v>
      </c>
      <c r="FM9" s="19">
        <v>0</v>
      </c>
      <c r="FN9" s="19">
        <v>0</v>
      </c>
      <c r="FO9" s="19">
        <v>0</v>
      </c>
      <c r="FP9" s="19">
        <v>0</v>
      </c>
      <c r="FQ9" s="19">
        <v>0</v>
      </c>
      <c r="FR9" s="19">
        <v>0</v>
      </c>
      <c r="FS9" s="19">
        <v>0</v>
      </c>
      <c r="FT9" s="19">
        <v>0</v>
      </c>
      <c r="FU9" s="19">
        <v>0</v>
      </c>
      <c r="FV9" s="19">
        <v>0</v>
      </c>
      <c r="FW9" s="19">
        <v>0</v>
      </c>
      <c r="FX9" s="19">
        <v>0</v>
      </c>
      <c r="FY9" s="19">
        <v>0</v>
      </c>
    </row>
    <row r="10" spans="1:181" ht="16" x14ac:dyDescent="0.2">
      <c r="A10" s="17" t="e">
        <f>#REF!</f>
        <v>#REF!</v>
      </c>
      <c r="B10" s="19">
        <v>5.22901164441007E-3</v>
      </c>
      <c r="C10" s="19">
        <v>4.9853190513398085E-3</v>
      </c>
      <c r="D10" s="19">
        <v>5.4045099819266694E-3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19">
        <v>0</v>
      </c>
      <c r="AP10" s="19">
        <v>0</v>
      </c>
      <c r="AQ10" s="19">
        <v>0</v>
      </c>
      <c r="AR10" s="19">
        <v>0</v>
      </c>
      <c r="AS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>
        <v>0</v>
      </c>
      <c r="AZ10" s="19">
        <v>0</v>
      </c>
      <c r="BA10" s="19">
        <v>0</v>
      </c>
      <c r="BB10" s="19">
        <v>0</v>
      </c>
      <c r="BC10" s="19">
        <v>0</v>
      </c>
      <c r="BD10" s="19">
        <v>0</v>
      </c>
      <c r="BE10" s="19">
        <v>0</v>
      </c>
      <c r="BF10" s="19">
        <v>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19">
        <v>0</v>
      </c>
      <c r="BN10" s="19">
        <v>0</v>
      </c>
      <c r="BO10" s="19">
        <v>0</v>
      </c>
      <c r="BP10" s="19">
        <v>0</v>
      </c>
      <c r="BQ10" s="19">
        <v>0</v>
      </c>
      <c r="BR10" s="19">
        <v>0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19">
        <v>0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>
        <v>0</v>
      </c>
      <c r="CH10" s="19">
        <v>0</v>
      </c>
      <c r="CI10" s="19">
        <v>0</v>
      </c>
      <c r="CJ10" s="19">
        <v>0</v>
      </c>
      <c r="CK10" s="19">
        <v>0</v>
      </c>
      <c r="CL10" s="19">
        <v>0</v>
      </c>
      <c r="CM10" s="19">
        <v>0</v>
      </c>
      <c r="CN10" s="19">
        <v>0</v>
      </c>
      <c r="CO10" s="19">
        <v>0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19">
        <v>0</v>
      </c>
      <c r="CX10" s="19">
        <v>0</v>
      </c>
      <c r="CY10" s="19">
        <v>0</v>
      </c>
      <c r="CZ10" s="19">
        <v>0</v>
      </c>
      <c r="DA10" s="19">
        <v>0</v>
      </c>
      <c r="DB10" s="19">
        <v>0</v>
      </c>
      <c r="DC10" s="19">
        <v>0</v>
      </c>
      <c r="DD10" s="19">
        <v>0</v>
      </c>
      <c r="DE10" s="19">
        <v>0</v>
      </c>
      <c r="DF10" s="19">
        <v>0</v>
      </c>
      <c r="DG10" s="19">
        <v>0</v>
      </c>
      <c r="DH10" s="19">
        <v>0</v>
      </c>
      <c r="DI10" s="19">
        <v>0</v>
      </c>
      <c r="DJ10" s="19">
        <v>0</v>
      </c>
      <c r="DK10" s="19">
        <v>0</v>
      </c>
      <c r="DL10" s="19">
        <v>0</v>
      </c>
      <c r="DM10" s="19">
        <v>0</v>
      </c>
      <c r="DN10" s="19">
        <v>0</v>
      </c>
      <c r="DO10" s="19">
        <v>0</v>
      </c>
      <c r="DP10" s="19">
        <v>2.901984151284267E-3</v>
      </c>
      <c r="DQ10" s="19">
        <v>0</v>
      </c>
      <c r="DR10" s="19">
        <v>0</v>
      </c>
      <c r="DS10" s="19">
        <v>0</v>
      </c>
      <c r="DT10" s="19">
        <v>0</v>
      </c>
      <c r="DU10" s="19">
        <v>0</v>
      </c>
      <c r="DV10" s="19">
        <v>0</v>
      </c>
      <c r="DW10" s="19">
        <v>0</v>
      </c>
      <c r="DX10" s="19">
        <v>0</v>
      </c>
      <c r="DY10" s="19">
        <v>0</v>
      </c>
      <c r="DZ10" s="19">
        <v>0</v>
      </c>
      <c r="EA10" s="19">
        <v>0</v>
      </c>
      <c r="EB10" s="19">
        <v>0</v>
      </c>
      <c r="EC10" s="19">
        <v>0</v>
      </c>
      <c r="ED10" s="19">
        <v>0</v>
      </c>
      <c r="EE10" s="19">
        <v>0</v>
      </c>
      <c r="EF10" s="19">
        <v>0</v>
      </c>
      <c r="EG10" s="19">
        <v>0</v>
      </c>
      <c r="EH10" s="19">
        <v>0</v>
      </c>
      <c r="EI10" s="19">
        <v>0</v>
      </c>
      <c r="EJ10" s="19">
        <v>0</v>
      </c>
      <c r="EK10" s="19">
        <v>0</v>
      </c>
      <c r="EL10" s="19">
        <v>0</v>
      </c>
      <c r="EM10" s="19">
        <v>0</v>
      </c>
      <c r="EN10" s="19">
        <v>0</v>
      </c>
      <c r="EO10" s="19">
        <v>0</v>
      </c>
      <c r="EP10" s="19">
        <v>0</v>
      </c>
      <c r="EQ10" s="19">
        <v>0</v>
      </c>
      <c r="ER10" s="19">
        <v>0</v>
      </c>
      <c r="ES10" s="19">
        <v>0</v>
      </c>
      <c r="ET10" s="19">
        <v>0</v>
      </c>
      <c r="EU10" s="19">
        <v>0</v>
      </c>
      <c r="EV10" s="19">
        <v>0</v>
      </c>
      <c r="EW10" s="19">
        <v>0</v>
      </c>
      <c r="EX10" s="19">
        <v>0</v>
      </c>
      <c r="EY10" s="19">
        <v>0</v>
      </c>
      <c r="EZ10" s="19">
        <v>0</v>
      </c>
      <c r="FA10" s="19">
        <v>0</v>
      </c>
      <c r="FB10" s="19">
        <v>0</v>
      </c>
      <c r="FC10" s="19">
        <v>0</v>
      </c>
      <c r="FD10" s="19">
        <v>0</v>
      </c>
      <c r="FE10" s="19">
        <v>0</v>
      </c>
      <c r="FF10" s="19">
        <v>0</v>
      </c>
      <c r="FG10" s="19">
        <v>0</v>
      </c>
      <c r="FH10" s="19">
        <v>0</v>
      </c>
      <c r="FI10" s="19">
        <v>0</v>
      </c>
      <c r="FJ10" s="19">
        <v>0</v>
      </c>
      <c r="FK10" s="19">
        <v>0</v>
      </c>
      <c r="FL10" s="19">
        <v>0</v>
      </c>
      <c r="FM10" s="19">
        <v>0</v>
      </c>
      <c r="FN10" s="19">
        <v>0</v>
      </c>
      <c r="FO10" s="19">
        <v>0</v>
      </c>
      <c r="FP10" s="19">
        <v>0</v>
      </c>
      <c r="FQ10" s="19">
        <v>0</v>
      </c>
      <c r="FR10" s="19">
        <v>0</v>
      </c>
      <c r="FS10" s="19">
        <v>0</v>
      </c>
      <c r="FT10" s="19">
        <v>0</v>
      </c>
      <c r="FU10" s="19">
        <v>0</v>
      </c>
      <c r="FV10" s="19">
        <v>0</v>
      </c>
      <c r="FW10" s="19">
        <v>0</v>
      </c>
      <c r="FX10" s="19">
        <v>0</v>
      </c>
      <c r="FY10" s="19">
        <v>0</v>
      </c>
    </row>
    <row r="11" spans="1:181" ht="16" x14ac:dyDescent="0.2">
      <c r="A11" s="17" t="e">
        <f>#REF!</f>
        <v>#REF!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19">
        <v>0</v>
      </c>
      <c r="AR11" s="19">
        <v>0</v>
      </c>
      <c r="AS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>
        <v>0</v>
      </c>
      <c r="AZ11" s="19">
        <v>0</v>
      </c>
      <c r="BA11" s="19">
        <v>0</v>
      </c>
      <c r="BB11" s="19">
        <v>0</v>
      </c>
      <c r="BC11" s="19">
        <v>0</v>
      </c>
      <c r="BD11" s="19">
        <v>0</v>
      </c>
      <c r="BE11" s="19">
        <v>0</v>
      </c>
      <c r="BF11" s="19">
        <v>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19">
        <v>0</v>
      </c>
      <c r="BN11" s="19">
        <v>0</v>
      </c>
      <c r="BO11" s="19">
        <v>0</v>
      </c>
      <c r="BP11" s="19">
        <v>0</v>
      </c>
      <c r="BQ11" s="19">
        <v>0</v>
      </c>
      <c r="BR11" s="19">
        <v>0</v>
      </c>
      <c r="BS11" s="19">
        <v>0</v>
      </c>
      <c r="BT11" s="19">
        <v>0</v>
      </c>
      <c r="BU11" s="19">
        <v>0</v>
      </c>
      <c r="BV11" s="19">
        <v>0</v>
      </c>
      <c r="BW11" s="19">
        <v>0</v>
      </c>
      <c r="BX11" s="19">
        <v>0</v>
      </c>
      <c r="BY11" s="19">
        <v>0</v>
      </c>
      <c r="BZ11" s="19">
        <v>0</v>
      </c>
      <c r="CA11" s="19">
        <v>0</v>
      </c>
      <c r="CB11" s="19">
        <v>0</v>
      </c>
      <c r="CC11" s="19">
        <v>0</v>
      </c>
      <c r="CD11" s="19">
        <v>0</v>
      </c>
      <c r="CE11" s="19">
        <v>0</v>
      </c>
      <c r="CF11" s="19">
        <v>0</v>
      </c>
      <c r="CG11" s="19">
        <v>0</v>
      </c>
      <c r="CH11" s="19">
        <v>0</v>
      </c>
      <c r="CI11" s="19">
        <v>0</v>
      </c>
      <c r="CJ11" s="19">
        <v>0</v>
      </c>
      <c r="CK11" s="19">
        <v>0</v>
      </c>
      <c r="CL11" s="19">
        <v>0</v>
      </c>
      <c r="CM11" s="19">
        <v>0</v>
      </c>
      <c r="CN11" s="19">
        <v>0</v>
      </c>
      <c r="CO11" s="19">
        <v>0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19">
        <v>0</v>
      </c>
      <c r="CV11" s="19">
        <v>0</v>
      </c>
      <c r="CW11" s="19">
        <v>0</v>
      </c>
      <c r="CX11" s="19">
        <v>0</v>
      </c>
      <c r="CY11" s="19">
        <v>0</v>
      </c>
      <c r="CZ11" s="19">
        <v>0</v>
      </c>
      <c r="DA11" s="19">
        <v>0</v>
      </c>
      <c r="DB11" s="19">
        <v>0</v>
      </c>
      <c r="DC11" s="19">
        <v>0</v>
      </c>
      <c r="DD11" s="19">
        <v>0</v>
      </c>
      <c r="DE11" s="19">
        <v>0</v>
      </c>
      <c r="DF11" s="19">
        <v>0</v>
      </c>
      <c r="DG11" s="19">
        <v>6.7270856953149577E-2</v>
      </c>
      <c r="DH11" s="19">
        <v>6.5248772553752957E-2</v>
      </c>
      <c r="DI11" s="19">
        <v>6.9440932810287681E-2</v>
      </c>
      <c r="DJ11" s="19">
        <v>8.3417514274789689E-2</v>
      </c>
      <c r="DK11" s="19">
        <v>7.5923242569173655E-2</v>
      </c>
      <c r="DL11" s="19">
        <v>7.8778948921974776E-2</v>
      </c>
      <c r="DM11" s="19">
        <v>0.10022457166617189</v>
      </c>
      <c r="DN11" s="19">
        <v>9.5212808240983784E-2</v>
      </c>
      <c r="DO11" s="19">
        <v>3.1325946192217159E-2</v>
      </c>
      <c r="DP11" s="19">
        <v>1.8302854284608323E-2</v>
      </c>
      <c r="DQ11" s="19">
        <v>3.1368472952378484E-3</v>
      </c>
      <c r="DR11" s="19">
        <v>0</v>
      </c>
      <c r="DS11" s="19">
        <v>0</v>
      </c>
      <c r="DT11" s="19">
        <v>0</v>
      </c>
      <c r="DU11" s="19">
        <v>0</v>
      </c>
      <c r="DV11" s="19">
        <v>0</v>
      </c>
      <c r="DW11" s="19">
        <v>0</v>
      </c>
      <c r="DX11" s="19">
        <v>0</v>
      </c>
      <c r="DY11" s="19">
        <v>0</v>
      </c>
      <c r="DZ11" s="19">
        <v>0</v>
      </c>
      <c r="EA11" s="19">
        <v>0</v>
      </c>
      <c r="EB11" s="19">
        <v>0</v>
      </c>
      <c r="EC11" s="19">
        <v>0</v>
      </c>
      <c r="ED11" s="19">
        <v>0</v>
      </c>
      <c r="EE11" s="19">
        <v>0</v>
      </c>
      <c r="EF11" s="19">
        <v>0</v>
      </c>
      <c r="EG11" s="19">
        <v>0</v>
      </c>
      <c r="EH11" s="19">
        <v>0</v>
      </c>
      <c r="EI11" s="19">
        <v>0</v>
      </c>
      <c r="EJ11" s="19">
        <v>0</v>
      </c>
      <c r="EK11" s="19">
        <v>0</v>
      </c>
      <c r="EL11" s="19">
        <v>0</v>
      </c>
      <c r="EM11" s="19">
        <v>0</v>
      </c>
      <c r="EN11" s="19">
        <v>0</v>
      </c>
      <c r="EO11" s="19">
        <v>0</v>
      </c>
      <c r="EP11" s="19">
        <v>0</v>
      </c>
      <c r="EQ11" s="19">
        <v>0</v>
      </c>
      <c r="ER11" s="19">
        <v>0</v>
      </c>
      <c r="ES11" s="19">
        <v>0</v>
      </c>
      <c r="ET11" s="19">
        <v>0</v>
      </c>
      <c r="EU11" s="19">
        <v>0</v>
      </c>
      <c r="EV11" s="19">
        <v>0</v>
      </c>
      <c r="EW11" s="19">
        <v>0</v>
      </c>
      <c r="EX11" s="19">
        <v>0</v>
      </c>
      <c r="EY11" s="19">
        <v>0</v>
      </c>
      <c r="EZ11" s="19">
        <v>0</v>
      </c>
      <c r="FA11" s="19">
        <v>0</v>
      </c>
      <c r="FB11" s="19">
        <v>0</v>
      </c>
      <c r="FC11" s="19">
        <v>0</v>
      </c>
      <c r="FD11" s="19">
        <v>0</v>
      </c>
      <c r="FE11" s="19">
        <v>0</v>
      </c>
      <c r="FF11" s="19">
        <v>0</v>
      </c>
      <c r="FG11" s="19">
        <v>0</v>
      </c>
      <c r="FH11" s="19">
        <v>0</v>
      </c>
      <c r="FI11" s="19">
        <v>0</v>
      </c>
      <c r="FJ11" s="19">
        <v>0</v>
      </c>
      <c r="FK11" s="19">
        <v>0</v>
      </c>
      <c r="FL11" s="19">
        <v>0</v>
      </c>
      <c r="FM11" s="19">
        <v>0</v>
      </c>
      <c r="FN11" s="19">
        <v>0</v>
      </c>
      <c r="FO11" s="19">
        <v>0</v>
      </c>
      <c r="FP11" s="19">
        <v>0</v>
      </c>
      <c r="FQ11" s="19">
        <v>0</v>
      </c>
      <c r="FR11" s="19">
        <v>0</v>
      </c>
      <c r="FS11" s="19">
        <v>0</v>
      </c>
      <c r="FT11" s="19">
        <v>0</v>
      </c>
      <c r="FU11" s="19">
        <v>0</v>
      </c>
      <c r="FV11" s="19">
        <v>0</v>
      </c>
      <c r="FW11" s="19">
        <v>0</v>
      </c>
      <c r="FX11" s="19">
        <v>0</v>
      </c>
      <c r="FY11" s="19">
        <v>0</v>
      </c>
    </row>
    <row r="12" spans="1:181" ht="16" x14ac:dyDescent="0.2">
      <c r="A12" s="17" t="e">
        <f>#REF!</f>
        <v>#REF!</v>
      </c>
      <c r="B12" s="19">
        <v>0</v>
      </c>
      <c r="C12" s="19">
        <v>0</v>
      </c>
      <c r="D12" s="19">
        <v>0</v>
      </c>
      <c r="E12" s="19">
        <v>0</v>
      </c>
      <c r="F12" s="19">
        <v>0</v>
      </c>
      <c r="G12" s="19">
        <v>0</v>
      </c>
      <c r="H12" s="19">
        <v>0</v>
      </c>
      <c r="I12" s="19">
        <v>0</v>
      </c>
      <c r="J12" s="19">
        <v>0</v>
      </c>
      <c r="K12" s="19">
        <v>0</v>
      </c>
      <c r="L12" s="19">
        <v>0</v>
      </c>
      <c r="M12" s="19">
        <v>0</v>
      </c>
      <c r="N12" s="19">
        <v>0</v>
      </c>
      <c r="O12" s="19">
        <v>0</v>
      </c>
      <c r="P12" s="19">
        <v>1.2844346011798975E-2</v>
      </c>
      <c r="Q12" s="19">
        <v>0</v>
      </c>
      <c r="R12" s="19">
        <v>0</v>
      </c>
      <c r="S12" s="19">
        <v>0</v>
      </c>
      <c r="T12" s="19">
        <v>0</v>
      </c>
      <c r="U12" s="19">
        <v>0</v>
      </c>
      <c r="V12" s="19">
        <v>0</v>
      </c>
      <c r="W12" s="19">
        <v>0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0</v>
      </c>
      <c r="AF12" s="19">
        <v>0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19">
        <v>0</v>
      </c>
      <c r="AP12" s="19">
        <v>0</v>
      </c>
      <c r="AQ12" s="19">
        <v>0</v>
      </c>
      <c r="AR12" s="19">
        <v>0</v>
      </c>
      <c r="AS12" s="19">
        <v>0</v>
      </c>
      <c r="AT12" s="19">
        <v>0</v>
      </c>
      <c r="AU12" s="19">
        <v>0</v>
      </c>
      <c r="AV12" s="19">
        <v>0</v>
      </c>
      <c r="AW12" s="19">
        <v>0</v>
      </c>
      <c r="AX12" s="19">
        <v>0</v>
      </c>
      <c r="AY12" s="19">
        <v>0</v>
      </c>
      <c r="AZ12" s="19">
        <v>0</v>
      </c>
      <c r="BA12" s="19">
        <v>0</v>
      </c>
      <c r="BB12" s="19">
        <v>0</v>
      </c>
      <c r="BC12" s="19">
        <v>0</v>
      </c>
      <c r="BD12" s="19">
        <v>0</v>
      </c>
      <c r="BE12" s="19">
        <v>0</v>
      </c>
      <c r="BF12" s="19">
        <v>0</v>
      </c>
      <c r="BG12" s="19">
        <v>0</v>
      </c>
      <c r="BH12" s="19">
        <v>0</v>
      </c>
      <c r="BI12" s="19">
        <v>0</v>
      </c>
      <c r="BJ12" s="19">
        <v>1.2831854385804002E-2</v>
      </c>
      <c r="BK12" s="19">
        <v>1.1930902290079263E-2</v>
      </c>
      <c r="BL12" s="19">
        <v>1.099435969204955E-2</v>
      </c>
      <c r="BM12" s="19">
        <v>7.5194725097495136E-3</v>
      </c>
      <c r="BN12" s="19">
        <v>6.0873246487348964E-3</v>
      </c>
      <c r="BO12" s="19">
        <v>3.3909090279904391E-3</v>
      </c>
      <c r="BP12" s="19">
        <v>0</v>
      </c>
      <c r="BQ12" s="19">
        <v>0</v>
      </c>
      <c r="BR12" s="19">
        <v>0</v>
      </c>
      <c r="BS12" s="19">
        <v>0</v>
      </c>
      <c r="BT12" s="19">
        <v>0</v>
      </c>
      <c r="BU12" s="19">
        <v>0</v>
      </c>
      <c r="BV12" s="19">
        <v>0</v>
      </c>
      <c r="BW12" s="19">
        <v>0</v>
      </c>
      <c r="BX12" s="19">
        <v>0</v>
      </c>
      <c r="BY12" s="19">
        <v>0</v>
      </c>
      <c r="BZ12" s="19">
        <v>0</v>
      </c>
      <c r="CA12" s="19">
        <v>0</v>
      </c>
      <c r="CB12" s="19">
        <v>0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>
        <v>1.9210307564631022E-2</v>
      </c>
      <c r="CJ12" s="19">
        <v>2.4025648457269653E-2</v>
      </c>
      <c r="CK12" s="19">
        <v>3.4347369149768714E-2</v>
      </c>
      <c r="CL12" s="19">
        <v>3.0301068073290943E-2</v>
      </c>
      <c r="CM12" s="19">
        <v>3.412634158850078E-2</v>
      </c>
      <c r="CN12" s="19">
        <v>3.0875818206019714E-2</v>
      </c>
      <c r="CO12" s="19">
        <v>3.1138984215063684E-2</v>
      </c>
      <c r="CP12" s="19">
        <v>3.3758466300646023E-2</v>
      </c>
      <c r="CQ12" s="19">
        <v>3.4205527375610112E-2</v>
      </c>
      <c r="CR12" s="19">
        <v>2.7589623630825788E-2</v>
      </c>
      <c r="CS12" s="19">
        <v>3.7087812539567201E-2</v>
      </c>
      <c r="CT12" s="19">
        <v>3.1908443465199027E-2</v>
      </c>
      <c r="CU12" s="19">
        <v>3.3630042958372186E-2</v>
      </c>
      <c r="CV12" s="19">
        <v>1.5546861692558575E-2</v>
      </c>
      <c r="CW12" s="19">
        <v>1.8101222748273207E-2</v>
      </c>
      <c r="CX12" s="19">
        <v>1.6972687347036573E-2</v>
      </c>
      <c r="CY12" s="19">
        <v>0</v>
      </c>
      <c r="CZ12" s="19">
        <v>1.0884770793838209E-4</v>
      </c>
      <c r="DA12" s="19">
        <v>0</v>
      </c>
      <c r="DB12" s="19">
        <v>0</v>
      </c>
      <c r="DC12" s="19">
        <v>0</v>
      </c>
      <c r="DD12" s="19">
        <v>1.0263842508593309E-2</v>
      </c>
      <c r="DE12" s="19">
        <v>0</v>
      </c>
      <c r="DF12" s="19">
        <v>0</v>
      </c>
      <c r="DG12" s="19">
        <v>0</v>
      </c>
      <c r="DH12" s="19">
        <v>0</v>
      </c>
      <c r="DI12" s="19">
        <v>0</v>
      </c>
      <c r="DJ12" s="19">
        <v>0</v>
      </c>
      <c r="DK12" s="19">
        <v>0</v>
      </c>
      <c r="DL12" s="19">
        <v>0</v>
      </c>
      <c r="DM12" s="19">
        <v>0</v>
      </c>
      <c r="DN12" s="19">
        <v>0</v>
      </c>
      <c r="DO12" s="19">
        <v>0</v>
      </c>
      <c r="DP12" s="19">
        <v>0</v>
      </c>
      <c r="DQ12" s="19">
        <v>0</v>
      </c>
      <c r="DR12" s="19">
        <v>0</v>
      </c>
      <c r="DS12" s="19">
        <v>0</v>
      </c>
      <c r="DT12" s="19">
        <v>0</v>
      </c>
      <c r="DU12" s="19">
        <v>0</v>
      </c>
      <c r="DV12" s="19">
        <v>0</v>
      </c>
      <c r="DW12" s="19">
        <v>0</v>
      </c>
      <c r="DX12" s="19">
        <v>0</v>
      </c>
      <c r="DY12" s="19">
        <v>0</v>
      </c>
      <c r="DZ12" s="19">
        <v>0</v>
      </c>
      <c r="EA12" s="19">
        <v>0</v>
      </c>
      <c r="EB12" s="19">
        <v>0</v>
      </c>
      <c r="EC12" s="19">
        <v>0</v>
      </c>
      <c r="ED12" s="19">
        <v>0</v>
      </c>
      <c r="EE12" s="19">
        <v>0</v>
      </c>
      <c r="EF12" s="19">
        <v>0</v>
      </c>
      <c r="EG12" s="19">
        <v>0</v>
      </c>
      <c r="EH12" s="19">
        <v>0</v>
      </c>
      <c r="EI12" s="19">
        <v>0</v>
      </c>
      <c r="EJ12" s="19">
        <v>0</v>
      </c>
      <c r="EK12" s="19">
        <v>0</v>
      </c>
      <c r="EL12" s="19">
        <v>0</v>
      </c>
      <c r="EM12" s="19">
        <v>0</v>
      </c>
      <c r="EN12" s="19">
        <v>0</v>
      </c>
      <c r="EO12" s="19">
        <v>0</v>
      </c>
      <c r="EP12" s="19">
        <v>0</v>
      </c>
      <c r="EQ12" s="19">
        <v>0</v>
      </c>
      <c r="ER12" s="19">
        <v>0</v>
      </c>
      <c r="ES12" s="19">
        <v>0</v>
      </c>
      <c r="ET12" s="19">
        <v>0</v>
      </c>
      <c r="EU12" s="19">
        <v>0</v>
      </c>
      <c r="EV12" s="19">
        <v>0</v>
      </c>
      <c r="EW12" s="19">
        <v>0</v>
      </c>
      <c r="EX12" s="19">
        <v>0</v>
      </c>
      <c r="EY12" s="19">
        <v>0</v>
      </c>
      <c r="EZ12" s="19">
        <v>0</v>
      </c>
      <c r="FA12" s="19">
        <v>0</v>
      </c>
      <c r="FB12" s="19">
        <v>0</v>
      </c>
      <c r="FC12" s="19">
        <v>0</v>
      </c>
      <c r="FD12" s="19">
        <v>0</v>
      </c>
      <c r="FE12" s="19">
        <v>0</v>
      </c>
      <c r="FF12" s="19">
        <v>0</v>
      </c>
      <c r="FG12" s="19">
        <v>0</v>
      </c>
      <c r="FH12" s="19">
        <v>0</v>
      </c>
      <c r="FI12" s="19">
        <v>0</v>
      </c>
      <c r="FJ12" s="19">
        <v>0</v>
      </c>
      <c r="FK12" s="19">
        <v>0</v>
      </c>
      <c r="FL12" s="19">
        <v>0</v>
      </c>
      <c r="FM12" s="19">
        <v>0</v>
      </c>
      <c r="FN12" s="19">
        <v>0</v>
      </c>
      <c r="FO12" s="19">
        <v>0</v>
      </c>
      <c r="FP12" s="19">
        <v>0</v>
      </c>
      <c r="FQ12" s="19">
        <v>0</v>
      </c>
      <c r="FR12" s="19">
        <v>0</v>
      </c>
      <c r="FS12" s="19">
        <v>0</v>
      </c>
      <c r="FT12" s="19">
        <v>0</v>
      </c>
      <c r="FU12" s="19">
        <v>0</v>
      </c>
      <c r="FV12" s="19">
        <v>0</v>
      </c>
      <c r="FW12" s="19">
        <v>0</v>
      </c>
      <c r="FX12" s="19">
        <v>0</v>
      </c>
      <c r="FY12" s="19">
        <v>0</v>
      </c>
    </row>
    <row r="13" spans="1:181" ht="16" x14ac:dyDescent="0.2">
      <c r="A13" s="17" t="e">
        <f>#REF!</f>
        <v>#REF!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19">
        <v>0</v>
      </c>
      <c r="BN13" s="19">
        <v>0</v>
      </c>
      <c r="BO13" s="19">
        <v>0</v>
      </c>
      <c r="BP13" s="19">
        <v>0</v>
      </c>
      <c r="BQ13" s="19">
        <v>0</v>
      </c>
      <c r="BR13" s="19">
        <v>0</v>
      </c>
      <c r="BS13" s="19">
        <v>0</v>
      </c>
      <c r="BT13" s="19">
        <v>0</v>
      </c>
      <c r="BU13" s="19">
        <v>0</v>
      </c>
      <c r="BV13" s="19">
        <v>0</v>
      </c>
      <c r="BW13" s="19">
        <v>0</v>
      </c>
      <c r="BX13" s="19">
        <v>0</v>
      </c>
      <c r="BY13" s="19">
        <v>0</v>
      </c>
      <c r="BZ13" s="19">
        <v>0</v>
      </c>
      <c r="CA13" s="19">
        <v>0</v>
      </c>
      <c r="CB13" s="19">
        <v>0</v>
      </c>
      <c r="CC13" s="19">
        <v>0</v>
      </c>
      <c r="CD13" s="19">
        <v>0</v>
      </c>
      <c r="CE13" s="19">
        <v>0</v>
      </c>
      <c r="CF13" s="19">
        <v>0</v>
      </c>
      <c r="CG13" s="19">
        <v>0</v>
      </c>
      <c r="CH13" s="19">
        <v>0</v>
      </c>
      <c r="CI13" s="19">
        <v>0</v>
      </c>
      <c r="CJ13" s="19">
        <v>0</v>
      </c>
      <c r="CK13" s="19">
        <v>0</v>
      </c>
      <c r="CL13" s="19">
        <v>0</v>
      </c>
      <c r="CM13" s="19">
        <v>0</v>
      </c>
      <c r="CN13" s="19">
        <v>0</v>
      </c>
      <c r="CO13" s="19">
        <v>0</v>
      </c>
      <c r="CP13" s="19">
        <v>0</v>
      </c>
      <c r="CQ13" s="19">
        <v>0</v>
      </c>
      <c r="CR13" s="19">
        <v>0</v>
      </c>
      <c r="CS13" s="19">
        <v>0</v>
      </c>
      <c r="CT13" s="19">
        <v>0</v>
      </c>
      <c r="CU13" s="19">
        <v>0</v>
      </c>
      <c r="CV13" s="19">
        <v>0</v>
      </c>
      <c r="CW13" s="19">
        <v>0</v>
      </c>
      <c r="CX13" s="19">
        <v>0</v>
      </c>
      <c r="CY13" s="19">
        <v>0</v>
      </c>
      <c r="CZ13" s="19">
        <v>0</v>
      </c>
      <c r="DA13" s="19">
        <v>0</v>
      </c>
      <c r="DB13" s="19">
        <v>0</v>
      </c>
      <c r="DC13" s="19">
        <v>0</v>
      </c>
      <c r="DD13" s="19">
        <v>0</v>
      </c>
      <c r="DE13" s="19">
        <v>0</v>
      </c>
      <c r="DF13" s="19">
        <v>0</v>
      </c>
      <c r="DG13" s="19">
        <v>0</v>
      </c>
      <c r="DH13" s="19">
        <v>0</v>
      </c>
      <c r="DI13" s="19">
        <v>0</v>
      </c>
      <c r="DJ13" s="19">
        <v>0</v>
      </c>
      <c r="DK13" s="19">
        <v>3.8696150297126771E-5</v>
      </c>
      <c r="DL13" s="19">
        <v>0</v>
      </c>
      <c r="DM13" s="19">
        <v>1.731723531448039E-2</v>
      </c>
      <c r="DN13" s="19">
        <v>1.2416982784389154E-2</v>
      </c>
      <c r="DO13" s="19">
        <v>0</v>
      </c>
      <c r="DP13" s="19">
        <v>4.7984533325221339E-2</v>
      </c>
      <c r="DQ13" s="19">
        <v>4.7290909698076269E-2</v>
      </c>
      <c r="DR13" s="19">
        <v>5.4764739240106865E-2</v>
      </c>
      <c r="DS13" s="19">
        <v>4.6950895092751285E-2</v>
      </c>
      <c r="DT13" s="19">
        <v>4.8248192213673831E-2</v>
      </c>
      <c r="DU13" s="19">
        <v>0</v>
      </c>
      <c r="DV13" s="19">
        <v>0</v>
      </c>
      <c r="DW13" s="19">
        <v>0</v>
      </c>
      <c r="DX13" s="19">
        <v>0</v>
      </c>
      <c r="DY13" s="19">
        <v>0</v>
      </c>
      <c r="DZ13" s="19">
        <v>0</v>
      </c>
      <c r="EA13" s="19">
        <v>0</v>
      </c>
      <c r="EB13" s="19">
        <v>0</v>
      </c>
      <c r="EC13" s="19">
        <v>0</v>
      </c>
      <c r="ED13" s="19">
        <v>0</v>
      </c>
      <c r="EE13" s="19">
        <v>0</v>
      </c>
      <c r="EF13" s="19">
        <v>0</v>
      </c>
      <c r="EG13" s="19">
        <v>0</v>
      </c>
      <c r="EH13" s="19">
        <v>0</v>
      </c>
      <c r="EI13" s="19">
        <v>0</v>
      </c>
      <c r="EJ13" s="19">
        <v>0</v>
      </c>
      <c r="EK13" s="19">
        <v>0</v>
      </c>
      <c r="EL13" s="19">
        <v>0</v>
      </c>
      <c r="EM13" s="19">
        <v>0</v>
      </c>
      <c r="EN13" s="19">
        <v>0</v>
      </c>
      <c r="EO13" s="19">
        <v>0</v>
      </c>
      <c r="EP13" s="19">
        <v>0</v>
      </c>
      <c r="EQ13" s="19">
        <v>0</v>
      </c>
      <c r="ER13" s="19">
        <v>0</v>
      </c>
      <c r="ES13" s="19">
        <v>0</v>
      </c>
      <c r="ET13" s="19">
        <v>0</v>
      </c>
      <c r="EU13" s="19">
        <v>0</v>
      </c>
      <c r="EV13" s="19">
        <v>0</v>
      </c>
      <c r="EW13" s="19">
        <v>0</v>
      </c>
      <c r="EX13" s="19">
        <v>0</v>
      </c>
      <c r="EY13" s="19">
        <v>0</v>
      </c>
      <c r="EZ13" s="19">
        <v>0</v>
      </c>
      <c r="FA13" s="19">
        <v>0</v>
      </c>
      <c r="FB13" s="19">
        <v>0</v>
      </c>
      <c r="FC13" s="19">
        <v>0</v>
      </c>
      <c r="FD13" s="19">
        <v>0</v>
      </c>
      <c r="FE13" s="19">
        <v>0</v>
      </c>
      <c r="FF13" s="19">
        <v>0</v>
      </c>
      <c r="FG13" s="19">
        <v>0</v>
      </c>
      <c r="FH13" s="19">
        <v>0</v>
      </c>
      <c r="FI13" s="19">
        <v>0</v>
      </c>
      <c r="FJ13" s="19">
        <v>0</v>
      </c>
      <c r="FK13" s="19">
        <v>0</v>
      </c>
      <c r="FL13" s="19">
        <v>0</v>
      </c>
      <c r="FM13" s="19">
        <v>0</v>
      </c>
      <c r="FN13" s="19">
        <v>0</v>
      </c>
      <c r="FO13" s="19">
        <v>0</v>
      </c>
      <c r="FP13" s="19">
        <v>0</v>
      </c>
      <c r="FQ13" s="19">
        <v>0</v>
      </c>
      <c r="FR13" s="19">
        <v>0</v>
      </c>
      <c r="FS13" s="19">
        <v>0</v>
      </c>
      <c r="FT13" s="19">
        <v>0</v>
      </c>
      <c r="FU13" s="19">
        <v>0</v>
      </c>
      <c r="FV13" s="19">
        <v>0</v>
      </c>
      <c r="FW13" s="19">
        <v>0</v>
      </c>
      <c r="FX13" s="19">
        <v>0</v>
      </c>
      <c r="FY13" s="19">
        <v>0</v>
      </c>
    </row>
    <row r="14" spans="1:181" ht="16" x14ac:dyDescent="0.2">
      <c r="A14" s="17" t="e">
        <f>#REF!</f>
        <v>#REF!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3.8481199525287326E-4</v>
      </c>
      <c r="L14" s="19">
        <v>1.6527225097388986E-3</v>
      </c>
      <c r="M14" s="19">
        <v>1.0974946009765618E-3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I14" s="19">
        <v>0</v>
      </c>
      <c r="BJ14" s="19">
        <v>6.4026244782016436E-4</v>
      </c>
      <c r="BK14" s="19">
        <v>0</v>
      </c>
      <c r="BL14" s="19">
        <v>1.8619395163833332E-3</v>
      </c>
      <c r="BM14" s="19">
        <v>0</v>
      </c>
      <c r="BN14" s="19">
        <v>0</v>
      </c>
      <c r="BO14" s="19">
        <v>0</v>
      </c>
      <c r="BP14" s="19">
        <v>0</v>
      </c>
      <c r="BQ14" s="19">
        <v>0</v>
      </c>
      <c r="BR14" s="19">
        <v>0</v>
      </c>
      <c r="BS14" s="19">
        <v>0</v>
      </c>
      <c r="BT14" s="19">
        <v>0</v>
      </c>
      <c r="BU14" s="19">
        <v>0</v>
      </c>
      <c r="BV14" s="19">
        <v>0</v>
      </c>
      <c r="BW14" s="19">
        <v>0</v>
      </c>
      <c r="BX14" s="19">
        <v>2.5175531366679122E-2</v>
      </c>
      <c r="BY14" s="19">
        <v>1.8637724514980501E-2</v>
      </c>
      <c r="BZ14" s="19">
        <v>1.9823936815712206E-2</v>
      </c>
      <c r="CA14" s="19">
        <v>1.6687802431431219E-2</v>
      </c>
      <c r="CB14" s="19">
        <v>1.3060933258793489E-2</v>
      </c>
      <c r="CC14" s="19">
        <v>1.6024184892362073E-2</v>
      </c>
      <c r="CD14" s="19">
        <v>2.2967276804074024E-2</v>
      </c>
      <c r="CE14" s="19">
        <v>3.190661505413761E-2</v>
      </c>
      <c r="CF14" s="19">
        <v>3.0726098437808217E-2</v>
      </c>
      <c r="CG14" s="19">
        <v>2.6344276693776782E-2</v>
      </c>
      <c r="CH14" s="19">
        <v>2.6032012770021998E-2</v>
      </c>
      <c r="CI14" s="19">
        <v>1.863457169551869E-2</v>
      </c>
      <c r="CJ14" s="19">
        <v>1.9283985168793785E-2</v>
      </c>
      <c r="CK14" s="19">
        <v>2.1626046285143481E-2</v>
      </c>
      <c r="CL14" s="19">
        <v>2.2954780343949238E-2</v>
      </c>
      <c r="CM14" s="19">
        <v>2.2239727014628938E-2</v>
      </c>
      <c r="CN14" s="19">
        <v>2.4298908253424685E-2</v>
      </c>
      <c r="CO14" s="19">
        <v>3.1222439247430345E-2</v>
      </c>
      <c r="CP14" s="19">
        <v>3.2478952605068508E-2</v>
      </c>
      <c r="CQ14" s="19">
        <v>2.3555723452819668E-2</v>
      </c>
      <c r="CR14" s="19">
        <v>3.1815205489432515E-2</v>
      </c>
      <c r="CS14" s="19">
        <v>2.2983485273843914E-2</v>
      </c>
      <c r="CT14" s="19">
        <v>2.8070113451711176E-2</v>
      </c>
      <c r="CU14" s="19">
        <v>2.9759813172824383E-2</v>
      </c>
      <c r="CV14" s="19">
        <v>4.3705833059218796E-2</v>
      </c>
      <c r="CW14" s="19">
        <v>4.1770140454978635E-2</v>
      </c>
      <c r="CX14" s="19">
        <v>4.0591394742313089E-2</v>
      </c>
      <c r="CY14" s="19">
        <v>6.5116355810202295E-2</v>
      </c>
      <c r="CZ14" s="19">
        <v>5.7764984820642691E-2</v>
      </c>
      <c r="DA14" s="19">
        <v>4.336552434904507E-3</v>
      </c>
      <c r="DB14" s="19">
        <v>4.6641354976014703E-3</v>
      </c>
      <c r="DC14" s="19">
        <v>0</v>
      </c>
      <c r="DD14" s="19">
        <v>3.0929912244957562E-2</v>
      </c>
      <c r="DE14" s="19">
        <v>0</v>
      </c>
      <c r="DF14" s="19">
        <v>0</v>
      </c>
      <c r="DG14" s="19">
        <v>0</v>
      </c>
      <c r="DH14" s="19">
        <v>0</v>
      </c>
      <c r="DI14" s="19">
        <v>0</v>
      </c>
      <c r="DJ14" s="19">
        <v>0</v>
      </c>
      <c r="DK14" s="19">
        <v>0</v>
      </c>
      <c r="DL14" s="19">
        <v>0</v>
      </c>
      <c r="DM14" s="19">
        <v>0</v>
      </c>
      <c r="DN14" s="19">
        <v>0</v>
      </c>
      <c r="DO14" s="19">
        <v>0</v>
      </c>
      <c r="DP14" s="19">
        <v>0</v>
      </c>
      <c r="DQ14" s="19">
        <v>0</v>
      </c>
      <c r="DR14" s="19">
        <v>0</v>
      </c>
      <c r="DS14" s="19">
        <v>0</v>
      </c>
      <c r="DT14" s="19">
        <v>0</v>
      </c>
      <c r="DU14" s="19">
        <v>0</v>
      </c>
      <c r="DV14" s="19">
        <v>0</v>
      </c>
      <c r="DW14" s="19">
        <v>0</v>
      </c>
      <c r="DX14" s="19">
        <v>0</v>
      </c>
      <c r="DY14" s="19">
        <v>0</v>
      </c>
      <c r="DZ14" s="19">
        <v>0</v>
      </c>
      <c r="EA14" s="19">
        <v>0</v>
      </c>
      <c r="EB14" s="19">
        <v>0</v>
      </c>
      <c r="EC14" s="19">
        <v>0</v>
      </c>
      <c r="ED14" s="19">
        <v>0</v>
      </c>
      <c r="EE14" s="19">
        <v>0</v>
      </c>
      <c r="EF14" s="19">
        <v>0</v>
      </c>
      <c r="EG14" s="19">
        <v>0</v>
      </c>
      <c r="EH14" s="19">
        <v>0</v>
      </c>
      <c r="EI14" s="19">
        <v>0</v>
      </c>
      <c r="EJ14" s="19">
        <v>0</v>
      </c>
      <c r="EK14" s="19">
        <v>0</v>
      </c>
      <c r="EL14" s="19">
        <v>0</v>
      </c>
      <c r="EM14" s="19">
        <v>0</v>
      </c>
      <c r="EN14" s="19">
        <v>0</v>
      </c>
      <c r="EO14" s="19">
        <v>0</v>
      </c>
      <c r="EP14" s="19">
        <v>0</v>
      </c>
      <c r="EQ14" s="19">
        <v>0</v>
      </c>
      <c r="ER14" s="19">
        <v>0</v>
      </c>
      <c r="ES14" s="19">
        <v>0</v>
      </c>
      <c r="ET14" s="19">
        <v>0</v>
      </c>
      <c r="EU14" s="19">
        <v>0</v>
      </c>
      <c r="EV14" s="19">
        <v>0</v>
      </c>
      <c r="EW14" s="19">
        <v>0</v>
      </c>
      <c r="EX14" s="19">
        <v>0</v>
      </c>
      <c r="EY14" s="19">
        <v>0</v>
      </c>
      <c r="EZ14" s="19">
        <v>0</v>
      </c>
      <c r="FA14" s="19">
        <v>0</v>
      </c>
      <c r="FB14" s="19">
        <v>0</v>
      </c>
      <c r="FC14" s="19">
        <v>0</v>
      </c>
      <c r="FD14" s="19">
        <v>0</v>
      </c>
      <c r="FE14" s="19">
        <v>0</v>
      </c>
      <c r="FF14" s="19">
        <v>0</v>
      </c>
      <c r="FG14" s="19">
        <v>0</v>
      </c>
      <c r="FH14" s="19">
        <v>0</v>
      </c>
      <c r="FI14" s="19">
        <v>0</v>
      </c>
      <c r="FJ14" s="19">
        <v>0</v>
      </c>
      <c r="FK14" s="19">
        <v>0</v>
      </c>
      <c r="FL14" s="19">
        <v>0</v>
      </c>
      <c r="FM14" s="19">
        <v>0</v>
      </c>
      <c r="FN14" s="19">
        <v>0</v>
      </c>
      <c r="FO14" s="19">
        <v>0</v>
      </c>
      <c r="FP14" s="19">
        <v>0</v>
      </c>
      <c r="FQ14" s="19">
        <v>0</v>
      </c>
      <c r="FR14" s="19">
        <v>0</v>
      </c>
      <c r="FS14" s="19">
        <v>0</v>
      </c>
      <c r="FT14" s="19">
        <v>0</v>
      </c>
      <c r="FU14" s="19">
        <v>0</v>
      </c>
      <c r="FV14" s="19">
        <v>0</v>
      </c>
      <c r="FW14" s="19">
        <v>0</v>
      </c>
      <c r="FX14" s="19">
        <v>0</v>
      </c>
      <c r="FY14" s="19">
        <v>0</v>
      </c>
    </row>
    <row r="15" spans="1:181" ht="14.25" customHeight="1" x14ac:dyDescent="0.2">
      <c r="A15" s="17" t="e">
        <f>#REF!</f>
        <v>#REF!</v>
      </c>
      <c r="B15" s="19">
        <v>2.2784231030685612E-2</v>
      </c>
      <c r="C15" s="19">
        <v>1.3669834015920446E-2</v>
      </c>
      <c r="D15" s="19">
        <v>2.1986987628416078E-3</v>
      </c>
      <c r="E15" s="19">
        <v>2.1272228637482113E-2</v>
      </c>
      <c r="F15" s="19">
        <v>1.4733850444438925E-2</v>
      </c>
      <c r="G15" s="19">
        <v>1.3352094529363775E-2</v>
      </c>
      <c r="H15" s="19">
        <v>1.1883233118510698E-2</v>
      </c>
      <c r="I15" s="19">
        <v>1.2280486756186986E-2</v>
      </c>
      <c r="J15" s="19">
        <v>1.29024970173064E-2</v>
      </c>
      <c r="K15" s="19">
        <v>8.9680860894926964E-3</v>
      </c>
      <c r="L15" s="19">
        <v>5.9772075052634595E-3</v>
      </c>
      <c r="M15" s="19">
        <v>4.8668469383841154E-3</v>
      </c>
      <c r="N15" s="19">
        <v>8.5843820481389249E-3</v>
      </c>
      <c r="O15" s="19">
        <v>1.2034111177631753E-2</v>
      </c>
      <c r="P15" s="19">
        <v>6.0360654935850896E-3</v>
      </c>
      <c r="Q15" s="19">
        <v>7.2308760863274372E-3</v>
      </c>
      <c r="R15" s="19">
        <v>2.7361393531942363E-3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1.9353881574039878E-3</v>
      </c>
      <c r="AJ15" s="19">
        <v>2.4809826301247779E-3</v>
      </c>
      <c r="AK15" s="19">
        <v>1.8526545030916591E-3</v>
      </c>
      <c r="AL15" s="19">
        <v>6.2348950356739818E-3</v>
      </c>
      <c r="AM15" s="19">
        <v>5.6300725410088868E-3</v>
      </c>
      <c r="AN15" s="19">
        <v>6.2240785799141697E-3</v>
      </c>
      <c r="AO15" s="19">
        <v>0</v>
      </c>
      <c r="AP15" s="19">
        <v>0</v>
      </c>
      <c r="AQ15" s="19">
        <v>8.2309017352721631E-4</v>
      </c>
      <c r="AR15" s="19">
        <v>1.3815610084481668E-3</v>
      </c>
      <c r="AS15" s="19">
        <v>5.757261769211112E-3</v>
      </c>
      <c r="AT15" s="19">
        <v>8.0279484950017931E-3</v>
      </c>
      <c r="AU15" s="19">
        <v>9.3616602792262645E-3</v>
      </c>
      <c r="AV15" s="19">
        <v>1.2489192377681728E-2</v>
      </c>
      <c r="AW15" s="19">
        <v>1.2875585218398981E-2</v>
      </c>
      <c r="AX15" s="19">
        <v>1.2988337622175992E-2</v>
      </c>
      <c r="AY15" s="19">
        <v>1.3880755726118563E-2</v>
      </c>
      <c r="AZ15" s="19">
        <v>1.160496836849428E-2</v>
      </c>
      <c r="BA15" s="19">
        <v>1.4209068387375423E-2</v>
      </c>
      <c r="BB15" s="19">
        <v>1.8889726791263602E-2</v>
      </c>
      <c r="BC15" s="19">
        <v>2.3341717179952249E-2</v>
      </c>
      <c r="BD15" s="19">
        <v>2.4456150492672659E-2</v>
      </c>
      <c r="BE15" s="19">
        <v>5.3297774796726115E-3</v>
      </c>
      <c r="BF15" s="19">
        <v>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5.5859177774899293E-3</v>
      </c>
      <c r="BM15" s="19">
        <v>0</v>
      </c>
      <c r="BN15" s="19">
        <v>4.4433771617951069E-3</v>
      </c>
      <c r="BO15" s="19">
        <v>8.0170349395041127E-3</v>
      </c>
      <c r="BP15" s="19">
        <v>1.2654915137080192E-2</v>
      </c>
      <c r="BQ15" s="19">
        <v>1.6467578291503342E-2</v>
      </c>
      <c r="BR15" s="19">
        <v>1.5125095266431535E-2</v>
      </c>
      <c r="BS15" s="19">
        <v>1.5504201354805382E-2</v>
      </c>
      <c r="BT15" s="19">
        <v>1.5037328386306368E-2</v>
      </c>
      <c r="BU15" s="19">
        <v>1.1038107086998962E-2</v>
      </c>
      <c r="BV15" s="19">
        <v>7.4793778524380929E-3</v>
      </c>
      <c r="BW15" s="19">
        <v>0</v>
      </c>
      <c r="BX15" s="19">
        <v>0</v>
      </c>
      <c r="BY15" s="19">
        <v>0</v>
      </c>
      <c r="BZ15" s="19">
        <v>0</v>
      </c>
      <c r="CA15" s="19">
        <v>5.075517882054491E-5</v>
      </c>
      <c r="CB15" s="19">
        <v>5.5882359433924575E-3</v>
      </c>
      <c r="CC15" s="19">
        <v>6.936023084686576E-4</v>
      </c>
      <c r="CD15" s="19">
        <v>1.5760908017364949E-3</v>
      </c>
      <c r="CE15" s="19">
        <v>1.486126182243423E-3</v>
      </c>
      <c r="CF15" s="19">
        <v>3.7621534883839568E-3</v>
      </c>
      <c r="CG15" s="19">
        <v>7.0116932152230063E-3</v>
      </c>
      <c r="CH15" s="19">
        <v>8.693428340500747E-3</v>
      </c>
      <c r="CI15" s="19">
        <v>2.6048093602144665E-2</v>
      </c>
      <c r="CJ15" s="19">
        <v>2.0174953274865386E-2</v>
      </c>
      <c r="CK15" s="19">
        <v>1.1901591892971103E-2</v>
      </c>
      <c r="CL15" s="19">
        <v>1.5830351373978101E-2</v>
      </c>
      <c r="CM15" s="19">
        <v>1.3196410837138279E-2</v>
      </c>
      <c r="CN15" s="19">
        <v>1.2910449219850227E-2</v>
      </c>
      <c r="CO15" s="19">
        <v>2.6270843163173109E-3</v>
      </c>
      <c r="CP15" s="19">
        <v>1.1754488412320549E-3</v>
      </c>
      <c r="CQ15" s="19">
        <v>2.3559327929942855E-3</v>
      </c>
      <c r="CR15" s="19">
        <v>3.0425935138920596E-4</v>
      </c>
      <c r="CS15" s="19">
        <v>4.3548501645357491E-3</v>
      </c>
      <c r="CT15" s="19">
        <v>3.0000256825451154E-3</v>
      </c>
      <c r="CU15" s="19">
        <v>0</v>
      </c>
      <c r="CV15" s="19">
        <v>0</v>
      </c>
      <c r="CW15" s="19">
        <v>0</v>
      </c>
      <c r="CX15" s="19">
        <v>0</v>
      </c>
      <c r="CY15" s="19">
        <v>0</v>
      </c>
      <c r="CZ15" s="19">
        <v>6.2054526982117872E-3</v>
      </c>
      <c r="DA15" s="19">
        <v>5.7764064736922305E-2</v>
      </c>
      <c r="DB15" s="19">
        <v>5.4942345830208739E-2</v>
      </c>
      <c r="DC15" s="19">
        <v>5.1992837596486811E-2</v>
      </c>
      <c r="DD15" s="19">
        <v>1.5335238062022572E-2</v>
      </c>
      <c r="DE15" s="19">
        <v>6.545567390874335E-2</v>
      </c>
      <c r="DF15" s="19">
        <v>6.6712119113039259E-2</v>
      </c>
      <c r="DG15" s="19">
        <v>4.3099424594300585E-2</v>
      </c>
      <c r="DH15" s="19">
        <v>4.5836394945448826E-2</v>
      </c>
      <c r="DI15" s="19">
        <v>4.158945760184405E-2</v>
      </c>
      <c r="DJ15" s="19">
        <v>2.7583768968291685E-2</v>
      </c>
      <c r="DK15" s="19">
        <v>3.2233257491098934E-2</v>
      </c>
      <c r="DL15" s="19">
        <v>2.9782904097002107E-2</v>
      </c>
      <c r="DM15" s="19">
        <v>2.0207455378024623E-3</v>
      </c>
      <c r="DN15" s="19">
        <v>0</v>
      </c>
      <c r="DO15" s="19">
        <v>0</v>
      </c>
      <c r="DP15" s="19">
        <v>0</v>
      </c>
      <c r="DQ15" s="19">
        <v>0</v>
      </c>
      <c r="DR15" s="19">
        <v>0</v>
      </c>
      <c r="DS15" s="19">
        <v>0</v>
      </c>
      <c r="DT15" s="19">
        <v>0</v>
      </c>
      <c r="DU15" s="19">
        <v>0</v>
      </c>
      <c r="DV15" s="19">
        <v>0</v>
      </c>
      <c r="DW15" s="19">
        <v>0</v>
      </c>
      <c r="DX15" s="19">
        <v>0</v>
      </c>
      <c r="DY15" s="19">
        <v>0</v>
      </c>
      <c r="DZ15" s="19">
        <v>0</v>
      </c>
      <c r="EA15" s="19">
        <v>0</v>
      </c>
      <c r="EB15" s="19">
        <v>0</v>
      </c>
      <c r="EC15" s="19">
        <v>0</v>
      </c>
      <c r="ED15" s="19">
        <v>0</v>
      </c>
      <c r="EE15" s="19">
        <v>0</v>
      </c>
      <c r="EF15" s="19">
        <v>0</v>
      </c>
      <c r="EG15" s="19">
        <v>0</v>
      </c>
      <c r="EH15" s="19">
        <v>0</v>
      </c>
      <c r="EI15" s="19">
        <v>0</v>
      </c>
      <c r="EJ15" s="19">
        <v>0</v>
      </c>
      <c r="EK15" s="19">
        <v>0</v>
      </c>
      <c r="EL15" s="19">
        <v>0</v>
      </c>
      <c r="EM15" s="19">
        <v>0</v>
      </c>
      <c r="EN15" s="19">
        <v>0</v>
      </c>
      <c r="EO15" s="19">
        <v>0</v>
      </c>
      <c r="EP15" s="19">
        <v>0</v>
      </c>
      <c r="EQ15" s="19">
        <v>0</v>
      </c>
      <c r="ER15" s="19">
        <v>0</v>
      </c>
      <c r="ES15" s="19">
        <v>0</v>
      </c>
      <c r="ET15" s="19">
        <v>0</v>
      </c>
      <c r="EU15" s="19">
        <v>0</v>
      </c>
      <c r="EV15" s="19">
        <v>0</v>
      </c>
      <c r="EW15" s="19">
        <v>0</v>
      </c>
      <c r="EX15" s="19">
        <v>0</v>
      </c>
      <c r="EY15" s="19">
        <v>0</v>
      </c>
      <c r="EZ15" s="19">
        <v>0</v>
      </c>
      <c r="FA15" s="19">
        <v>0</v>
      </c>
      <c r="FB15" s="19">
        <v>0</v>
      </c>
      <c r="FC15" s="19">
        <v>0</v>
      </c>
      <c r="FD15" s="19">
        <v>0</v>
      </c>
      <c r="FE15" s="19">
        <v>0</v>
      </c>
      <c r="FF15" s="19">
        <v>0</v>
      </c>
      <c r="FG15" s="19">
        <v>0</v>
      </c>
      <c r="FH15" s="19">
        <v>0</v>
      </c>
      <c r="FI15" s="19">
        <v>0</v>
      </c>
      <c r="FJ15" s="19">
        <v>0</v>
      </c>
      <c r="FK15" s="19">
        <v>0</v>
      </c>
      <c r="FL15" s="19">
        <v>0</v>
      </c>
      <c r="FM15" s="19">
        <v>0</v>
      </c>
      <c r="FN15" s="19">
        <v>0</v>
      </c>
      <c r="FO15" s="19">
        <v>0</v>
      </c>
      <c r="FP15" s="19">
        <v>0</v>
      </c>
      <c r="FQ15" s="19">
        <v>0</v>
      </c>
      <c r="FR15" s="19">
        <v>0</v>
      </c>
      <c r="FS15" s="19">
        <v>0</v>
      </c>
      <c r="FT15" s="19">
        <v>0</v>
      </c>
      <c r="FU15" s="19">
        <v>0</v>
      </c>
      <c r="FV15" s="19">
        <v>0</v>
      </c>
      <c r="FW15" s="19">
        <v>0</v>
      </c>
      <c r="FX15" s="19">
        <v>0</v>
      </c>
      <c r="FY15" s="19">
        <v>0</v>
      </c>
    </row>
    <row r="16" spans="1:181" ht="16" x14ac:dyDescent="0.2">
      <c r="A16" s="17" t="e">
        <f>#REF!</f>
        <v>#REF!</v>
      </c>
      <c r="B16" s="19">
        <v>1.3858621571394314E-2</v>
      </c>
      <c r="C16" s="19">
        <v>1.6039272177739247E-2</v>
      </c>
      <c r="D16" s="19">
        <v>1.9991918014104448E-2</v>
      </c>
      <c r="E16" s="19">
        <v>8.3103104051237865E-3</v>
      </c>
      <c r="F16" s="19">
        <v>6.4621764257361356E-3</v>
      </c>
      <c r="G16" s="19">
        <v>6.6769788942877351E-3</v>
      </c>
      <c r="H16" s="19">
        <v>5.6097419006628227E-3</v>
      </c>
      <c r="I16" s="19">
        <v>7.1588817849577062E-3</v>
      </c>
      <c r="J16" s="19">
        <v>6.4923095858076879E-3</v>
      </c>
      <c r="K16" s="19">
        <v>6.2976670163735794E-3</v>
      </c>
      <c r="L16" s="19">
        <v>6.0461304051277007E-3</v>
      </c>
      <c r="M16" s="19">
        <v>5.5284375285747488E-3</v>
      </c>
      <c r="N16" s="19">
        <v>4.2247382226761523E-3</v>
      </c>
      <c r="O16" s="19">
        <v>2.9064751166939236E-3</v>
      </c>
      <c r="P16" s="19">
        <v>0</v>
      </c>
      <c r="Q16" s="19">
        <v>1.343372424360079E-3</v>
      </c>
      <c r="R16" s="19">
        <v>5.0823852103198371E-3</v>
      </c>
      <c r="S16" s="19">
        <v>8.4120325540763211E-3</v>
      </c>
      <c r="T16" s="19">
        <v>7.948949424240315E-3</v>
      </c>
      <c r="U16" s="19">
        <v>7.6594392695978385E-3</v>
      </c>
      <c r="V16" s="19">
        <v>8.1327896360859162E-3</v>
      </c>
      <c r="W16" s="19">
        <v>6.5130372027664704E-3</v>
      </c>
      <c r="X16" s="19">
        <v>6.5318719339981044E-3</v>
      </c>
      <c r="Y16" s="19">
        <v>8.6682363196443173E-3</v>
      </c>
      <c r="Z16" s="19">
        <v>8.8483250013443385E-3</v>
      </c>
      <c r="AA16" s="19">
        <v>1.1136198287422549E-2</v>
      </c>
      <c r="AB16" s="19">
        <v>1.0378592557250975E-2</v>
      </c>
      <c r="AC16" s="19">
        <v>1.1760224150764784E-2</v>
      </c>
      <c r="AD16" s="19">
        <v>1.1728075490348979E-2</v>
      </c>
      <c r="AE16" s="19">
        <v>1.1350648459513325E-2</v>
      </c>
      <c r="AF16" s="19">
        <v>1.1546353638421361E-2</v>
      </c>
      <c r="AG16" s="19">
        <v>8.8458493513512409E-3</v>
      </c>
      <c r="AH16" s="19">
        <v>8.5576063067585827E-3</v>
      </c>
      <c r="AI16" s="19">
        <v>1.1651284120935418E-2</v>
      </c>
      <c r="AJ16" s="19">
        <v>1.127585605553417E-2</v>
      </c>
      <c r="AK16" s="19">
        <v>1.1509060924119699E-2</v>
      </c>
      <c r="AL16" s="19">
        <v>8.1270631175485199E-3</v>
      </c>
      <c r="AM16" s="19">
        <v>9.1653749381391987E-3</v>
      </c>
      <c r="AN16" s="19">
        <v>9.4134123188883475E-3</v>
      </c>
      <c r="AO16" s="19">
        <v>1.0279504646834173E-2</v>
      </c>
      <c r="AP16" s="19">
        <v>1.0845312108828343E-2</v>
      </c>
      <c r="AQ16" s="19">
        <v>1.0399124517754581E-2</v>
      </c>
      <c r="AR16" s="19">
        <v>1.1592004461077469E-2</v>
      </c>
      <c r="AS16" s="19">
        <v>1.0811603954503653E-2</v>
      </c>
      <c r="AT16" s="19">
        <v>8.9581124439402932E-3</v>
      </c>
      <c r="AU16" s="19">
        <v>8.6372008655101907E-3</v>
      </c>
      <c r="AV16" s="19">
        <v>7.5052786895182296E-3</v>
      </c>
      <c r="AW16" s="19">
        <v>6.2891166199907202E-3</v>
      </c>
      <c r="AX16" s="19">
        <v>5.8416412075126519E-3</v>
      </c>
      <c r="AY16" s="19">
        <v>4.6343083360148073E-3</v>
      </c>
      <c r="AZ16" s="19">
        <v>5.3071568191338436E-3</v>
      </c>
      <c r="BA16" s="19">
        <v>6.9354303471456085E-3</v>
      </c>
      <c r="BB16" s="19">
        <v>6.4469653199783501E-3</v>
      </c>
      <c r="BC16" s="19">
        <v>1.0047252423251146E-2</v>
      </c>
      <c r="BD16" s="19">
        <v>8.5025876803203563E-3</v>
      </c>
      <c r="BE16" s="19">
        <v>2.2407461545104097E-2</v>
      </c>
      <c r="BF16" s="19">
        <v>1.6543556347460721E-2</v>
      </c>
      <c r="BG16" s="19">
        <v>1.7132509469097272E-2</v>
      </c>
      <c r="BH16" s="19">
        <v>2.3618076568966074E-2</v>
      </c>
      <c r="BI16" s="19">
        <v>2.1972874072631449E-2</v>
      </c>
      <c r="BJ16" s="19">
        <v>1.7223990644532956E-2</v>
      </c>
      <c r="BK16" s="19">
        <v>1.9223528830014994E-2</v>
      </c>
      <c r="BL16" s="19">
        <v>1.6248913229899707E-2</v>
      </c>
      <c r="BM16" s="19">
        <v>2.6622044707351612E-2</v>
      </c>
      <c r="BN16" s="19">
        <v>3.3478991533204105E-2</v>
      </c>
      <c r="BO16" s="19">
        <v>3.3418709504816416E-2</v>
      </c>
      <c r="BP16" s="19">
        <v>3.8387020578871563E-2</v>
      </c>
      <c r="BQ16" s="19">
        <v>3.3495176003560195E-2</v>
      </c>
      <c r="BR16" s="19">
        <v>3.4713406204558449E-2</v>
      </c>
      <c r="BS16" s="19">
        <v>3.51954396007177E-2</v>
      </c>
      <c r="BT16" s="19">
        <v>3.520188515948252E-2</v>
      </c>
      <c r="BU16" s="19">
        <v>3.6020451597034972E-2</v>
      </c>
      <c r="BV16" s="19">
        <v>4.0695672430460392E-2</v>
      </c>
      <c r="BW16" s="19">
        <v>4.6963474452662642E-2</v>
      </c>
      <c r="BX16" s="19">
        <v>2.4199049510292749E-2</v>
      </c>
      <c r="BY16" s="19">
        <v>3.1143566116171535E-2</v>
      </c>
      <c r="BZ16" s="19">
        <v>3.0005497785018639E-2</v>
      </c>
      <c r="CA16" s="19">
        <v>3.1451699836090835E-2</v>
      </c>
      <c r="CB16" s="19">
        <v>3.3169315948594708E-2</v>
      </c>
      <c r="CC16" s="19">
        <v>3.2688123708165095E-2</v>
      </c>
      <c r="CD16" s="19">
        <v>2.1636831450915637E-2</v>
      </c>
      <c r="CE16" s="19">
        <v>1.8810385832174856E-2</v>
      </c>
      <c r="CF16" s="19">
        <v>2.0249141831049363E-2</v>
      </c>
      <c r="CG16" s="19">
        <v>1.9380995358392262E-2</v>
      </c>
      <c r="CH16" s="19">
        <v>1.8321499611488649E-2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0</v>
      </c>
      <c r="CR16" s="19">
        <v>0</v>
      </c>
      <c r="CS16" s="19">
        <v>0</v>
      </c>
      <c r="CT16" s="19">
        <v>0</v>
      </c>
      <c r="CU16" s="19">
        <v>0</v>
      </c>
      <c r="CV16" s="19">
        <v>0</v>
      </c>
      <c r="CW16" s="19">
        <v>0</v>
      </c>
      <c r="CX16" s="19">
        <v>0</v>
      </c>
      <c r="CY16" s="19">
        <v>0</v>
      </c>
      <c r="CZ16" s="19">
        <v>0</v>
      </c>
      <c r="DA16" s="19">
        <v>0</v>
      </c>
      <c r="DB16" s="19">
        <v>0</v>
      </c>
      <c r="DC16" s="19">
        <v>0</v>
      </c>
      <c r="DD16" s="19">
        <v>0</v>
      </c>
      <c r="DE16" s="19">
        <v>0</v>
      </c>
      <c r="DF16" s="19">
        <v>0</v>
      </c>
      <c r="DG16" s="19">
        <v>0</v>
      </c>
      <c r="DH16" s="19">
        <v>0</v>
      </c>
      <c r="DI16" s="19">
        <v>0</v>
      </c>
      <c r="DJ16" s="19">
        <v>0</v>
      </c>
      <c r="DK16" s="19">
        <v>0</v>
      </c>
      <c r="DL16" s="19">
        <v>0</v>
      </c>
      <c r="DM16" s="19">
        <v>0</v>
      </c>
      <c r="DN16" s="19">
        <v>0</v>
      </c>
      <c r="DO16" s="19">
        <v>0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19">
        <v>0</v>
      </c>
      <c r="DV16" s="19">
        <v>0</v>
      </c>
      <c r="DW16" s="19">
        <v>0</v>
      </c>
      <c r="DX16" s="19">
        <v>0</v>
      </c>
      <c r="DY16" s="19">
        <v>0</v>
      </c>
      <c r="DZ16" s="19">
        <v>0</v>
      </c>
      <c r="EA16" s="19">
        <v>0</v>
      </c>
      <c r="EB16" s="19">
        <v>0</v>
      </c>
      <c r="EC16" s="19">
        <v>0</v>
      </c>
      <c r="ED16" s="19">
        <v>0</v>
      </c>
      <c r="EE16" s="19">
        <v>0</v>
      </c>
      <c r="EF16" s="19">
        <v>0</v>
      </c>
      <c r="EG16" s="19">
        <v>0</v>
      </c>
      <c r="EH16" s="19">
        <v>0</v>
      </c>
      <c r="EI16" s="19">
        <v>0</v>
      </c>
      <c r="EJ16" s="19">
        <v>0</v>
      </c>
      <c r="EK16" s="19">
        <v>0</v>
      </c>
      <c r="EL16" s="19">
        <v>0</v>
      </c>
      <c r="EM16" s="19">
        <v>0</v>
      </c>
      <c r="EN16" s="19">
        <v>0</v>
      </c>
      <c r="EO16" s="19">
        <v>0</v>
      </c>
      <c r="EP16" s="19">
        <v>0</v>
      </c>
      <c r="EQ16" s="19">
        <v>0</v>
      </c>
      <c r="ER16" s="19">
        <v>0</v>
      </c>
      <c r="ES16" s="19">
        <v>0</v>
      </c>
      <c r="ET16" s="19">
        <v>0</v>
      </c>
      <c r="EU16" s="19">
        <v>0</v>
      </c>
      <c r="EV16" s="19">
        <v>0</v>
      </c>
      <c r="EW16" s="19">
        <v>0</v>
      </c>
      <c r="EX16" s="19">
        <v>0</v>
      </c>
      <c r="EY16" s="19">
        <v>0</v>
      </c>
      <c r="EZ16" s="19">
        <v>0</v>
      </c>
      <c r="FA16" s="19">
        <v>0</v>
      </c>
      <c r="FB16" s="19">
        <v>0</v>
      </c>
      <c r="FC16" s="19">
        <v>0</v>
      </c>
      <c r="FD16" s="19">
        <v>0</v>
      </c>
      <c r="FE16" s="19">
        <v>0</v>
      </c>
      <c r="FF16" s="19">
        <v>0</v>
      </c>
      <c r="FG16" s="19">
        <v>0</v>
      </c>
      <c r="FH16" s="19">
        <v>0</v>
      </c>
      <c r="FI16" s="19">
        <v>0</v>
      </c>
      <c r="FJ16" s="19">
        <v>0</v>
      </c>
      <c r="FK16" s="19">
        <v>0</v>
      </c>
      <c r="FL16" s="19">
        <v>0</v>
      </c>
      <c r="FM16" s="19">
        <v>0</v>
      </c>
      <c r="FN16" s="19">
        <v>0</v>
      </c>
      <c r="FO16" s="19">
        <v>0</v>
      </c>
      <c r="FP16" s="19">
        <v>0</v>
      </c>
      <c r="FQ16" s="19">
        <v>0</v>
      </c>
      <c r="FR16" s="19">
        <v>0</v>
      </c>
      <c r="FS16" s="19">
        <v>0</v>
      </c>
      <c r="FT16" s="19">
        <v>0</v>
      </c>
      <c r="FU16" s="19">
        <v>0</v>
      </c>
      <c r="FV16" s="19">
        <v>0</v>
      </c>
      <c r="FW16" s="19">
        <v>0</v>
      </c>
      <c r="FX16" s="19">
        <v>0</v>
      </c>
      <c r="FY16" s="19">
        <v>0</v>
      </c>
    </row>
    <row r="17" spans="1:181" ht="16" x14ac:dyDescent="0.2">
      <c r="A17" s="17" t="e">
        <f>#REF!</f>
        <v>#REF!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>
        <v>0</v>
      </c>
      <c r="AZ17" s="19">
        <v>0</v>
      </c>
      <c r="BA17" s="19">
        <v>0</v>
      </c>
      <c r="BB17" s="19">
        <v>0</v>
      </c>
      <c r="BC17" s="19">
        <v>0</v>
      </c>
      <c r="BD17" s="19">
        <v>0</v>
      </c>
      <c r="BE17" s="19">
        <v>0</v>
      </c>
      <c r="BF17" s="19">
        <v>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19">
        <v>0</v>
      </c>
      <c r="CA17" s="19">
        <v>0</v>
      </c>
      <c r="CB17" s="19">
        <v>0</v>
      </c>
      <c r="CC17" s="19">
        <v>0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19">
        <v>0</v>
      </c>
      <c r="CX17" s="19">
        <v>0</v>
      </c>
      <c r="CY17" s="19">
        <v>0</v>
      </c>
      <c r="CZ17" s="19">
        <v>0</v>
      </c>
      <c r="DA17" s="19">
        <v>0</v>
      </c>
      <c r="DB17" s="19">
        <v>0</v>
      </c>
      <c r="DC17" s="19">
        <v>0</v>
      </c>
      <c r="DD17" s="19">
        <v>0</v>
      </c>
      <c r="DE17" s="19">
        <v>0</v>
      </c>
      <c r="DF17" s="19">
        <v>0</v>
      </c>
      <c r="DG17" s="19">
        <v>0</v>
      </c>
      <c r="DH17" s="19">
        <v>1.307743926723792E-3</v>
      </c>
      <c r="DI17" s="19">
        <v>0</v>
      </c>
      <c r="DJ17" s="19">
        <v>0</v>
      </c>
      <c r="DK17" s="19">
        <v>0</v>
      </c>
      <c r="DL17" s="19">
        <v>0</v>
      </c>
      <c r="DM17" s="19">
        <v>0</v>
      </c>
      <c r="DN17" s="19">
        <v>0</v>
      </c>
      <c r="DO17" s="19">
        <v>0</v>
      </c>
      <c r="DP17" s="19">
        <v>1.3813547854369702E-2</v>
      </c>
      <c r="DQ17" s="19">
        <v>2.7234546092858102E-2</v>
      </c>
      <c r="DR17" s="19">
        <v>3.7067824306416731E-2</v>
      </c>
      <c r="DS17" s="19">
        <v>1.5367199327782628E-4</v>
      </c>
      <c r="DT17" s="19">
        <v>3.811205683847429E-3</v>
      </c>
      <c r="DU17" s="19">
        <v>3.7935299431263288E-2</v>
      </c>
      <c r="DV17" s="19">
        <v>4.8592228228612151E-2</v>
      </c>
      <c r="DW17" s="19">
        <v>4.3080832291236874E-2</v>
      </c>
      <c r="DX17" s="19">
        <v>2.0470621860428615E-2</v>
      </c>
      <c r="DY17" s="19">
        <v>3.3144572149144798E-2</v>
      </c>
      <c r="DZ17" s="19">
        <v>4.6416680860135721E-2</v>
      </c>
      <c r="EA17" s="19">
        <v>4.9575389100219434E-2</v>
      </c>
      <c r="EB17" s="19">
        <v>5.1764703113051411E-2</v>
      </c>
      <c r="EC17" s="19">
        <v>5.1751594854832467E-2</v>
      </c>
      <c r="ED17" s="19">
        <v>5.0375061628387702E-2</v>
      </c>
      <c r="EE17" s="19">
        <v>5.4263112916228894E-2</v>
      </c>
      <c r="EF17" s="19">
        <v>6.1142196437150728E-2</v>
      </c>
      <c r="EG17" s="19">
        <v>6.1479243317259749E-2</v>
      </c>
      <c r="EH17" s="19">
        <v>5.0279067683594462E-2</v>
      </c>
      <c r="EI17" s="19">
        <v>5.9896975316012895E-2</v>
      </c>
      <c r="EJ17" s="19">
        <v>5.7964622717154989E-2</v>
      </c>
      <c r="EK17" s="19">
        <v>4.9575805114914384E-2</v>
      </c>
      <c r="EL17" s="19">
        <v>4.2344399943927684E-2</v>
      </c>
      <c r="EM17" s="19">
        <v>6.579072804782868E-3</v>
      </c>
      <c r="EN17" s="19">
        <v>3.4251351557197116E-3</v>
      </c>
      <c r="EO17" s="19">
        <v>3.6496850778064052E-3</v>
      </c>
      <c r="EP17" s="19">
        <v>1.24358644573789E-3</v>
      </c>
      <c r="EQ17" s="19">
        <v>0</v>
      </c>
      <c r="ER17" s="19">
        <v>0</v>
      </c>
      <c r="ES17" s="19">
        <v>8.5930633544879145E-3</v>
      </c>
      <c r="ET17" s="19">
        <v>1.4856756824061507E-2</v>
      </c>
      <c r="EU17" s="19">
        <v>8.5327676711359681E-3</v>
      </c>
      <c r="EV17" s="19">
        <v>1.1976706060616437E-2</v>
      </c>
      <c r="EW17" s="19">
        <v>0</v>
      </c>
      <c r="EX17" s="19">
        <v>0</v>
      </c>
      <c r="EY17" s="19">
        <v>0</v>
      </c>
      <c r="EZ17" s="19">
        <v>1.4086634455536776E-2</v>
      </c>
      <c r="FA17" s="19">
        <v>6.2982234509956258E-3</v>
      </c>
      <c r="FB17" s="19">
        <v>1.7004060333094279E-3</v>
      </c>
      <c r="FC17" s="19">
        <v>6.8043647762398775E-4</v>
      </c>
      <c r="FD17" s="19">
        <v>2.5963854298002784E-3</v>
      </c>
      <c r="FE17" s="19">
        <v>9.8227578643669579E-3</v>
      </c>
      <c r="FF17" s="19">
        <v>6.8758941138148807E-3</v>
      </c>
      <c r="FG17" s="19">
        <v>0</v>
      </c>
      <c r="FH17" s="19">
        <v>0</v>
      </c>
      <c r="FI17" s="19">
        <v>0</v>
      </c>
      <c r="FJ17" s="19">
        <v>0</v>
      </c>
      <c r="FK17" s="19">
        <v>0</v>
      </c>
      <c r="FL17" s="19">
        <v>0</v>
      </c>
      <c r="FM17" s="19">
        <v>0</v>
      </c>
      <c r="FN17" s="19">
        <v>0</v>
      </c>
      <c r="FO17" s="19">
        <v>0</v>
      </c>
      <c r="FP17" s="19">
        <v>0</v>
      </c>
      <c r="FQ17" s="19">
        <v>0</v>
      </c>
      <c r="FR17" s="19">
        <v>0</v>
      </c>
      <c r="FS17" s="19">
        <v>0</v>
      </c>
      <c r="FT17" s="19">
        <v>0</v>
      </c>
      <c r="FU17" s="19">
        <v>0</v>
      </c>
      <c r="FV17" s="19">
        <v>0</v>
      </c>
      <c r="FW17" s="19">
        <v>0</v>
      </c>
      <c r="FX17" s="19">
        <v>0</v>
      </c>
      <c r="FY17" s="19">
        <v>0</v>
      </c>
    </row>
    <row r="18" spans="1:181" ht="16" x14ac:dyDescent="0.2">
      <c r="A18" s="17" t="e">
        <f>#REF!</f>
        <v>#REF!</v>
      </c>
      <c r="B18" s="22">
        <v>0</v>
      </c>
      <c r="C18" s="22">
        <v>0</v>
      </c>
      <c r="D18" s="19">
        <v>0</v>
      </c>
      <c r="E18" s="19">
        <v>0</v>
      </c>
      <c r="F18" s="19">
        <v>0</v>
      </c>
      <c r="G18" s="19">
        <v>0</v>
      </c>
      <c r="H18" s="19">
        <v>0</v>
      </c>
      <c r="I18" s="19">
        <v>0</v>
      </c>
      <c r="J18" s="1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9">
        <v>0</v>
      </c>
      <c r="S18" s="19">
        <v>0</v>
      </c>
      <c r="T18" s="19">
        <v>0</v>
      </c>
      <c r="U18" s="19">
        <v>0</v>
      </c>
      <c r="V18" s="19">
        <v>0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0</v>
      </c>
      <c r="AP18" s="19">
        <v>0</v>
      </c>
      <c r="AQ18" s="19">
        <v>0</v>
      </c>
      <c r="AR18" s="19">
        <v>0</v>
      </c>
      <c r="AS18" s="19">
        <v>0</v>
      </c>
      <c r="AT18" s="19">
        <v>0</v>
      </c>
      <c r="AU18" s="19">
        <v>0</v>
      </c>
      <c r="AV18" s="19">
        <v>0</v>
      </c>
      <c r="AW18" s="19">
        <v>0</v>
      </c>
      <c r="AX18" s="19">
        <v>0</v>
      </c>
      <c r="AY18" s="19">
        <v>0</v>
      </c>
      <c r="AZ18" s="19">
        <v>0</v>
      </c>
      <c r="BA18" s="19">
        <v>0</v>
      </c>
      <c r="BB18" s="19">
        <v>0</v>
      </c>
      <c r="BC18" s="19">
        <v>0</v>
      </c>
      <c r="BD18" s="19">
        <v>0</v>
      </c>
      <c r="BE18" s="19">
        <v>0</v>
      </c>
      <c r="BF18" s="19">
        <v>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19">
        <v>0</v>
      </c>
      <c r="BN18" s="19">
        <v>0</v>
      </c>
      <c r="BO18" s="19">
        <v>0</v>
      </c>
      <c r="BP18" s="19">
        <v>0</v>
      </c>
      <c r="BQ18" s="19">
        <v>0</v>
      </c>
      <c r="BR18" s="19">
        <v>0</v>
      </c>
      <c r="BS18" s="19">
        <v>0</v>
      </c>
      <c r="BT18" s="19">
        <v>0</v>
      </c>
      <c r="BU18" s="19">
        <v>0</v>
      </c>
      <c r="BV18" s="19">
        <v>0</v>
      </c>
      <c r="BW18" s="19">
        <v>0</v>
      </c>
      <c r="BX18" s="19">
        <v>0</v>
      </c>
      <c r="BY18" s="19">
        <v>0</v>
      </c>
      <c r="BZ18" s="19">
        <v>0</v>
      </c>
      <c r="CA18" s="19">
        <v>0</v>
      </c>
      <c r="CB18" s="19">
        <v>0</v>
      </c>
      <c r="CC18" s="19">
        <v>0</v>
      </c>
      <c r="CD18" s="19">
        <v>0</v>
      </c>
      <c r="CE18" s="19">
        <v>0</v>
      </c>
      <c r="CF18" s="19">
        <v>0</v>
      </c>
      <c r="CG18" s="19">
        <v>0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19">
        <v>0</v>
      </c>
      <c r="CV18" s="19">
        <v>0</v>
      </c>
      <c r="CW18" s="19">
        <v>0</v>
      </c>
      <c r="CX18" s="19">
        <v>0</v>
      </c>
      <c r="CY18" s="19">
        <v>0</v>
      </c>
      <c r="CZ18" s="19">
        <v>0</v>
      </c>
      <c r="DA18" s="19">
        <v>0</v>
      </c>
      <c r="DB18" s="19">
        <v>0</v>
      </c>
      <c r="DC18" s="19">
        <v>0</v>
      </c>
      <c r="DD18" s="19">
        <v>0</v>
      </c>
      <c r="DE18" s="19">
        <v>0</v>
      </c>
      <c r="DF18" s="19">
        <v>0</v>
      </c>
      <c r="DG18" s="19">
        <v>0</v>
      </c>
      <c r="DH18" s="19">
        <v>0</v>
      </c>
      <c r="DI18" s="19">
        <v>7.5461271790283136E-4</v>
      </c>
      <c r="DJ18" s="19">
        <v>1.3607877517884319E-3</v>
      </c>
      <c r="DK18" s="19">
        <v>3.7185538790653529E-3</v>
      </c>
      <c r="DL18" s="19">
        <v>3.3806128027000881E-3</v>
      </c>
      <c r="DM18" s="19">
        <v>1.5348726562160347E-3</v>
      </c>
      <c r="DN18" s="19">
        <v>6.8376894484720356E-3</v>
      </c>
      <c r="DO18" s="19">
        <v>1.8950713038203296E-2</v>
      </c>
      <c r="DP18" s="19">
        <v>2.5409142540461786E-2</v>
      </c>
      <c r="DQ18" s="19">
        <v>2.5976494998785682E-2</v>
      </c>
      <c r="DR18" s="19">
        <v>4.7200256179182054E-2</v>
      </c>
      <c r="DS18" s="19">
        <v>6.1425448144221836E-2</v>
      </c>
      <c r="DT18" s="19">
        <v>5.9577388958115027E-2</v>
      </c>
      <c r="DU18" s="19">
        <v>1.5388896337213404E-2</v>
      </c>
      <c r="DV18" s="19">
        <v>1.0705961935819654E-2</v>
      </c>
      <c r="DW18" s="19">
        <v>1.2781466928150232E-2</v>
      </c>
      <c r="DX18" s="19">
        <v>1.7762792834496926E-2</v>
      </c>
      <c r="DY18" s="19">
        <v>2.4366887593597883E-2</v>
      </c>
      <c r="DZ18" s="19">
        <v>1.354220780006144E-2</v>
      </c>
      <c r="EA18" s="19">
        <v>1.7938986895969528E-2</v>
      </c>
      <c r="EB18" s="19">
        <v>1.6302826564376906E-2</v>
      </c>
      <c r="EC18" s="19">
        <v>1.7451960932327294E-2</v>
      </c>
      <c r="ED18" s="19">
        <v>1.8646715685212881E-2</v>
      </c>
      <c r="EE18" s="19">
        <v>1.4736895347190932E-2</v>
      </c>
      <c r="EF18" s="19">
        <v>1.2749620900382442E-2</v>
      </c>
      <c r="EG18" s="19">
        <v>1.253878195652129E-2</v>
      </c>
      <c r="EH18" s="19">
        <v>1.8916446494039323E-2</v>
      </c>
      <c r="EI18" s="19">
        <v>1.3381947825466152E-2</v>
      </c>
      <c r="EJ18" s="19">
        <v>1.6249685595335579E-2</v>
      </c>
      <c r="EK18" s="19">
        <v>2.3603626913687562E-2</v>
      </c>
      <c r="EL18" s="19">
        <v>3.1428465932148854E-2</v>
      </c>
      <c r="EM18" s="19">
        <v>3.4128034580489582E-2</v>
      </c>
      <c r="EN18" s="19">
        <v>3.4220310901901342E-2</v>
      </c>
      <c r="EO18" s="19">
        <v>3.5858121198198721E-2</v>
      </c>
      <c r="EP18" s="19">
        <v>3.5228149018615366E-2</v>
      </c>
      <c r="EQ18" s="19">
        <v>3.8119743266642178E-2</v>
      </c>
      <c r="ER18" s="19">
        <v>3.2990507605751833E-2</v>
      </c>
      <c r="ES18" s="19">
        <v>2.8841906556960558E-2</v>
      </c>
      <c r="ET18" s="19">
        <v>3.0911263467973467E-2</v>
      </c>
      <c r="EU18" s="19">
        <v>3.507460255208792E-2</v>
      </c>
      <c r="EV18" s="19">
        <v>3.6595418320577472E-2</v>
      </c>
      <c r="EW18" s="19">
        <v>4.2083469846828231E-2</v>
      </c>
      <c r="EX18" s="19">
        <v>4.1155721101156471E-2</v>
      </c>
      <c r="EY18" s="19">
        <v>3.5506454609325423E-2</v>
      </c>
      <c r="EZ18" s="19">
        <v>3.7763203195813499E-2</v>
      </c>
      <c r="FA18" s="19">
        <v>4.244598183277621E-2</v>
      </c>
      <c r="FB18" s="19">
        <v>4.6203964466104051E-2</v>
      </c>
      <c r="FC18" s="19">
        <v>4.7553206920171988E-2</v>
      </c>
      <c r="FD18" s="19">
        <v>4.734461873346052E-2</v>
      </c>
      <c r="FE18" s="19">
        <v>4.800530511831775E-2</v>
      </c>
      <c r="FF18" s="19">
        <v>5.0123871510154953E-2</v>
      </c>
      <c r="FG18" s="19">
        <v>5.5616813603648688E-2</v>
      </c>
      <c r="FH18" s="19">
        <v>6.0372012378374029E-2</v>
      </c>
      <c r="FI18" s="19">
        <v>7.1121480562606754E-2</v>
      </c>
      <c r="FJ18" s="19">
        <v>7.1027334715078452E-2</v>
      </c>
      <c r="FK18" s="19">
        <v>7.6306644218936764E-2</v>
      </c>
      <c r="FL18" s="19">
        <v>7.7367581825862217E-2</v>
      </c>
      <c r="FM18" s="19">
        <v>7.4984697532454112E-2</v>
      </c>
      <c r="FN18" s="19">
        <v>7.6586592170963044E-2</v>
      </c>
      <c r="FO18" s="19">
        <v>7.2364237252204131E-2</v>
      </c>
      <c r="FP18" s="19">
        <v>7.8505861544980862E-2</v>
      </c>
      <c r="FQ18" s="19">
        <v>8.16302708242021E-2</v>
      </c>
      <c r="FR18" s="19">
        <v>8.1242396855528184E-2</v>
      </c>
      <c r="FS18" s="19">
        <v>7.8994367906900759E-2</v>
      </c>
      <c r="FT18" s="19">
        <v>9.3582108544711162E-2</v>
      </c>
      <c r="FU18" s="19">
        <v>9.3010054119392019E-2</v>
      </c>
      <c r="FV18" s="19">
        <v>9.6256573469842927E-2</v>
      </c>
      <c r="FW18" s="19">
        <v>9.4269531966390166E-2</v>
      </c>
      <c r="FX18" s="19">
        <v>7.5614167437154683E-2</v>
      </c>
      <c r="FY18" s="19">
        <v>7.8286167694502043E-2</v>
      </c>
    </row>
    <row r="19" spans="1:181" ht="16" x14ac:dyDescent="0.2">
      <c r="A19" s="17" t="e">
        <f>#REF!</f>
        <v>#REF!</v>
      </c>
      <c r="B19" s="22">
        <v>2.2490327245672979E-3</v>
      </c>
      <c r="C19" s="22">
        <v>2.8737087423000898E-4</v>
      </c>
      <c r="D19" s="19">
        <v>0</v>
      </c>
      <c r="E19" s="19">
        <v>0</v>
      </c>
      <c r="F19" s="19">
        <v>0</v>
      </c>
      <c r="G19" s="19">
        <v>0</v>
      </c>
      <c r="H19" s="19">
        <v>0</v>
      </c>
      <c r="I19" s="19">
        <v>0</v>
      </c>
      <c r="J19" s="19"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>
        <v>0</v>
      </c>
      <c r="AZ19" s="19">
        <v>0</v>
      </c>
      <c r="BA19" s="19">
        <v>0</v>
      </c>
      <c r="BB19" s="19">
        <v>0</v>
      </c>
      <c r="BC19" s="19">
        <v>0</v>
      </c>
      <c r="BD19" s="19">
        <v>0</v>
      </c>
      <c r="BE19" s="19">
        <v>0</v>
      </c>
      <c r="BF19" s="19">
        <v>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6.1561449215059407E-3</v>
      </c>
      <c r="BR19" s="19">
        <v>5.4858289213739172E-3</v>
      </c>
      <c r="BS19" s="19">
        <v>4.9283712718710942E-3</v>
      </c>
      <c r="BT19" s="19">
        <v>5.0701336446243644E-3</v>
      </c>
      <c r="BU19" s="19">
        <v>4.7428213958511344E-3</v>
      </c>
      <c r="BV19" s="19">
        <v>5.337287210531858E-3</v>
      </c>
      <c r="BW19" s="19">
        <v>1.6354646804703601E-3</v>
      </c>
      <c r="BX19" s="19">
        <v>0</v>
      </c>
      <c r="BY19" s="19">
        <v>6.0806071277876516E-4</v>
      </c>
      <c r="BZ19" s="19">
        <v>1.2321519445555923E-3</v>
      </c>
      <c r="CA19" s="19">
        <v>0</v>
      </c>
      <c r="CB19" s="19">
        <v>0</v>
      </c>
      <c r="CC19" s="19">
        <v>3.7663253165431737E-4</v>
      </c>
      <c r="CD19" s="19">
        <v>4.8598860178880885E-3</v>
      </c>
      <c r="CE19" s="19">
        <v>0</v>
      </c>
      <c r="CF19" s="19">
        <v>0</v>
      </c>
      <c r="CG19" s="19">
        <v>0</v>
      </c>
      <c r="CH19" s="19">
        <v>0</v>
      </c>
      <c r="CI19" s="19">
        <v>4.8081814322585119E-3</v>
      </c>
      <c r="CJ19" s="19">
        <v>4.0357159769913694E-3</v>
      </c>
      <c r="CK19" s="19">
        <v>3.697173808148586E-3</v>
      </c>
      <c r="CL19" s="19">
        <v>2.3702486792005952E-3</v>
      </c>
      <c r="CM19" s="19">
        <v>2.6839518712056189E-3</v>
      </c>
      <c r="CN19" s="19">
        <v>2.4778257843069656E-3</v>
      </c>
      <c r="CO19" s="19">
        <v>7.4819111714961384E-3</v>
      </c>
      <c r="CP19" s="19">
        <v>7.5929163626905823E-3</v>
      </c>
      <c r="CQ19" s="19">
        <v>3.3117173500199931E-3</v>
      </c>
      <c r="CR19" s="19">
        <v>3.2993744023656893E-3</v>
      </c>
      <c r="CS19" s="19">
        <v>5.5400740637124189E-3</v>
      </c>
      <c r="CT19" s="19">
        <v>5.5771613240971785E-3</v>
      </c>
      <c r="CU19" s="19">
        <v>9.4171556425863088E-3</v>
      </c>
      <c r="CV19" s="19">
        <v>8.6319627794287802E-3</v>
      </c>
      <c r="CW19" s="19">
        <v>1.2165525683973779E-2</v>
      </c>
      <c r="CX19" s="19">
        <v>1.4798648309489822E-2</v>
      </c>
      <c r="CY19" s="19">
        <v>6.8946564597898597E-3</v>
      </c>
      <c r="CZ19" s="19">
        <v>5.5131051999203528E-3</v>
      </c>
      <c r="DA19" s="19">
        <v>0</v>
      </c>
      <c r="DB19" s="19">
        <v>3.8009917828229454E-3</v>
      </c>
      <c r="DC19" s="19">
        <v>2.0345180911300539E-3</v>
      </c>
      <c r="DD19" s="19">
        <v>0</v>
      </c>
      <c r="DE19" s="19">
        <v>0</v>
      </c>
      <c r="DF19" s="19">
        <v>0</v>
      </c>
      <c r="DG19" s="19">
        <v>0</v>
      </c>
      <c r="DH19" s="19">
        <v>0</v>
      </c>
      <c r="DI19" s="19">
        <v>0</v>
      </c>
      <c r="DJ19" s="19">
        <v>6.2941511855268218E-3</v>
      </c>
      <c r="DK19" s="19">
        <v>5.7001347299596066E-3</v>
      </c>
      <c r="DL19" s="19">
        <v>7.4747518481801303E-3</v>
      </c>
      <c r="DM19" s="19">
        <v>1.6025164920193707E-2</v>
      </c>
      <c r="DN19" s="19">
        <v>1.7449825770723695E-2</v>
      </c>
      <c r="DO19" s="19">
        <v>0</v>
      </c>
      <c r="DP19" s="19">
        <v>0</v>
      </c>
      <c r="DQ19" s="19">
        <v>0</v>
      </c>
      <c r="DR19" s="19">
        <v>1.5102714134252774E-2</v>
      </c>
      <c r="DS19" s="19">
        <v>9.6226472319819664E-3</v>
      </c>
      <c r="DT19" s="19">
        <v>1.1027846576118813E-2</v>
      </c>
      <c r="DU19" s="19">
        <v>4.2442412992486828E-2</v>
      </c>
      <c r="DV19" s="19">
        <v>3.6787261075937515E-2</v>
      </c>
      <c r="DW19" s="19">
        <v>4.4187621438887929E-2</v>
      </c>
      <c r="DX19" s="19">
        <v>5.1268989114715655E-2</v>
      </c>
      <c r="DY19" s="19">
        <v>2.8992972743469306E-2</v>
      </c>
      <c r="DZ19" s="19">
        <v>2.9218039179633969E-2</v>
      </c>
      <c r="EA19" s="19">
        <v>1.8210584851532877E-2</v>
      </c>
      <c r="EB19" s="19">
        <v>2.1599813869535418E-2</v>
      </c>
      <c r="EC19" s="19">
        <v>2.7302786271244543E-2</v>
      </c>
      <c r="ED19" s="19">
        <v>2.576066296044351E-2</v>
      </c>
      <c r="EE19" s="19">
        <v>2.8767683440594039E-2</v>
      </c>
      <c r="EF19" s="19">
        <v>2.5692017926351701E-2</v>
      </c>
      <c r="EG19" s="19">
        <v>2.5677981482891646E-2</v>
      </c>
      <c r="EH19" s="19">
        <v>2.8698096579970127E-2</v>
      </c>
      <c r="EI19" s="19">
        <v>3.0461447473971278E-2</v>
      </c>
      <c r="EJ19" s="19">
        <v>2.6495384687582484E-2</v>
      </c>
      <c r="EK19" s="19">
        <v>2.8341210832437819E-2</v>
      </c>
      <c r="EL19" s="19">
        <v>2.0778194522763384E-2</v>
      </c>
      <c r="EM19" s="19">
        <v>7.4497304334131181E-2</v>
      </c>
      <c r="EN19" s="19">
        <v>7.7047591829243464E-2</v>
      </c>
      <c r="EO19" s="19">
        <v>7.6791246557848539E-2</v>
      </c>
      <c r="EP19" s="19">
        <v>8.8288254892676984E-2</v>
      </c>
      <c r="EQ19" s="19">
        <v>9.7765526292292362E-2</v>
      </c>
      <c r="ER19" s="19">
        <v>0.10912142105457347</v>
      </c>
      <c r="ES19" s="19">
        <v>0.10556376189103739</v>
      </c>
      <c r="ET19" s="19">
        <v>0.10164517445323561</v>
      </c>
      <c r="EU19" s="19">
        <v>0.10620899816805571</v>
      </c>
      <c r="EV19" s="19">
        <v>9.9959129846058342E-2</v>
      </c>
      <c r="EW19" s="19">
        <v>0.10952392203711972</v>
      </c>
      <c r="EX19" s="19">
        <v>0.11834551903910683</v>
      </c>
      <c r="EY19" s="19">
        <v>0.12771192378305152</v>
      </c>
      <c r="EZ19" s="19">
        <v>0.10129511851506123</v>
      </c>
      <c r="FA19" s="19">
        <v>0.10777723282912416</v>
      </c>
      <c r="FB19" s="19">
        <v>0.11538513562257328</v>
      </c>
      <c r="FC19" s="19">
        <v>0.11460126724807834</v>
      </c>
      <c r="FD19" s="19">
        <v>0.11177397279622998</v>
      </c>
      <c r="FE19" s="19">
        <v>0.10303522225156014</v>
      </c>
      <c r="FF19" s="19">
        <v>0.10298443069126852</v>
      </c>
      <c r="FG19" s="19">
        <v>0.10129289921427695</v>
      </c>
      <c r="FH19" s="19">
        <v>9.6783611014571738E-2</v>
      </c>
      <c r="FI19" s="19">
        <v>7.5766252074784268E-2</v>
      </c>
      <c r="FJ19" s="19">
        <v>7.4960337113577885E-2</v>
      </c>
      <c r="FK19" s="19">
        <v>7.2398505145681094E-2</v>
      </c>
      <c r="FL19" s="19">
        <v>6.5048808413807557E-2</v>
      </c>
      <c r="FM19" s="19">
        <v>6.2744324403160245E-2</v>
      </c>
      <c r="FN19" s="19">
        <v>5.5707529712402913E-2</v>
      </c>
      <c r="FO19" s="19">
        <v>5.5285155363885223E-2</v>
      </c>
      <c r="FP19" s="19">
        <v>5.2101043988673962E-2</v>
      </c>
      <c r="FQ19" s="19">
        <v>4.878960770402848E-2</v>
      </c>
      <c r="FR19" s="19">
        <v>5.5377026056122283E-2</v>
      </c>
      <c r="FS19" s="19">
        <v>6.1077207635403516E-2</v>
      </c>
      <c r="FT19" s="19">
        <v>5.2365517971903072E-2</v>
      </c>
      <c r="FU19" s="19">
        <v>4.80600842185748E-2</v>
      </c>
      <c r="FV19" s="19">
        <v>5.0999833928281703E-2</v>
      </c>
      <c r="FW19" s="19">
        <v>4.3383678958745397E-2</v>
      </c>
      <c r="FX19" s="19">
        <v>3.7690660335723693E-2</v>
      </c>
      <c r="FY19" s="19">
        <v>3.9743443278940957E-2</v>
      </c>
    </row>
    <row r="20" spans="1:181" x14ac:dyDescent="0.2">
      <c r="A20" s="19"/>
      <c r="B20" s="22"/>
      <c r="C20" s="22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</row>
    <row r="21" spans="1:181" x14ac:dyDescent="0.2">
      <c r="A21" s="20" t="s">
        <v>57</v>
      </c>
      <c r="B21" s="22">
        <v>0.92970619620200445</v>
      </c>
      <c r="C21" s="22">
        <v>0.92759534283772949</v>
      </c>
      <c r="D21" s="19">
        <v>0.92997536145004678</v>
      </c>
      <c r="E21" s="19">
        <v>0.92057268906517331</v>
      </c>
      <c r="F21" s="19">
        <v>0.91795131924589402</v>
      </c>
      <c r="G21" s="19">
        <v>0.91955319143708758</v>
      </c>
      <c r="H21" s="19">
        <v>0.92018318253471088</v>
      </c>
      <c r="I21" s="19">
        <v>0.91830557636173915</v>
      </c>
      <c r="J21" s="19">
        <v>0.91854815424872982</v>
      </c>
      <c r="K21" s="19">
        <v>0.91514399665279023</v>
      </c>
      <c r="L21" s="19">
        <v>0.91500835150195903</v>
      </c>
      <c r="M21" s="19">
        <v>0.9154564447783855</v>
      </c>
      <c r="N21" s="19">
        <v>0.91599165648485714</v>
      </c>
      <c r="O21" s="19">
        <v>0.91526324017415073</v>
      </c>
      <c r="P21" s="19">
        <v>0.91030476047871367</v>
      </c>
      <c r="Q21" s="19">
        <v>0.90991852051788591</v>
      </c>
      <c r="R21" s="19">
        <v>0.91144895060482012</v>
      </c>
      <c r="S21" s="19">
        <v>0.89642309175196655</v>
      </c>
      <c r="T21" s="19">
        <v>0.89893610562644</v>
      </c>
      <c r="U21" s="19">
        <v>0.89854520521022863</v>
      </c>
      <c r="V21" s="19">
        <v>0.89822078599565514</v>
      </c>
      <c r="W21" s="19">
        <v>0.89752261660938248</v>
      </c>
      <c r="X21" s="19">
        <v>0.89715723452256724</v>
      </c>
      <c r="Y21" s="19">
        <v>0.89446915159236484</v>
      </c>
      <c r="Z21" s="19">
        <v>0.89345556822471572</v>
      </c>
      <c r="AA21" s="19">
        <v>0.89150689200132882</v>
      </c>
      <c r="AB21" s="19">
        <v>0.88147785602160478</v>
      </c>
      <c r="AC21" s="19">
        <v>0.87931231618080874</v>
      </c>
      <c r="AD21" s="19">
        <v>0.87953799702042523</v>
      </c>
      <c r="AE21" s="19">
        <v>0.87875483599144899</v>
      </c>
      <c r="AF21" s="19">
        <v>0.8777892114646717</v>
      </c>
      <c r="AG21" s="19">
        <v>0.88219070226748098</v>
      </c>
      <c r="AH21" s="19">
        <v>0.88139942994851395</v>
      </c>
      <c r="AI21" s="19">
        <v>0.87428082174163857</v>
      </c>
      <c r="AJ21" s="19">
        <v>0.88118522512761921</v>
      </c>
      <c r="AK21" s="19">
        <v>0.88221266122632447</v>
      </c>
      <c r="AL21" s="19">
        <v>0.8876278051186175</v>
      </c>
      <c r="AM21" s="19">
        <v>0.88591765112303766</v>
      </c>
      <c r="AN21" s="19">
        <v>0.88457127797667567</v>
      </c>
      <c r="AO21" s="19">
        <v>0.88561418316986051</v>
      </c>
      <c r="AP21" s="19">
        <v>0.88536607925687882</v>
      </c>
      <c r="AQ21" s="19">
        <v>0.88494460339255288</v>
      </c>
      <c r="AR21" s="19">
        <v>0.88330340119261086</v>
      </c>
      <c r="AS21" s="19">
        <v>0.87389969574706905</v>
      </c>
      <c r="AT21" s="19">
        <v>0.86707704054793766</v>
      </c>
      <c r="AU21" s="19">
        <v>0.86719015951714495</v>
      </c>
      <c r="AV21" s="19">
        <v>0.85827810015572037</v>
      </c>
      <c r="AW21" s="19">
        <v>0.85564787683569365</v>
      </c>
      <c r="AX21" s="19">
        <v>0.86288982772136213</v>
      </c>
      <c r="AY21" s="19">
        <v>0.86331493800133419</v>
      </c>
      <c r="AZ21" s="19">
        <v>0.86397035951098655</v>
      </c>
      <c r="BA21" s="19">
        <v>0.86699634134476133</v>
      </c>
      <c r="BB21" s="19">
        <v>0.86555159409513782</v>
      </c>
      <c r="BC21" s="19">
        <v>0.87255174392688051</v>
      </c>
      <c r="BD21" s="19">
        <v>0.87282751357990784</v>
      </c>
      <c r="BE21" s="19">
        <v>0.88926260867225193</v>
      </c>
      <c r="BF21" s="19">
        <v>0.88950372751886164</v>
      </c>
      <c r="BG21" s="19">
        <v>0.8923029616268815</v>
      </c>
      <c r="BH21" s="19">
        <v>0.8958943432251969</v>
      </c>
      <c r="BI21" s="19">
        <v>0.89837585003183917</v>
      </c>
      <c r="BJ21" s="19">
        <v>0.92148600933809188</v>
      </c>
      <c r="BK21" s="19">
        <v>0.9224673836444246</v>
      </c>
      <c r="BL21" s="19">
        <v>0.91999567364099011</v>
      </c>
      <c r="BM21" s="19">
        <v>0.92313613843470244</v>
      </c>
      <c r="BN21" s="19">
        <v>0.93110328316012947</v>
      </c>
      <c r="BO21" s="19">
        <v>0.93071847087912596</v>
      </c>
      <c r="BP21" s="19">
        <v>0.93194077397867348</v>
      </c>
      <c r="BQ21" s="19">
        <v>0.93153420456084335</v>
      </c>
      <c r="BR21" s="19">
        <v>0.93241500898536256</v>
      </c>
      <c r="BS21" s="19">
        <v>0.93251632100265691</v>
      </c>
      <c r="BT21" s="19">
        <v>0.93258498388184352</v>
      </c>
      <c r="BU21" s="19">
        <v>0.93311304080590152</v>
      </c>
      <c r="BV21" s="19">
        <v>0.93271746959618052</v>
      </c>
      <c r="BW21" s="19">
        <v>0.93276262337812632</v>
      </c>
      <c r="BX21" s="19">
        <v>0.94003966700862274</v>
      </c>
      <c r="BY21" s="19">
        <v>0.94232470343664598</v>
      </c>
      <c r="BZ21" s="19">
        <v>0.94220773643574407</v>
      </c>
      <c r="CA21" s="19">
        <v>0.94353282477543166</v>
      </c>
      <c r="CB21" s="19">
        <v>0.94339572303032537</v>
      </c>
      <c r="CC21" s="19">
        <v>0.94309877856246382</v>
      </c>
      <c r="CD21" s="19">
        <v>0.94532246741865311</v>
      </c>
      <c r="CE21" s="19">
        <v>0.94697011500936867</v>
      </c>
      <c r="CF21" s="19">
        <v>0.94787696276689282</v>
      </c>
      <c r="CG21" s="19">
        <v>0.94817604585323367</v>
      </c>
      <c r="CH21" s="19">
        <v>0.94803049043433796</v>
      </c>
      <c r="CI21" s="19">
        <v>0.95195567093340738</v>
      </c>
      <c r="CJ21" s="19">
        <v>0.94855891348197574</v>
      </c>
      <c r="CK21" s="19">
        <v>0.94756805273645739</v>
      </c>
      <c r="CL21" s="19">
        <v>0.94728743977264918</v>
      </c>
      <c r="CM21" s="19">
        <v>0.94772265045326587</v>
      </c>
      <c r="CN21" s="19">
        <v>0.94751532911043956</v>
      </c>
      <c r="CO21" s="19">
        <v>0.9475618641020489</v>
      </c>
      <c r="CP21" s="19">
        <v>0.94650583821535161</v>
      </c>
      <c r="CQ21" s="19">
        <v>0.94790412154119219</v>
      </c>
      <c r="CR21" s="19">
        <v>0.94576504389414173</v>
      </c>
      <c r="CS21" s="19">
        <v>0.94886507261126218</v>
      </c>
      <c r="CT21" s="19">
        <v>0.94826095828569257</v>
      </c>
      <c r="CU21" s="19">
        <v>0.94917503158291183</v>
      </c>
      <c r="CV21" s="19">
        <v>0.94952090184265958</v>
      </c>
      <c r="CW21" s="19">
        <v>0.94545661921168767</v>
      </c>
      <c r="CX21" s="19">
        <v>0.94523913639408563</v>
      </c>
      <c r="CY21" s="19">
        <v>0.94870071915635579</v>
      </c>
      <c r="CZ21" s="19">
        <v>0.94892399735209376</v>
      </c>
      <c r="DA21" s="19">
        <v>0.95189295394161821</v>
      </c>
      <c r="DB21" s="19">
        <v>0.94914462965382529</v>
      </c>
      <c r="DC21" s="19">
        <v>0.94983097303415709</v>
      </c>
      <c r="DD21" s="19">
        <v>0.95247723443385035</v>
      </c>
      <c r="DE21" s="19">
        <v>0.9512898792736777</v>
      </c>
      <c r="DF21" s="19">
        <v>0.94986643431138895</v>
      </c>
      <c r="DG21" s="19">
        <v>0.94396825958305608</v>
      </c>
      <c r="DH21" s="19">
        <v>0.94372189322357158</v>
      </c>
      <c r="DI21" s="19">
        <v>0.94131769134617749</v>
      </c>
      <c r="DJ21" s="19">
        <v>0.9392067403437816</v>
      </c>
      <c r="DK21" s="19">
        <v>0.93569991574943501</v>
      </c>
      <c r="DL21" s="19">
        <v>0.93526096197520281</v>
      </c>
      <c r="DM21" s="19">
        <v>0.90911760586585688</v>
      </c>
      <c r="DN21" s="19">
        <v>0.90849851093418799</v>
      </c>
      <c r="DO21" s="19">
        <v>0.88566238023876243</v>
      </c>
      <c r="DP21" s="19">
        <v>0.89437280350866621</v>
      </c>
      <c r="DQ21" s="19">
        <v>0.9069865081080265</v>
      </c>
      <c r="DR21" s="19">
        <v>0.89366856905486591</v>
      </c>
      <c r="DS21" s="19">
        <v>0.89737320877726456</v>
      </c>
      <c r="DT21" s="19">
        <v>0.89843363580941737</v>
      </c>
      <c r="DU21" s="19">
        <v>0.87743515711064335</v>
      </c>
      <c r="DV21" s="19">
        <v>0.87004968309012465</v>
      </c>
      <c r="DW21" s="19">
        <v>0.8538851434701199</v>
      </c>
      <c r="DX21" s="19">
        <v>0.84785743490524235</v>
      </c>
      <c r="DY21" s="19">
        <v>0.84248719306860576</v>
      </c>
      <c r="DZ21" s="19">
        <v>0.84079113498159608</v>
      </c>
      <c r="EA21" s="19">
        <v>0.84098684382292033</v>
      </c>
      <c r="EB21" s="19">
        <v>0.84042374758203509</v>
      </c>
      <c r="EC21" s="19">
        <v>0.84003092547687086</v>
      </c>
      <c r="ED21" s="19">
        <v>0.84133757262943998</v>
      </c>
      <c r="EE21" s="19">
        <v>0.84259091578343037</v>
      </c>
      <c r="EF21" s="19">
        <v>0.84202184058154472</v>
      </c>
      <c r="EG21" s="19">
        <v>0.84144227602389066</v>
      </c>
      <c r="EH21" s="19">
        <v>0.84017854965093164</v>
      </c>
      <c r="EI21" s="19">
        <v>0.839177108369069</v>
      </c>
      <c r="EJ21" s="19">
        <v>0.84050311806789602</v>
      </c>
      <c r="EK21" s="19">
        <v>0.84087225176110314</v>
      </c>
      <c r="EL21" s="19">
        <v>0.8410841362526934</v>
      </c>
      <c r="EM21" s="19">
        <v>0.84084420334915577</v>
      </c>
      <c r="EN21" s="19">
        <v>0.83969283089252822</v>
      </c>
      <c r="EO21" s="19">
        <v>0.84052894903372266</v>
      </c>
      <c r="EP21" s="19">
        <v>0.83987321808387394</v>
      </c>
      <c r="EQ21" s="19">
        <v>0.8427345569419773</v>
      </c>
      <c r="ER21" s="19">
        <v>0.84366239105103968</v>
      </c>
      <c r="ES21" s="19">
        <v>0.84606793993370766</v>
      </c>
      <c r="ET21" s="19">
        <v>0.84905599255117581</v>
      </c>
      <c r="EU21" s="19">
        <v>0.84959963788847259</v>
      </c>
      <c r="EV21" s="19">
        <v>0.84957052764138385</v>
      </c>
      <c r="EW21" s="19">
        <v>0.85104240704316847</v>
      </c>
      <c r="EX21" s="19">
        <v>0.84711095255543423</v>
      </c>
      <c r="EY21" s="19">
        <v>0.8494366252266472</v>
      </c>
      <c r="EZ21" s="19">
        <v>0.84160627870541671</v>
      </c>
      <c r="FA21" s="19">
        <v>0.83375009369757347</v>
      </c>
      <c r="FB21" s="19">
        <v>0.83680159834795853</v>
      </c>
      <c r="FC21" s="19">
        <v>0.83692781067228683</v>
      </c>
      <c r="FD21" s="19">
        <v>0.83562999910444979</v>
      </c>
      <c r="FE21" s="19">
        <v>0.83889938334040126</v>
      </c>
      <c r="FF21" s="19">
        <v>0.83958902863417495</v>
      </c>
      <c r="FG21" s="19">
        <v>0.83967686039597944</v>
      </c>
      <c r="FH21" s="19">
        <v>0.84136946688245384</v>
      </c>
      <c r="FI21" s="19">
        <v>0.83893732817110434</v>
      </c>
      <c r="FJ21" s="19">
        <v>0.83936060197277629</v>
      </c>
      <c r="FK21" s="19">
        <v>0.84093507512751986</v>
      </c>
      <c r="FL21" s="19">
        <v>0.83860247631575668</v>
      </c>
      <c r="FM21" s="19">
        <v>0.83608954441507111</v>
      </c>
      <c r="FN21" s="19">
        <v>0.83439656505991122</v>
      </c>
      <c r="FO21" s="19">
        <v>0.83590631890317257</v>
      </c>
      <c r="FP21" s="19">
        <v>0.83866877086776792</v>
      </c>
      <c r="FQ21" s="19">
        <v>0.83820038955740084</v>
      </c>
      <c r="FR21" s="19">
        <v>0.8404519056497175</v>
      </c>
      <c r="FS21" s="19">
        <v>0.84574689405926118</v>
      </c>
      <c r="FT21" s="19">
        <v>0.84861965240970805</v>
      </c>
      <c r="FU21" s="19">
        <v>0.84867906184185815</v>
      </c>
      <c r="FV21" s="19">
        <v>0.84949995536890954</v>
      </c>
      <c r="FW21" s="19">
        <v>0.84062907534189213</v>
      </c>
      <c r="FX21" s="19">
        <v>0.8213762994324223</v>
      </c>
      <c r="FY21" s="19">
        <v>0.80851804817071171</v>
      </c>
    </row>
    <row r="22" spans="1:181" x14ac:dyDescent="0.2">
      <c r="A22" s="19"/>
      <c r="B22" s="22"/>
      <c r="C22" s="22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</row>
    <row r="23" spans="1:181" x14ac:dyDescent="0.2">
      <c r="A23" s="19"/>
      <c r="B23" s="22"/>
      <c r="C23" s="22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</row>
    <row r="24" spans="1:181" x14ac:dyDescent="0.2">
      <c r="A24" s="19"/>
      <c r="B24" s="22"/>
      <c r="C24" s="22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</row>
    <row r="25" spans="1:181" x14ac:dyDescent="0.2">
      <c r="A25" s="19"/>
      <c r="B25" s="22"/>
      <c r="C25" s="22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</row>
    <row r="26" spans="1:181" x14ac:dyDescent="0.2">
      <c r="B26" s="22"/>
      <c r="C26" s="22"/>
    </row>
    <row r="27" spans="1:181" x14ac:dyDescent="0.2">
      <c r="B27" s="22"/>
      <c r="C27" s="22"/>
    </row>
  </sheetData>
  <conditionalFormatting sqref="A4:A19">
    <cfRule type="cellIs" dxfId="1" priority="1" operator="equal">
      <formula>$H$2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Y27"/>
  <sheetViews>
    <sheetView zoomScaleNormal="100" workbookViewId="0">
      <selection activeCell="B32" sqref="B32"/>
    </sheetView>
  </sheetViews>
  <sheetFormatPr baseColWidth="10" defaultColWidth="8.83203125" defaultRowHeight="15" x14ac:dyDescent="0.2"/>
  <cols>
    <col min="1" max="1" width="31.6640625" customWidth="1"/>
    <col min="2" max="3" width="12.1640625" bestFit="1" customWidth="1"/>
    <col min="4" max="10" width="10.33203125" bestFit="1" customWidth="1"/>
    <col min="11" max="14" width="11.33203125" bestFit="1" customWidth="1"/>
    <col min="15" max="15" width="10.33203125" bestFit="1" customWidth="1"/>
    <col min="16" max="16" width="13" bestFit="1" customWidth="1"/>
    <col min="17" max="22" width="10.33203125" bestFit="1" customWidth="1"/>
    <col min="23" max="26" width="11.33203125" bestFit="1" customWidth="1"/>
    <col min="27" max="34" width="10.33203125" bestFit="1" customWidth="1"/>
    <col min="35" max="38" width="11.33203125" bestFit="1" customWidth="1"/>
    <col min="39" max="46" width="10.33203125" bestFit="1" customWidth="1"/>
    <col min="47" max="50" width="11.33203125" bestFit="1" customWidth="1"/>
    <col min="51" max="58" width="10.33203125" bestFit="1" customWidth="1"/>
    <col min="59" max="62" width="11.33203125" bestFit="1" customWidth="1"/>
    <col min="63" max="70" width="10.33203125" bestFit="1" customWidth="1"/>
    <col min="71" max="74" width="11.33203125" bestFit="1" customWidth="1"/>
    <col min="75" max="82" width="10.33203125" bestFit="1" customWidth="1"/>
    <col min="83" max="86" width="11.33203125" bestFit="1" customWidth="1"/>
    <col min="87" max="94" width="10.33203125" bestFit="1" customWidth="1"/>
    <col min="95" max="98" width="11.33203125" bestFit="1" customWidth="1"/>
    <col min="99" max="106" width="10.33203125" bestFit="1" customWidth="1"/>
    <col min="107" max="110" width="11.33203125" bestFit="1" customWidth="1"/>
    <col min="111" max="118" width="10.33203125" bestFit="1" customWidth="1"/>
    <col min="119" max="122" width="11.33203125" bestFit="1" customWidth="1"/>
    <col min="123" max="130" width="10.33203125" bestFit="1" customWidth="1"/>
    <col min="131" max="134" width="11.33203125" bestFit="1" customWidth="1"/>
    <col min="135" max="142" width="10.33203125" bestFit="1" customWidth="1"/>
    <col min="143" max="146" width="11.33203125" bestFit="1" customWidth="1"/>
    <col min="147" max="154" width="10.33203125" bestFit="1" customWidth="1"/>
    <col min="155" max="158" width="11.33203125" bestFit="1" customWidth="1"/>
    <col min="159" max="166" width="10.33203125" bestFit="1" customWidth="1"/>
    <col min="167" max="170" width="11.33203125" bestFit="1" customWidth="1"/>
    <col min="171" max="178" width="10.33203125" bestFit="1" customWidth="1"/>
    <col min="179" max="181" width="11.33203125" bestFit="1" customWidth="1"/>
  </cols>
  <sheetData>
    <row r="1" spans="1:181" ht="16" x14ac:dyDescent="0.2">
      <c r="A1" s="17" t="s">
        <v>55</v>
      </c>
      <c r="B1" s="18">
        <v>34365</v>
      </c>
      <c r="C1" s="18">
        <v>34393</v>
      </c>
      <c r="D1" s="18">
        <v>34424</v>
      </c>
      <c r="E1" s="18">
        <v>34454</v>
      </c>
      <c r="F1" s="18">
        <v>34485</v>
      </c>
      <c r="G1" s="18">
        <v>34515</v>
      </c>
      <c r="H1" s="18">
        <v>34546</v>
      </c>
      <c r="I1" s="18">
        <v>34577</v>
      </c>
      <c r="J1" s="18">
        <v>34607</v>
      </c>
      <c r="K1" s="18">
        <v>34638</v>
      </c>
      <c r="L1" s="18">
        <v>34668</v>
      </c>
      <c r="M1" s="18">
        <v>34699</v>
      </c>
      <c r="N1" s="18">
        <v>34730</v>
      </c>
      <c r="O1" s="18">
        <v>34758</v>
      </c>
      <c r="P1" s="18">
        <v>34789</v>
      </c>
      <c r="Q1" s="18">
        <v>34819</v>
      </c>
      <c r="R1" s="18">
        <v>34850</v>
      </c>
      <c r="S1" s="18">
        <v>34880</v>
      </c>
      <c r="T1" s="18">
        <v>34911</v>
      </c>
      <c r="U1" s="18">
        <v>34942</v>
      </c>
      <c r="V1" s="18">
        <v>34972</v>
      </c>
      <c r="W1" s="18">
        <v>35003</v>
      </c>
      <c r="X1" s="18">
        <v>35033</v>
      </c>
      <c r="Y1" s="18">
        <v>35064</v>
      </c>
      <c r="Z1" s="18">
        <v>35095</v>
      </c>
      <c r="AA1" s="18">
        <v>35124</v>
      </c>
      <c r="AB1" s="18">
        <v>35155</v>
      </c>
      <c r="AC1" s="18">
        <v>35185</v>
      </c>
      <c r="AD1" s="18">
        <v>35216</v>
      </c>
      <c r="AE1" s="18">
        <v>35246</v>
      </c>
      <c r="AF1" s="18">
        <v>35277</v>
      </c>
      <c r="AG1" s="18">
        <v>35308</v>
      </c>
      <c r="AH1" s="18">
        <v>35338</v>
      </c>
      <c r="AI1" s="18">
        <v>35369</v>
      </c>
      <c r="AJ1" s="18">
        <v>35399</v>
      </c>
      <c r="AK1" s="18">
        <v>35430</v>
      </c>
      <c r="AL1" s="18">
        <v>35461</v>
      </c>
      <c r="AM1" s="18">
        <v>35489</v>
      </c>
      <c r="AN1" s="18">
        <v>35520</v>
      </c>
      <c r="AO1" s="18">
        <v>35550</v>
      </c>
      <c r="AP1" s="18">
        <v>35581</v>
      </c>
      <c r="AQ1" s="18">
        <v>35611</v>
      </c>
      <c r="AR1" s="18">
        <v>35642</v>
      </c>
      <c r="AS1" s="18">
        <v>35673</v>
      </c>
      <c r="AT1" s="18">
        <v>35703</v>
      </c>
      <c r="AU1" s="18">
        <v>35734</v>
      </c>
      <c r="AV1" s="18">
        <v>35764</v>
      </c>
      <c r="AW1" s="18">
        <v>35795</v>
      </c>
      <c r="AX1" s="18">
        <v>35826</v>
      </c>
      <c r="AY1" s="18">
        <v>35854</v>
      </c>
      <c r="AZ1" s="18">
        <v>35885</v>
      </c>
      <c r="BA1" s="18">
        <v>35915</v>
      </c>
      <c r="BB1" s="18">
        <v>35946</v>
      </c>
      <c r="BC1" s="18">
        <v>35976</v>
      </c>
      <c r="BD1" s="18">
        <v>36007</v>
      </c>
      <c r="BE1" s="18">
        <v>36038</v>
      </c>
      <c r="BF1" s="18">
        <v>36068</v>
      </c>
      <c r="BG1" s="18">
        <v>36099</v>
      </c>
      <c r="BH1" s="18">
        <v>36129</v>
      </c>
      <c r="BI1" s="18">
        <v>36160</v>
      </c>
      <c r="BJ1" s="18">
        <v>36191</v>
      </c>
      <c r="BK1" s="18">
        <v>36219</v>
      </c>
      <c r="BL1" s="18">
        <v>36250</v>
      </c>
      <c r="BM1" s="18">
        <v>36280</v>
      </c>
      <c r="BN1" s="18">
        <v>36311</v>
      </c>
      <c r="BO1" s="18">
        <v>36341</v>
      </c>
      <c r="BP1" s="18">
        <v>36372</v>
      </c>
      <c r="BQ1" s="18">
        <v>36403</v>
      </c>
      <c r="BR1" s="18">
        <v>36433</v>
      </c>
      <c r="BS1" s="18">
        <v>36464</v>
      </c>
      <c r="BT1" s="18">
        <v>36494</v>
      </c>
      <c r="BU1" s="18">
        <v>36525</v>
      </c>
      <c r="BV1" s="18">
        <v>36556</v>
      </c>
      <c r="BW1" s="18">
        <v>36585</v>
      </c>
      <c r="BX1" s="18">
        <v>36616</v>
      </c>
      <c r="BY1" s="18">
        <v>36646</v>
      </c>
      <c r="BZ1" s="18">
        <v>36677</v>
      </c>
      <c r="CA1" s="18">
        <v>36707</v>
      </c>
      <c r="CB1" s="18">
        <v>36738</v>
      </c>
      <c r="CC1" s="18">
        <v>36769</v>
      </c>
      <c r="CD1" s="18">
        <v>36799</v>
      </c>
      <c r="CE1" s="18">
        <v>36830</v>
      </c>
      <c r="CF1" s="18">
        <v>36860</v>
      </c>
      <c r="CG1" s="18">
        <v>36891</v>
      </c>
      <c r="CH1" s="18">
        <v>36922</v>
      </c>
      <c r="CI1" s="18">
        <v>36950</v>
      </c>
      <c r="CJ1" s="18">
        <v>36981</v>
      </c>
      <c r="CK1" s="18">
        <v>37011</v>
      </c>
      <c r="CL1" s="18">
        <v>37042</v>
      </c>
      <c r="CM1" s="18">
        <v>37072</v>
      </c>
      <c r="CN1" s="18">
        <v>37103</v>
      </c>
      <c r="CO1" s="18">
        <v>37134</v>
      </c>
      <c r="CP1" s="18">
        <v>37164</v>
      </c>
      <c r="CQ1" s="18">
        <v>37195</v>
      </c>
      <c r="CR1" s="18">
        <v>37225</v>
      </c>
      <c r="CS1" s="18">
        <v>37256</v>
      </c>
      <c r="CT1" s="18">
        <v>37287</v>
      </c>
      <c r="CU1" s="18">
        <v>37315</v>
      </c>
      <c r="CV1" s="18">
        <v>37346</v>
      </c>
      <c r="CW1" s="18">
        <v>37376</v>
      </c>
      <c r="CX1" s="18">
        <v>37407</v>
      </c>
      <c r="CY1" s="18">
        <v>37437</v>
      </c>
      <c r="CZ1" s="18">
        <v>37468</v>
      </c>
      <c r="DA1" s="18">
        <v>37499</v>
      </c>
      <c r="DB1" s="18">
        <v>37529</v>
      </c>
      <c r="DC1" s="18">
        <v>37560</v>
      </c>
      <c r="DD1" s="18">
        <v>37590</v>
      </c>
      <c r="DE1" s="18">
        <v>37621</v>
      </c>
      <c r="DF1" s="18">
        <v>37652</v>
      </c>
      <c r="DG1" s="18">
        <v>37680</v>
      </c>
      <c r="DH1" s="18">
        <v>37711</v>
      </c>
      <c r="DI1" s="18">
        <v>37741</v>
      </c>
      <c r="DJ1" s="18">
        <v>37772</v>
      </c>
      <c r="DK1" s="18">
        <v>37802</v>
      </c>
      <c r="DL1" s="18">
        <v>37833</v>
      </c>
      <c r="DM1" s="18">
        <v>37864</v>
      </c>
      <c r="DN1" s="18">
        <v>37894</v>
      </c>
      <c r="DO1" s="18">
        <v>37925</v>
      </c>
      <c r="DP1" s="18">
        <v>37955</v>
      </c>
      <c r="DQ1" s="18">
        <v>37986</v>
      </c>
      <c r="DR1" s="18">
        <v>38017</v>
      </c>
      <c r="DS1" s="18">
        <v>38046</v>
      </c>
      <c r="DT1" s="18">
        <v>38077</v>
      </c>
      <c r="DU1" s="18">
        <v>38107</v>
      </c>
      <c r="DV1" s="18">
        <v>38138</v>
      </c>
      <c r="DW1" s="18">
        <v>38168</v>
      </c>
      <c r="DX1" s="18">
        <v>38199</v>
      </c>
      <c r="DY1" s="18">
        <v>38230</v>
      </c>
      <c r="DZ1" s="18">
        <v>38260</v>
      </c>
      <c r="EA1" s="18">
        <v>38291</v>
      </c>
      <c r="EB1" s="18">
        <v>38321</v>
      </c>
      <c r="EC1" s="18">
        <v>38352</v>
      </c>
      <c r="ED1" s="18">
        <v>38383</v>
      </c>
      <c r="EE1" s="18">
        <v>38411</v>
      </c>
      <c r="EF1" s="18">
        <v>38442</v>
      </c>
      <c r="EG1" s="18">
        <v>38472</v>
      </c>
      <c r="EH1" s="18">
        <v>38503</v>
      </c>
      <c r="EI1" s="18">
        <v>38533</v>
      </c>
      <c r="EJ1" s="18">
        <v>38564</v>
      </c>
      <c r="EK1" s="18">
        <v>38595</v>
      </c>
      <c r="EL1" s="18">
        <v>38625</v>
      </c>
      <c r="EM1" s="18">
        <v>38656</v>
      </c>
      <c r="EN1" s="18">
        <v>38686</v>
      </c>
      <c r="EO1" s="18">
        <v>38717</v>
      </c>
      <c r="EP1" s="18">
        <v>38748</v>
      </c>
      <c r="EQ1" s="18">
        <v>38776</v>
      </c>
      <c r="ER1" s="18">
        <v>38807</v>
      </c>
      <c r="ES1" s="18">
        <v>38837</v>
      </c>
      <c r="ET1" s="18">
        <v>38868</v>
      </c>
      <c r="EU1" s="18">
        <v>38898</v>
      </c>
      <c r="EV1" s="18">
        <v>38929</v>
      </c>
      <c r="EW1" s="18">
        <v>38960</v>
      </c>
      <c r="EX1" s="18">
        <v>38990</v>
      </c>
      <c r="EY1" s="18">
        <v>39021</v>
      </c>
      <c r="EZ1" s="18">
        <v>39051</v>
      </c>
      <c r="FA1" s="18">
        <v>39082</v>
      </c>
      <c r="FB1" s="18">
        <v>39113</v>
      </c>
      <c r="FC1" s="18">
        <v>39141</v>
      </c>
      <c r="FD1" s="18">
        <v>39172</v>
      </c>
      <c r="FE1" s="18">
        <v>39202</v>
      </c>
      <c r="FF1" s="18">
        <v>39233</v>
      </c>
      <c r="FG1" s="18">
        <v>39263</v>
      </c>
      <c r="FH1" s="18">
        <v>39294</v>
      </c>
      <c r="FI1" s="18">
        <v>39325</v>
      </c>
      <c r="FJ1" s="18">
        <v>39355</v>
      </c>
      <c r="FK1" s="18">
        <v>39386</v>
      </c>
      <c r="FL1" s="18">
        <v>39416</v>
      </c>
      <c r="FM1" s="18">
        <v>39447</v>
      </c>
      <c r="FN1" s="18">
        <v>39478</v>
      </c>
      <c r="FO1" s="18">
        <v>39507</v>
      </c>
      <c r="FP1" s="18">
        <v>39538</v>
      </c>
      <c r="FQ1" s="18">
        <v>39568</v>
      </c>
      <c r="FR1" s="18">
        <v>39599</v>
      </c>
      <c r="FS1" s="18">
        <v>39629</v>
      </c>
      <c r="FT1" s="18">
        <v>39660</v>
      </c>
      <c r="FU1" s="18">
        <v>39691</v>
      </c>
      <c r="FV1" s="18">
        <v>39721</v>
      </c>
      <c r="FW1" s="18">
        <v>39752</v>
      </c>
      <c r="FX1" s="18">
        <v>39782</v>
      </c>
      <c r="FY1" s="18">
        <v>39813</v>
      </c>
    </row>
    <row r="2" spans="1:181" ht="16" x14ac:dyDescent="0.2">
      <c r="A2" s="21">
        <v>41608</v>
      </c>
      <c r="B2" s="18">
        <v>36160</v>
      </c>
      <c r="C2" s="18">
        <v>36191</v>
      </c>
      <c r="D2" s="18">
        <v>36219</v>
      </c>
      <c r="E2" s="18">
        <v>36250</v>
      </c>
      <c r="F2" s="18">
        <v>36280</v>
      </c>
      <c r="G2" s="18">
        <v>36311</v>
      </c>
      <c r="H2" s="18">
        <v>36341</v>
      </c>
      <c r="I2" s="18">
        <v>36372</v>
      </c>
      <c r="J2" s="18">
        <v>36403</v>
      </c>
      <c r="K2" s="18">
        <v>36433</v>
      </c>
      <c r="L2" s="18">
        <v>36464</v>
      </c>
      <c r="M2" s="18">
        <v>36494</v>
      </c>
      <c r="N2" s="18">
        <v>36525</v>
      </c>
      <c r="O2" s="18">
        <v>36556</v>
      </c>
      <c r="P2" s="18">
        <v>36585</v>
      </c>
      <c r="Q2" s="18">
        <v>36616</v>
      </c>
      <c r="R2" s="18">
        <v>36646</v>
      </c>
      <c r="S2" s="18">
        <v>36677</v>
      </c>
      <c r="T2" s="18">
        <v>36707</v>
      </c>
      <c r="U2" s="18">
        <v>36738</v>
      </c>
      <c r="V2" s="18">
        <v>36769</v>
      </c>
      <c r="W2" s="18">
        <v>36799</v>
      </c>
      <c r="X2" s="18">
        <v>36830</v>
      </c>
      <c r="Y2" s="18">
        <v>36860</v>
      </c>
      <c r="Z2" s="18">
        <v>36891</v>
      </c>
      <c r="AA2" s="18">
        <v>36922</v>
      </c>
      <c r="AB2" s="18">
        <v>36950</v>
      </c>
      <c r="AC2" s="18">
        <v>36981</v>
      </c>
      <c r="AD2" s="18">
        <v>37011</v>
      </c>
      <c r="AE2" s="18">
        <v>37042</v>
      </c>
      <c r="AF2" s="18">
        <v>37072</v>
      </c>
      <c r="AG2" s="18">
        <v>37103</v>
      </c>
      <c r="AH2" s="18">
        <v>37134</v>
      </c>
      <c r="AI2" s="18">
        <v>37164</v>
      </c>
      <c r="AJ2" s="18">
        <v>37195</v>
      </c>
      <c r="AK2" s="18">
        <v>37225</v>
      </c>
      <c r="AL2" s="18">
        <v>37256</v>
      </c>
      <c r="AM2" s="18">
        <v>37287</v>
      </c>
      <c r="AN2" s="18">
        <v>37315</v>
      </c>
      <c r="AO2" s="18">
        <v>37346</v>
      </c>
      <c r="AP2" s="18">
        <v>37376</v>
      </c>
      <c r="AQ2" s="18">
        <v>37407</v>
      </c>
      <c r="AR2" s="18">
        <v>37437</v>
      </c>
      <c r="AS2" s="18">
        <v>37468</v>
      </c>
      <c r="AT2" s="18">
        <v>37499</v>
      </c>
      <c r="AU2" s="18">
        <v>37529</v>
      </c>
      <c r="AV2" s="18">
        <v>37560</v>
      </c>
      <c r="AW2" s="18">
        <v>37590</v>
      </c>
      <c r="AX2" s="18">
        <v>37621</v>
      </c>
      <c r="AY2" s="18">
        <v>37652</v>
      </c>
      <c r="AZ2" s="18">
        <v>37680</v>
      </c>
      <c r="BA2" s="18">
        <v>37711</v>
      </c>
      <c r="BB2" s="18">
        <v>37741</v>
      </c>
      <c r="BC2" s="18">
        <v>37772</v>
      </c>
      <c r="BD2" s="18">
        <v>37802</v>
      </c>
      <c r="BE2" s="18">
        <v>37833</v>
      </c>
      <c r="BF2" s="18">
        <v>37864</v>
      </c>
      <c r="BG2" s="18">
        <v>37894</v>
      </c>
      <c r="BH2" s="18">
        <v>37925</v>
      </c>
      <c r="BI2" s="18">
        <v>37955</v>
      </c>
      <c r="BJ2" s="18">
        <v>37986</v>
      </c>
      <c r="BK2" s="18">
        <v>38017</v>
      </c>
      <c r="BL2" s="18">
        <v>38046</v>
      </c>
      <c r="BM2" s="18">
        <v>38077</v>
      </c>
      <c r="BN2" s="18">
        <v>38107</v>
      </c>
      <c r="BO2" s="18">
        <v>38138</v>
      </c>
      <c r="BP2" s="18">
        <v>38168</v>
      </c>
      <c r="BQ2" s="18">
        <v>38199</v>
      </c>
      <c r="BR2" s="18">
        <v>38230</v>
      </c>
      <c r="BS2" s="18">
        <v>38260</v>
      </c>
      <c r="BT2" s="18">
        <v>38291</v>
      </c>
      <c r="BU2" s="18">
        <v>38321</v>
      </c>
      <c r="BV2" s="18">
        <v>38352</v>
      </c>
      <c r="BW2" s="18">
        <v>38383</v>
      </c>
      <c r="BX2" s="18">
        <v>38411</v>
      </c>
      <c r="BY2" s="18">
        <v>38442</v>
      </c>
      <c r="BZ2" s="18">
        <v>38472</v>
      </c>
      <c r="CA2" s="18">
        <v>38503</v>
      </c>
      <c r="CB2" s="18">
        <v>38533</v>
      </c>
      <c r="CC2" s="18">
        <v>38564</v>
      </c>
      <c r="CD2" s="18">
        <v>38595</v>
      </c>
      <c r="CE2" s="18">
        <v>38625</v>
      </c>
      <c r="CF2" s="18">
        <v>38656</v>
      </c>
      <c r="CG2" s="18">
        <v>38686</v>
      </c>
      <c r="CH2" s="18">
        <v>38717</v>
      </c>
      <c r="CI2" s="18">
        <v>38748</v>
      </c>
      <c r="CJ2" s="18">
        <v>38776</v>
      </c>
      <c r="CK2" s="18">
        <v>38807</v>
      </c>
      <c r="CL2" s="18">
        <v>38837</v>
      </c>
      <c r="CM2" s="18">
        <v>38868</v>
      </c>
      <c r="CN2" s="18">
        <v>38898</v>
      </c>
      <c r="CO2" s="18">
        <v>38929</v>
      </c>
      <c r="CP2" s="18">
        <v>38960</v>
      </c>
      <c r="CQ2" s="18">
        <v>38990</v>
      </c>
      <c r="CR2" s="18">
        <v>39021</v>
      </c>
      <c r="CS2" s="18">
        <v>39051</v>
      </c>
      <c r="CT2" s="18">
        <v>39082</v>
      </c>
      <c r="CU2" s="18">
        <v>39113</v>
      </c>
      <c r="CV2" s="18">
        <v>39141</v>
      </c>
      <c r="CW2" s="18">
        <v>39172</v>
      </c>
      <c r="CX2" s="18">
        <v>39202</v>
      </c>
      <c r="CY2" s="18">
        <v>39233</v>
      </c>
      <c r="CZ2" s="18">
        <v>39263</v>
      </c>
      <c r="DA2" s="18">
        <v>39294</v>
      </c>
      <c r="DB2" s="18">
        <v>39325</v>
      </c>
      <c r="DC2" s="18">
        <v>39355</v>
      </c>
      <c r="DD2" s="18">
        <v>39386</v>
      </c>
      <c r="DE2" s="18">
        <v>39416</v>
      </c>
      <c r="DF2" s="18">
        <v>39447</v>
      </c>
      <c r="DG2" s="18">
        <v>39478</v>
      </c>
      <c r="DH2" s="18">
        <v>39507</v>
      </c>
      <c r="DI2" s="18">
        <v>39538</v>
      </c>
      <c r="DJ2" s="18">
        <v>39568</v>
      </c>
      <c r="DK2" s="18">
        <v>39599</v>
      </c>
      <c r="DL2" s="18">
        <v>39629</v>
      </c>
      <c r="DM2" s="18">
        <v>39660</v>
      </c>
      <c r="DN2" s="18">
        <v>39691</v>
      </c>
      <c r="DO2" s="18">
        <v>39721</v>
      </c>
      <c r="DP2" s="18">
        <v>39752</v>
      </c>
      <c r="DQ2" s="18">
        <v>39782</v>
      </c>
      <c r="DR2" s="18">
        <v>39813</v>
      </c>
      <c r="DS2" s="18">
        <v>39844</v>
      </c>
      <c r="DT2" s="18">
        <v>39872</v>
      </c>
      <c r="DU2" s="18">
        <v>39903</v>
      </c>
      <c r="DV2" s="18">
        <v>39933</v>
      </c>
      <c r="DW2" s="18">
        <v>39964</v>
      </c>
      <c r="DX2" s="18">
        <v>39994</v>
      </c>
      <c r="DY2" s="18">
        <v>40025</v>
      </c>
      <c r="DZ2" s="18">
        <v>40056</v>
      </c>
      <c r="EA2" s="18">
        <v>40086</v>
      </c>
      <c r="EB2" s="18">
        <v>40117</v>
      </c>
      <c r="EC2" s="18">
        <v>40147</v>
      </c>
      <c r="ED2" s="18">
        <v>40178</v>
      </c>
      <c r="EE2" s="18">
        <v>40209</v>
      </c>
      <c r="EF2" s="18">
        <v>40237</v>
      </c>
      <c r="EG2" s="18">
        <v>40268</v>
      </c>
      <c r="EH2" s="18">
        <v>40298</v>
      </c>
      <c r="EI2" s="18">
        <v>40329</v>
      </c>
      <c r="EJ2" s="18">
        <v>40359</v>
      </c>
      <c r="EK2" s="18">
        <v>40390</v>
      </c>
      <c r="EL2" s="18">
        <v>40421</v>
      </c>
      <c r="EM2" s="18">
        <v>40451</v>
      </c>
      <c r="EN2" s="18">
        <v>40482</v>
      </c>
      <c r="EO2" s="18">
        <v>40512</v>
      </c>
      <c r="EP2" s="18">
        <v>40543</v>
      </c>
      <c r="EQ2" s="18">
        <v>40574</v>
      </c>
      <c r="ER2" s="18">
        <v>40602</v>
      </c>
      <c r="ES2" s="18">
        <v>40633</v>
      </c>
      <c r="ET2" s="18">
        <v>40663</v>
      </c>
      <c r="EU2" s="18">
        <v>40694</v>
      </c>
      <c r="EV2" s="18">
        <v>40724</v>
      </c>
      <c r="EW2" s="18">
        <v>40755</v>
      </c>
      <c r="EX2" s="18">
        <v>40786</v>
      </c>
      <c r="EY2" s="18">
        <v>40816</v>
      </c>
      <c r="EZ2" s="18">
        <v>40847</v>
      </c>
      <c r="FA2" s="18">
        <v>40877</v>
      </c>
      <c r="FB2" s="18">
        <v>40908</v>
      </c>
      <c r="FC2" s="18">
        <v>40939</v>
      </c>
      <c r="FD2" s="18">
        <v>40968</v>
      </c>
      <c r="FE2" s="18">
        <v>40999</v>
      </c>
      <c r="FF2" s="18">
        <v>41029</v>
      </c>
      <c r="FG2" s="18">
        <v>41060</v>
      </c>
      <c r="FH2" s="18">
        <v>41090</v>
      </c>
      <c r="FI2" s="18">
        <v>41121</v>
      </c>
      <c r="FJ2" s="18">
        <v>41152</v>
      </c>
      <c r="FK2" s="18">
        <v>41182</v>
      </c>
      <c r="FL2" s="18">
        <v>41213</v>
      </c>
      <c r="FM2" s="18">
        <v>41243</v>
      </c>
      <c r="FN2" s="18">
        <v>41274</v>
      </c>
      <c r="FO2" s="18">
        <v>41305</v>
      </c>
      <c r="FP2" s="18">
        <v>41333</v>
      </c>
      <c r="FQ2" s="18">
        <v>41364</v>
      </c>
      <c r="FR2" s="18">
        <v>41394</v>
      </c>
      <c r="FS2" s="18">
        <v>41425</v>
      </c>
      <c r="FT2" s="18">
        <v>41455</v>
      </c>
      <c r="FU2" s="18">
        <v>41486</v>
      </c>
      <c r="FV2" s="18">
        <v>41517</v>
      </c>
      <c r="FW2" s="18">
        <v>41547</v>
      </c>
      <c r="FX2" s="18">
        <v>41578</v>
      </c>
      <c r="FY2" s="18">
        <v>41608</v>
      </c>
    </row>
    <row r="3" spans="1:181" x14ac:dyDescent="0.2">
      <c r="A3" s="19" t="s">
        <v>56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</row>
    <row r="4" spans="1:181" ht="16" x14ac:dyDescent="0.2">
      <c r="A4" s="17" t="e">
        <f>#REF!</f>
        <v>#REF!</v>
      </c>
      <c r="B4" s="19">
        <v>0</v>
      </c>
      <c r="C4" s="19">
        <v>0</v>
      </c>
      <c r="D4" s="19">
        <v>0</v>
      </c>
      <c r="E4" s="19">
        <v>0</v>
      </c>
      <c r="F4" s="19">
        <v>0</v>
      </c>
      <c r="G4" s="19">
        <v>0</v>
      </c>
      <c r="H4" s="19">
        <v>0</v>
      </c>
      <c r="I4" s="19">
        <v>0</v>
      </c>
      <c r="J4" s="19"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9">
        <v>0</v>
      </c>
      <c r="S4" s="19">
        <v>0</v>
      </c>
      <c r="T4" s="19">
        <v>0</v>
      </c>
      <c r="U4" s="19">
        <v>0</v>
      </c>
      <c r="V4" s="19">
        <v>0</v>
      </c>
      <c r="W4" s="19">
        <v>0</v>
      </c>
      <c r="X4" s="19">
        <v>0</v>
      </c>
      <c r="Y4" s="19">
        <v>0</v>
      </c>
      <c r="Z4" s="19">
        <v>0</v>
      </c>
      <c r="AA4" s="19">
        <v>0</v>
      </c>
      <c r="AB4" s="19">
        <v>0</v>
      </c>
      <c r="AC4" s="19">
        <v>0</v>
      </c>
      <c r="AD4" s="19">
        <v>0</v>
      </c>
      <c r="AE4" s="19">
        <v>0</v>
      </c>
      <c r="AF4" s="19">
        <v>0</v>
      </c>
      <c r="AG4" s="19">
        <v>0</v>
      </c>
      <c r="AH4" s="19">
        <v>0</v>
      </c>
      <c r="AI4" s="19">
        <v>0</v>
      </c>
      <c r="AJ4" s="19">
        <v>0</v>
      </c>
      <c r="AK4" s="19">
        <v>0</v>
      </c>
      <c r="AL4" s="19">
        <v>0</v>
      </c>
      <c r="AM4" s="19">
        <v>0</v>
      </c>
      <c r="AN4" s="19">
        <v>0</v>
      </c>
      <c r="AO4" s="19">
        <v>0</v>
      </c>
      <c r="AP4" s="19">
        <v>0</v>
      </c>
      <c r="AQ4" s="19">
        <v>0</v>
      </c>
      <c r="AR4" s="19">
        <v>0</v>
      </c>
      <c r="AS4" s="19">
        <v>0</v>
      </c>
      <c r="AT4" s="19">
        <v>0</v>
      </c>
      <c r="AU4" s="19">
        <v>0</v>
      </c>
      <c r="AV4" s="19">
        <v>0</v>
      </c>
      <c r="AW4" s="19">
        <v>0</v>
      </c>
      <c r="AX4" s="19">
        <v>0</v>
      </c>
      <c r="AY4" s="19">
        <v>0</v>
      </c>
      <c r="AZ4" s="19">
        <v>0</v>
      </c>
      <c r="BA4" s="19">
        <v>0</v>
      </c>
      <c r="BB4" s="19">
        <v>0</v>
      </c>
      <c r="BC4" s="19">
        <v>0</v>
      </c>
      <c r="BD4" s="19">
        <v>0</v>
      </c>
      <c r="BE4" s="19">
        <v>0</v>
      </c>
      <c r="BF4" s="19">
        <v>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19">
        <v>0</v>
      </c>
      <c r="BN4" s="19">
        <v>5.8823257978573877E-3</v>
      </c>
      <c r="BO4" s="19">
        <v>0</v>
      </c>
      <c r="BP4" s="19">
        <v>0</v>
      </c>
      <c r="BQ4" s="19">
        <v>3.6804769881119562E-3</v>
      </c>
      <c r="BR4" s="19">
        <v>5.7682343497119006E-3</v>
      </c>
      <c r="BS4" s="19">
        <v>0</v>
      </c>
      <c r="BT4" s="19">
        <v>0</v>
      </c>
      <c r="BU4" s="19">
        <v>0</v>
      </c>
      <c r="BV4" s="19">
        <v>3.9872508812188248E-2</v>
      </c>
      <c r="BW4" s="19">
        <v>5.5669943572175404E-2</v>
      </c>
      <c r="BX4" s="19">
        <v>6.1372123665655365E-2</v>
      </c>
      <c r="BY4" s="19">
        <v>9.0137568901398651E-2</v>
      </c>
      <c r="BZ4" s="19">
        <v>9.0334984019649359E-2</v>
      </c>
      <c r="CA4" s="19">
        <v>8.5516566697937405E-2</v>
      </c>
      <c r="CB4" s="19">
        <v>7.7457033561030203E-2</v>
      </c>
      <c r="CC4" s="19">
        <v>7.423275039985669E-2</v>
      </c>
      <c r="CD4" s="19">
        <v>5.9833418699915014E-2</v>
      </c>
      <c r="CE4" s="19">
        <v>3.1388927477310827E-2</v>
      </c>
      <c r="CF4" s="19">
        <v>1.1991779326694251E-2</v>
      </c>
      <c r="CG4" s="19">
        <v>1.1208687110614226E-2</v>
      </c>
      <c r="CH4" s="19">
        <v>4.0471930987090773E-2</v>
      </c>
      <c r="CI4" s="19">
        <v>1.1792091228927305E-2</v>
      </c>
      <c r="CJ4" s="19">
        <v>0</v>
      </c>
      <c r="CK4" s="19">
        <v>0</v>
      </c>
      <c r="CL4" s="19">
        <v>0</v>
      </c>
      <c r="CM4" s="19">
        <v>0</v>
      </c>
      <c r="CN4" s="19">
        <v>0</v>
      </c>
      <c r="CO4" s="19">
        <v>5.2878949964516178E-3</v>
      </c>
      <c r="CP4" s="19">
        <v>2.5513342128547306E-2</v>
      </c>
      <c r="CQ4" s="19">
        <v>4.8291840913821868E-2</v>
      </c>
      <c r="CR4" s="19">
        <v>3.3660852353483563E-3</v>
      </c>
      <c r="CS4" s="19">
        <v>5.2752639470015947E-2</v>
      </c>
      <c r="CT4" s="19">
        <v>0</v>
      </c>
      <c r="CU4" s="19">
        <v>0</v>
      </c>
      <c r="CV4" s="19">
        <v>7.620787051305488E-3</v>
      </c>
      <c r="CW4" s="19">
        <v>6.1328972128589152E-4</v>
      </c>
      <c r="CX4" s="19">
        <v>0</v>
      </c>
      <c r="CY4" s="19">
        <v>0</v>
      </c>
      <c r="CZ4" s="19">
        <v>0</v>
      </c>
      <c r="DA4" s="19">
        <v>0</v>
      </c>
      <c r="DB4" s="19">
        <v>0</v>
      </c>
      <c r="DC4" s="19">
        <v>1.0752218910698091E-2</v>
      </c>
      <c r="DD4" s="19">
        <v>1.5535338390112717E-4</v>
      </c>
      <c r="DE4" s="19">
        <v>7.4070134480379284E-3</v>
      </c>
      <c r="DF4" s="19">
        <v>0</v>
      </c>
      <c r="DG4" s="19">
        <v>0</v>
      </c>
      <c r="DH4" s="19">
        <v>0</v>
      </c>
      <c r="DI4" s="19">
        <v>0</v>
      </c>
      <c r="DJ4" s="19">
        <v>0</v>
      </c>
      <c r="DK4" s="19">
        <v>0</v>
      </c>
      <c r="DL4" s="19">
        <v>0</v>
      </c>
      <c r="DM4" s="19">
        <v>0</v>
      </c>
      <c r="DN4" s="19">
        <v>0</v>
      </c>
      <c r="DO4" s="19">
        <v>0</v>
      </c>
      <c r="DP4" s="19">
        <v>0</v>
      </c>
      <c r="DQ4" s="19">
        <v>0</v>
      </c>
      <c r="DR4" s="19">
        <v>0</v>
      </c>
      <c r="DS4" s="19">
        <v>0</v>
      </c>
      <c r="DT4" s="19">
        <v>0</v>
      </c>
      <c r="DU4" s="19">
        <v>0</v>
      </c>
      <c r="DV4" s="19">
        <v>0</v>
      </c>
      <c r="DW4" s="19">
        <v>0</v>
      </c>
      <c r="DX4" s="19">
        <v>0</v>
      </c>
      <c r="DY4" s="19">
        <v>0</v>
      </c>
      <c r="DZ4" s="19">
        <v>0</v>
      </c>
      <c r="EA4" s="19">
        <v>0</v>
      </c>
      <c r="EB4" s="19">
        <v>0</v>
      </c>
      <c r="EC4" s="19">
        <v>0</v>
      </c>
      <c r="ED4" s="19">
        <v>0</v>
      </c>
      <c r="EE4" s="19">
        <v>0</v>
      </c>
      <c r="EF4" s="19">
        <v>0</v>
      </c>
      <c r="EG4" s="19">
        <v>0</v>
      </c>
      <c r="EH4" s="19">
        <v>0</v>
      </c>
      <c r="EI4" s="19">
        <v>0</v>
      </c>
      <c r="EJ4" s="19">
        <v>0</v>
      </c>
      <c r="EK4" s="19">
        <v>0</v>
      </c>
      <c r="EL4" s="19">
        <v>0</v>
      </c>
      <c r="EM4" s="19">
        <v>0</v>
      </c>
      <c r="EN4" s="19">
        <v>0</v>
      </c>
      <c r="EO4" s="19">
        <v>0</v>
      </c>
      <c r="EP4" s="19">
        <v>0</v>
      </c>
      <c r="EQ4" s="19">
        <v>0</v>
      </c>
      <c r="ER4" s="19">
        <v>0</v>
      </c>
      <c r="ES4" s="19">
        <v>0</v>
      </c>
      <c r="ET4" s="19">
        <v>0</v>
      </c>
      <c r="EU4" s="19">
        <v>0</v>
      </c>
      <c r="EV4" s="19">
        <v>0</v>
      </c>
      <c r="EW4" s="19">
        <v>0</v>
      </c>
      <c r="EX4" s="19">
        <v>0</v>
      </c>
      <c r="EY4" s="19">
        <v>0</v>
      </c>
      <c r="EZ4" s="19">
        <v>0</v>
      </c>
      <c r="FA4" s="19">
        <v>0</v>
      </c>
      <c r="FB4" s="19">
        <v>0</v>
      </c>
      <c r="FC4" s="19">
        <v>0</v>
      </c>
      <c r="FD4" s="19">
        <v>0</v>
      </c>
      <c r="FE4" s="19">
        <v>0</v>
      </c>
      <c r="FF4" s="19">
        <v>0</v>
      </c>
      <c r="FG4" s="19">
        <v>0</v>
      </c>
      <c r="FH4" s="19">
        <v>0</v>
      </c>
      <c r="FI4" s="19">
        <v>0</v>
      </c>
      <c r="FJ4" s="19">
        <v>0</v>
      </c>
      <c r="FK4" s="19">
        <v>0</v>
      </c>
      <c r="FL4" s="19">
        <v>0</v>
      </c>
      <c r="FM4" s="19">
        <v>0</v>
      </c>
      <c r="FN4" s="19">
        <v>1.2746344872720876E-2</v>
      </c>
      <c r="FO4" s="19">
        <v>4.5384438235390075E-2</v>
      </c>
      <c r="FP4" s="19">
        <v>5.577890663879044E-2</v>
      </c>
      <c r="FQ4" s="19">
        <v>5.0380328566824666E-2</v>
      </c>
      <c r="FR4" s="19">
        <v>1.3108925803504279E-2</v>
      </c>
      <c r="FS4" s="19">
        <v>0</v>
      </c>
      <c r="FT4" s="19">
        <v>0</v>
      </c>
      <c r="FU4" s="19">
        <v>0</v>
      </c>
      <c r="FV4" s="19">
        <v>0</v>
      </c>
      <c r="FW4" s="19">
        <v>0</v>
      </c>
      <c r="FX4" s="19">
        <v>0</v>
      </c>
      <c r="FY4" s="19">
        <v>0</v>
      </c>
    </row>
    <row r="5" spans="1:181" ht="16" x14ac:dyDescent="0.2">
      <c r="A5" s="17" t="e">
        <f>#REF!</f>
        <v>#REF!</v>
      </c>
      <c r="B5" s="19">
        <v>0.17001501390196305</v>
      </c>
      <c r="C5" s="19">
        <v>0.16891886767399741</v>
      </c>
      <c r="D5" s="19">
        <v>0.17182486530583024</v>
      </c>
      <c r="E5" s="19">
        <v>0.18820954706014897</v>
      </c>
      <c r="F5" s="19">
        <v>0.17316760739438564</v>
      </c>
      <c r="G5" s="19">
        <v>0.17665927228708464</v>
      </c>
      <c r="H5" s="19">
        <v>0.17938544754608046</v>
      </c>
      <c r="I5" s="19">
        <v>0.18070356315894789</v>
      </c>
      <c r="J5" s="19">
        <v>0.17802445326591257</v>
      </c>
      <c r="K5" s="19">
        <v>0.17601310755211996</v>
      </c>
      <c r="L5" s="19">
        <v>0.17296472007557065</v>
      </c>
      <c r="M5" s="19">
        <v>0.17201435005046925</v>
      </c>
      <c r="N5" s="19">
        <v>0.2107277739180233</v>
      </c>
      <c r="O5" s="19">
        <v>0.19911214421428777</v>
      </c>
      <c r="P5" s="19">
        <v>0.1839448411435067</v>
      </c>
      <c r="Q5" s="19">
        <v>0.13983610870769314</v>
      </c>
      <c r="R5" s="19">
        <v>0.14100331216394299</v>
      </c>
      <c r="S5" s="19">
        <v>0.14487814432601748</v>
      </c>
      <c r="T5" s="19">
        <v>0.13498230438301126</v>
      </c>
      <c r="U5" s="19">
        <v>0.13425964585812994</v>
      </c>
      <c r="V5" s="19">
        <v>0.137654417376392</v>
      </c>
      <c r="W5" s="19">
        <v>0.13648393854701035</v>
      </c>
      <c r="X5" s="19">
        <v>0.1313878030861646</v>
      </c>
      <c r="Y5" s="19">
        <v>0.13793473033935427</v>
      </c>
      <c r="Z5" s="19">
        <v>0.11631856028814945</v>
      </c>
      <c r="AA5" s="19">
        <v>0.11601994593255921</v>
      </c>
      <c r="AB5" s="19">
        <v>0.12408052290951468</v>
      </c>
      <c r="AC5" s="19">
        <v>0.12323908765325098</v>
      </c>
      <c r="AD5" s="19">
        <v>0.11643017508618915</v>
      </c>
      <c r="AE5" s="19">
        <v>0.11234486529634731</v>
      </c>
      <c r="AF5" s="19">
        <v>0.11438198945573842</v>
      </c>
      <c r="AG5" s="19">
        <v>0.12384125459056645</v>
      </c>
      <c r="AH5" s="19">
        <v>0.12825694572671312</v>
      </c>
      <c r="AI5" s="19">
        <v>0.10703277673558116</v>
      </c>
      <c r="AJ5" s="19">
        <v>0.10973385986808465</v>
      </c>
      <c r="AK5" s="19">
        <v>9.6111920336075587E-2</v>
      </c>
      <c r="AL5" s="19">
        <v>8.387454480984767E-2</v>
      </c>
      <c r="AM5" s="19">
        <v>8.4201889151935286E-2</v>
      </c>
      <c r="AN5" s="19">
        <v>8.0818626699548909E-2</v>
      </c>
      <c r="AO5" s="19">
        <v>7.9879183446484717E-2</v>
      </c>
      <c r="AP5" s="19">
        <v>8.3159728549124831E-2</v>
      </c>
      <c r="AQ5" s="19">
        <v>8.8750823997154518E-2</v>
      </c>
      <c r="AR5" s="19">
        <v>7.2702353346152257E-2</v>
      </c>
      <c r="AS5" s="19">
        <v>9.6677854672516203E-2</v>
      </c>
      <c r="AT5" s="19">
        <v>9.9321368532788987E-2</v>
      </c>
      <c r="AU5" s="19">
        <v>7.4975485479408563E-2</v>
      </c>
      <c r="AV5" s="19">
        <v>7.0528672690934061E-2</v>
      </c>
      <c r="AW5" s="19">
        <v>7.1716197057454495E-2</v>
      </c>
      <c r="AX5" s="19">
        <v>3.0653393139001509E-2</v>
      </c>
      <c r="AY5" s="19">
        <v>3.1858675644615787E-2</v>
      </c>
      <c r="AZ5" s="19">
        <v>4.7150774086152456E-3</v>
      </c>
      <c r="BA5" s="19">
        <v>3.0903131873801584E-2</v>
      </c>
      <c r="BB5" s="19">
        <v>4.5783245227037132E-2</v>
      </c>
      <c r="BC5" s="19">
        <v>4.5364086954169769E-2</v>
      </c>
      <c r="BD5" s="19">
        <v>4.5059655648292958E-2</v>
      </c>
      <c r="BE5" s="19">
        <v>4.673381150284827E-2</v>
      </c>
      <c r="BF5" s="19">
        <v>3.0522158991013345E-2</v>
      </c>
      <c r="BG5" s="19">
        <v>2.6566673070371256E-2</v>
      </c>
      <c r="BH5" s="19">
        <v>4.5088246849933428E-2</v>
      </c>
      <c r="BI5" s="19">
        <v>4.7525436648418538E-2</v>
      </c>
      <c r="BJ5" s="19">
        <v>0</v>
      </c>
      <c r="BK5" s="19">
        <v>0</v>
      </c>
      <c r="BL5" s="19">
        <v>0</v>
      </c>
      <c r="BM5" s="19">
        <v>0</v>
      </c>
      <c r="BN5" s="19">
        <v>6.5250355985627187E-3</v>
      </c>
      <c r="BO5" s="19">
        <v>0</v>
      </c>
      <c r="BP5" s="19">
        <v>9.5145555213067261E-3</v>
      </c>
      <c r="BQ5" s="19">
        <v>1.2942971450399115E-2</v>
      </c>
      <c r="BR5" s="19">
        <v>3.4836097319576489E-3</v>
      </c>
      <c r="BS5" s="19">
        <v>0</v>
      </c>
      <c r="BT5" s="19">
        <v>0</v>
      </c>
      <c r="BU5" s="19">
        <v>0</v>
      </c>
      <c r="BV5" s="19">
        <v>0</v>
      </c>
      <c r="BW5" s="19">
        <v>0</v>
      </c>
      <c r="BX5" s="19">
        <v>0</v>
      </c>
      <c r="BY5" s="19">
        <v>0</v>
      </c>
      <c r="BZ5" s="19">
        <v>0</v>
      </c>
      <c r="CA5" s="19">
        <v>0</v>
      </c>
      <c r="CB5" s="19">
        <v>0</v>
      </c>
      <c r="CC5" s="19">
        <v>0</v>
      </c>
      <c r="CD5" s="19">
        <v>0</v>
      </c>
      <c r="CE5" s="19">
        <v>0</v>
      </c>
      <c r="CF5" s="19">
        <v>0</v>
      </c>
      <c r="CG5" s="19">
        <v>0</v>
      </c>
      <c r="CH5" s="19">
        <v>0</v>
      </c>
      <c r="CI5" s="19">
        <v>0</v>
      </c>
      <c r="CJ5" s="19">
        <v>0</v>
      </c>
      <c r="CK5" s="19">
        <v>0</v>
      </c>
      <c r="CL5" s="19">
        <v>0</v>
      </c>
      <c r="CM5" s="19">
        <v>0</v>
      </c>
      <c r="CN5" s="19">
        <v>0</v>
      </c>
      <c r="CO5" s="19">
        <v>0</v>
      </c>
      <c r="CP5" s="19">
        <v>0</v>
      </c>
      <c r="CQ5" s="19">
        <v>0</v>
      </c>
      <c r="CR5" s="19">
        <v>0</v>
      </c>
      <c r="CS5" s="19">
        <v>0</v>
      </c>
      <c r="CT5" s="19">
        <v>0</v>
      </c>
      <c r="CU5" s="19">
        <v>0</v>
      </c>
      <c r="CV5" s="19">
        <v>0</v>
      </c>
      <c r="CW5" s="19">
        <v>0</v>
      </c>
      <c r="CX5" s="19">
        <v>0</v>
      </c>
      <c r="CY5" s="19">
        <v>0</v>
      </c>
      <c r="CZ5" s="19">
        <v>0</v>
      </c>
      <c r="DA5" s="19">
        <v>0</v>
      </c>
      <c r="DB5" s="19">
        <v>0</v>
      </c>
      <c r="DC5" s="19">
        <v>0</v>
      </c>
      <c r="DD5" s="19">
        <v>0</v>
      </c>
      <c r="DE5" s="19">
        <v>0</v>
      </c>
      <c r="DF5" s="19">
        <v>0</v>
      </c>
      <c r="DG5" s="19">
        <v>0</v>
      </c>
      <c r="DH5" s="19">
        <v>0</v>
      </c>
      <c r="DI5" s="19">
        <v>0</v>
      </c>
      <c r="DJ5" s="19">
        <v>0</v>
      </c>
      <c r="DK5" s="19">
        <v>0</v>
      </c>
      <c r="DL5" s="19">
        <v>0</v>
      </c>
      <c r="DM5" s="19">
        <v>0</v>
      </c>
      <c r="DN5" s="19">
        <v>0</v>
      </c>
      <c r="DO5" s="19">
        <v>0</v>
      </c>
      <c r="DP5" s="19">
        <v>0</v>
      </c>
      <c r="DQ5" s="19">
        <v>0</v>
      </c>
      <c r="DR5" s="19">
        <v>0</v>
      </c>
      <c r="DS5" s="19">
        <v>0</v>
      </c>
      <c r="DT5" s="19">
        <v>0</v>
      </c>
      <c r="DU5" s="19">
        <v>0</v>
      </c>
      <c r="DV5" s="19">
        <v>0</v>
      </c>
      <c r="DW5" s="19">
        <v>0</v>
      </c>
      <c r="DX5" s="19">
        <v>0</v>
      </c>
      <c r="DY5" s="19">
        <v>0</v>
      </c>
      <c r="DZ5" s="19">
        <v>0</v>
      </c>
      <c r="EA5" s="19">
        <v>0</v>
      </c>
      <c r="EB5" s="19">
        <v>0</v>
      </c>
      <c r="EC5" s="19">
        <v>0</v>
      </c>
      <c r="ED5" s="19">
        <v>0</v>
      </c>
      <c r="EE5" s="19">
        <v>0</v>
      </c>
      <c r="EF5" s="19">
        <v>0</v>
      </c>
      <c r="EG5" s="19">
        <v>0</v>
      </c>
      <c r="EH5" s="19">
        <v>0</v>
      </c>
      <c r="EI5" s="19">
        <v>0</v>
      </c>
      <c r="EJ5" s="19">
        <v>0</v>
      </c>
      <c r="EK5" s="19">
        <v>0</v>
      </c>
      <c r="EL5" s="19">
        <v>0</v>
      </c>
      <c r="EM5" s="19">
        <v>0</v>
      </c>
      <c r="EN5" s="19">
        <v>0</v>
      </c>
      <c r="EO5" s="19">
        <v>0</v>
      </c>
      <c r="EP5" s="19">
        <v>0</v>
      </c>
      <c r="EQ5" s="19">
        <v>0</v>
      </c>
      <c r="ER5" s="19">
        <v>0</v>
      </c>
      <c r="ES5" s="19">
        <v>0</v>
      </c>
      <c r="ET5" s="19">
        <v>0</v>
      </c>
      <c r="EU5" s="19">
        <v>0</v>
      </c>
      <c r="EV5" s="19">
        <v>0</v>
      </c>
      <c r="EW5" s="19">
        <v>0</v>
      </c>
      <c r="EX5" s="19">
        <v>0</v>
      </c>
      <c r="EY5" s="19">
        <v>0</v>
      </c>
      <c r="EZ5" s="19">
        <v>0</v>
      </c>
      <c r="FA5" s="19">
        <v>0</v>
      </c>
      <c r="FB5" s="19">
        <v>0</v>
      </c>
      <c r="FC5" s="19">
        <v>0</v>
      </c>
      <c r="FD5" s="19">
        <v>0</v>
      </c>
      <c r="FE5" s="19">
        <v>0</v>
      </c>
      <c r="FF5" s="19">
        <v>0</v>
      </c>
      <c r="FG5" s="19">
        <v>0</v>
      </c>
      <c r="FH5" s="19">
        <v>0</v>
      </c>
      <c r="FI5" s="19">
        <v>0</v>
      </c>
      <c r="FJ5" s="19">
        <v>0</v>
      </c>
      <c r="FK5" s="19">
        <v>8.5321270322286861E-4</v>
      </c>
      <c r="FL5" s="19">
        <v>4.2442704420511679E-3</v>
      </c>
      <c r="FM5" s="19">
        <v>7.720112350055921E-4</v>
      </c>
      <c r="FN5" s="19">
        <v>4.5034778421752374E-2</v>
      </c>
      <c r="FO5" s="19">
        <v>4.9841134754497599E-2</v>
      </c>
      <c r="FP5" s="19">
        <v>2.2042839666192544E-2</v>
      </c>
      <c r="FQ5" s="19">
        <v>3.4094600092115929E-2</v>
      </c>
      <c r="FR5" s="19">
        <v>8.0386381965608267E-2</v>
      </c>
      <c r="FS5" s="19">
        <v>9.3216160331763456E-2</v>
      </c>
      <c r="FT5" s="19">
        <v>9.8963615678099776E-2</v>
      </c>
      <c r="FU5" s="19">
        <v>9.3949987641121308E-2</v>
      </c>
      <c r="FV5" s="19">
        <v>9.503914871946012E-2</v>
      </c>
      <c r="FW5" s="19">
        <v>8.2728329449446664E-2</v>
      </c>
      <c r="FX5" s="19">
        <v>7.8573791668662393E-2</v>
      </c>
      <c r="FY5" s="19">
        <v>8.1172696976039946E-2</v>
      </c>
    </row>
    <row r="6" spans="1:181" ht="16" x14ac:dyDescent="0.2">
      <c r="A6" s="17" t="e">
        <f>#REF!</f>
        <v>#REF!</v>
      </c>
      <c r="B6" s="19">
        <v>0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9">
        <v>0</v>
      </c>
      <c r="N6" s="19">
        <v>0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9">
        <v>0</v>
      </c>
      <c r="Z6" s="19">
        <v>0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9">
        <v>0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19">
        <v>0</v>
      </c>
      <c r="AR6" s="19">
        <v>0</v>
      </c>
      <c r="AS6" s="19">
        <v>0</v>
      </c>
      <c r="AT6" s="19">
        <v>0</v>
      </c>
      <c r="AU6" s="19">
        <v>0</v>
      </c>
      <c r="AV6" s="19">
        <v>0</v>
      </c>
      <c r="AW6" s="19">
        <v>0</v>
      </c>
      <c r="AX6" s="19">
        <v>0</v>
      </c>
      <c r="AY6" s="19">
        <v>0</v>
      </c>
      <c r="AZ6" s="19">
        <v>0</v>
      </c>
      <c r="BA6" s="19">
        <v>0</v>
      </c>
      <c r="BB6" s="19">
        <v>0</v>
      </c>
      <c r="BC6" s="19">
        <v>0</v>
      </c>
      <c r="BD6" s="19">
        <v>0</v>
      </c>
      <c r="BE6" s="19">
        <v>0</v>
      </c>
      <c r="BF6" s="19">
        <v>0</v>
      </c>
      <c r="BG6" s="19">
        <v>0</v>
      </c>
      <c r="BH6" s="19">
        <v>0</v>
      </c>
      <c r="BI6" s="19">
        <v>0</v>
      </c>
      <c r="BJ6" s="19">
        <v>1.5289526226409856E-2</v>
      </c>
      <c r="BK6" s="19">
        <v>1.7272190277730654E-2</v>
      </c>
      <c r="BL6" s="19">
        <v>2.11204047674028E-2</v>
      </c>
      <c r="BM6" s="19">
        <v>2.1276342008100857E-2</v>
      </c>
      <c r="BN6" s="19">
        <v>5.9104783042706914E-3</v>
      </c>
      <c r="BO6" s="19">
        <v>0</v>
      </c>
      <c r="BP6" s="19">
        <v>0</v>
      </c>
      <c r="BQ6" s="19">
        <v>1.2455577525824199E-2</v>
      </c>
      <c r="BR6" s="19">
        <v>1.7062678747760077E-3</v>
      </c>
      <c r="BS6" s="19">
        <v>3.4861416668167406E-3</v>
      </c>
      <c r="BT6" s="19">
        <v>4.3886460205205232E-3</v>
      </c>
      <c r="BU6" s="19">
        <v>2.4428496806947787E-3</v>
      </c>
      <c r="BV6" s="19">
        <v>0</v>
      </c>
      <c r="BW6" s="19">
        <v>0</v>
      </c>
      <c r="BX6" s="19">
        <v>0</v>
      </c>
      <c r="BY6" s="19">
        <v>0</v>
      </c>
      <c r="BZ6" s="19">
        <v>0</v>
      </c>
      <c r="CA6" s="19">
        <v>0</v>
      </c>
      <c r="CB6" s="19">
        <v>0</v>
      </c>
      <c r="CC6" s="19">
        <v>0</v>
      </c>
      <c r="CD6" s="19">
        <v>0</v>
      </c>
      <c r="CE6" s="19">
        <v>0</v>
      </c>
      <c r="CF6" s="19">
        <v>0</v>
      </c>
      <c r="CG6" s="19">
        <v>0</v>
      </c>
      <c r="CH6" s="19">
        <v>0</v>
      </c>
      <c r="CI6" s="19">
        <v>0</v>
      </c>
      <c r="CJ6" s="19">
        <v>0</v>
      </c>
      <c r="CK6" s="19">
        <v>0</v>
      </c>
      <c r="CL6" s="19">
        <v>0</v>
      </c>
      <c r="CM6" s="19">
        <v>0</v>
      </c>
      <c r="CN6" s="19">
        <v>0</v>
      </c>
      <c r="CO6" s="19">
        <v>0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19">
        <v>0</v>
      </c>
      <c r="CX6" s="19">
        <v>0</v>
      </c>
      <c r="CY6" s="19">
        <v>0</v>
      </c>
      <c r="CZ6" s="19">
        <v>0</v>
      </c>
      <c r="DA6" s="19">
        <v>0</v>
      </c>
      <c r="DB6" s="19">
        <v>0</v>
      </c>
      <c r="DC6" s="19">
        <v>0</v>
      </c>
      <c r="DD6" s="19">
        <v>0</v>
      </c>
      <c r="DE6" s="19">
        <v>0</v>
      </c>
      <c r="DF6" s="19">
        <v>1.8069065970760245E-3</v>
      </c>
      <c r="DG6" s="19">
        <v>0</v>
      </c>
      <c r="DH6" s="19">
        <v>6.1323142926931846E-3</v>
      </c>
      <c r="DI6" s="19">
        <v>1.1522808905267972E-2</v>
      </c>
      <c r="DJ6" s="19">
        <v>0</v>
      </c>
      <c r="DK6" s="19">
        <v>0</v>
      </c>
      <c r="DL6" s="19">
        <v>3.5236019425881181E-3</v>
      </c>
      <c r="DM6" s="19">
        <v>8.1459498750359946E-3</v>
      </c>
      <c r="DN6" s="19">
        <v>3.47095662682304E-3</v>
      </c>
      <c r="DO6" s="19">
        <v>2.0716434819416169E-2</v>
      </c>
      <c r="DP6" s="19">
        <v>7.8548602601155697E-3</v>
      </c>
      <c r="DQ6" s="19">
        <v>1.2491229530004908E-2</v>
      </c>
      <c r="DR6" s="19">
        <v>1.4001142496259432E-3</v>
      </c>
      <c r="DS6" s="19">
        <v>3.3140007341679501E-3</v>
      </c>
      <c r="DT6" s="19">
        <v>2.1206801740036932E-2</v>
      </c>
      <c r="DU6" s="19">
        <v>1.1231763260179434E-2</v>
      </c>
      <c r="DV6" s="19">
        <v>4.0926145199864983E-2</v>
      </c>
      <c r="DW6" s="19">
        <v>3.6144895343314977E-2</v>
      </c>
      <c r="DX6" s="19">
        <v>3.4533098356611253E-2</v>
      </c>
      <c r="DY6" s="19">
        <v>3.6577164789522582E-2</v>
      </c>
      <c r="DZ6" s="19">
        <v>3.961841997539562E-2</v>
      </c>
      <c r="EA6" s="19">
        <v>4.1100323381095143E-2</v>
      </c>
      <c r="EB6" s="19">
        <v>4.228251313041697E-2</v>
      </c>
      <c r="EC6" s="19">
        <v>4.3194049073167276E-2</v>
      </c>
      <c r="ED6" s="19">
        <v>4.3624674543262278E-2</v>
      </c>
      <c r="EE6" s="19">
        <v>3.8192400891619196E-2</v>
      </c>
      <c r="EF6" s="19">
        <v>4.1038735943046779E-2</v>
      </c>
      <c r="EG6" s="19">
        <v>4.1424202651297613E-2</v>
      </c>
      <c r="EH6" s="19">
        <v>4.0501883693893612E-2</v>
      </c>
      <c r="EI6" s="19">
        <v>3.849426759297981E-2</v>
      </c>
      <c r="EJ6" s="19">
        <v>3.3554782988634395E-2</v>
      </c>
      <c r="EK6" s="19">
        <v>3.1786137178418591E-2</v>
      </c>
      <c r="EL6" s="19">
        <v>3.2010641506823069E-2</v>
      </c>
      <c r="EM6" s="19">
        <v>1.6056572712162265E-2</v>
      </c>
      <c r="EN6" s="19">
        <v>1.451215244715574E-2</v>
      </c>
      <c r="EO6" s="19">
        <v>1.3872858159471195E-2</v>
      </c>
      <c r="EP6" s="19">
        <v>1.9399434282733281E-2</v>
      </c>
      <c r="EQ6" s="19">
        <v>1.3032090179572093E-2</v>
      </c>
      <c r="ER6" s="19">
        <v>1.3642782797862383E-2</v>
      </c>
      <c r="ES6" s="19">
        <v>2.4785811572297201E-2</v>
      </c>
      <c r="ET6" s="19">
        <v>2.4047651331918472E-2</v>
      </c>
      <c r="EU6" s="19">
        <v>2.3096668186402547E-2</v>
      </c>
      <c r="EV6" s="19">
        <v>2.4848863306764713E-2</v>
      </c>
      <c r="EW6" s="19">
        <v>2.3460928467932664E-2</v>
      </c>
      <c r="EX6" s="19">
        <v>3.2485887106646641E-2</v>
      </c>
      <c r="EY6" s="19">
        <v>2.4954189962925116E-2</v>
      </c>
      <c r="EZ6" s="19">
        <v>2.369246406461931E-2</v>
      </c>
      <c r="FA6" s="19">
        <v>2.4663082144150267E-2</v>
      </c>
      <c r="FB6" s="19">
        <v>2.238622095486208E-2</v>
      </c>
      <c r="FC6" s="19">
        <v>2.2682206061590247E-2</v>
      </c>
      <c r="FD6" s="19">
        <v>1.9222776351138771E-2</v>
      </c>
      <c r="FE6" s="19">
        <v>1.5991648796586325E-2</v>
      </c>
      <c r="FF6" s="19">
        <v>1.6877599810173054E-2</v>
      </c>
      <c r="FG6" s="19">
        <v>1.7677117207421732E-2</v>
      </c>
      <c r="FH6" s="19">
        <v>2.195603660476584E-2</v>
      </c>
      <c r="FI6" s="19">
        <v>2.2316782401770621E-2</v>
      </c>
      <c r="FJ6" s="19">
        <v>1.9320561558769978E-2</v>
      </c>
      <c r="FK6" s="19">
        <v>1.681888404637168E-2</v>
      </c>
      <c r="FL6" s="19">
        <v>1.3720226506937371E-2</v>
      </c>
      <c r="FM6" s="19">
        <v>1.4790592830646003E-2</v>
      </c>
      <c r="FN6" s="19">
        <v>0</v>
      </c>
      <c r="FO6" s="19">
        <v>0</v>
      </c>
      <c r="FP6" s="19">
        <v>0</v>
      </c>
      <c r="FQ6" s="19">
        <v>0</v>
      </c>
      <c r="FR6" s="19">
        <v>0</v>
      </c>
      <c r="FS6" s="19">
        <v>0</v>
      </c>
      <c r="FT6" s="19">
        <v>0</v>
      </c>
      <c r="FU6" s="19">
        <v>0</v>
      </c>
      <c r="FV6" s="19">
        <v>0</v>
      </c>
      <c r="FW6" s="19">
        <v>0</v>
      </c>
      <c r="FX6" s="19">
        <v>0</v>
      </c>
      <c r="FY6" s="19">
        <v>0</v>
      </c>
    </row>
    <row r="7" spans="1:181" ht="16" x14ac:dyDescent="0.2">
      <c r="A7" s="17" t="e">
        <f>#REF!</f>
        <v>#REF!</v>
      </c>
      <c r="B7" s="19">
        <v>0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9">
        <v>0</v>
      </c>
      <c r="Z7" s="19">
        <v>0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19">
        <v>0</v>
      </c>
      <c r="AP7" s="19">
        <v>0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0</v>
      </c>
      <c r="AY7" s="19">
        <v>0</v>
      </c>
      <c r="AZ7" s="19">
        <v>0</v>
      </c>
      <c r="BA7" s="19">
        <v>0</v>
      </c>
      <c r="BB7" s="19">
        <v>0</v>
      </c>
      <c r="BC7" s="19">
        <v>0</v>
      </c>
      <c r="BD7" s="19">
        <v>0</v>
      </c>
      <c r="BE7" s="19">
        <v>0</v>
      </c>
      <c r="BF7" s="19">
        <v>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19">
        <v>0</v>
      </c>
      <c r="BN7" s="19">
        <v>0</v>
      </c>
      <c r="BO7" s="19">
        <v>0</v>
      </c>
      <c r="BP7" s="19">
        <v>0</v>
      </c>
      <c r="BQ7" s="19">
        <v>0</v>
      </c>
      <c r="BR7" s="19">
        <v>0</v>
      </c>
      <c r="BS7" s="19">
        <v>0</v>
      </c>
      <c r="BT7" s="19">
        <v>0</v>
      </c>
      <c r="BU7" s="19">
        <v>0</v>
      </c>
      <c r="BV7" s="19">
        <v>0</v>
      </c>
      <c r="BW7" s="19">
        <v>0</v>
      </c>
      <c r="BX7" s="19">
        <v>0</v>
      </c>
      <c r="BY7" s="19">
        <v>0</v>
      </c>
      <c r="BZ7" s="19">
        <v>0</v>
      </c>
      <c r="CA7" s="19">
        <v>0</v>
      </c>
      <c r="CB7" s="19">
        <v>0</v>
      </c>
      <c r="CC7" s="19">
        <v>0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0</v>
      </c>
      <c r="CJ7" s="19">
        <v>3.4497394321801218E-2</v>
      </c>
      <c r="CK7" s="19">
        <v>5.2501348476225132E-2</v>
      </c>
      <c r="CL7" s="19">
        <v>4.7729901422630915E-2</v>
      </c>
      <c r="CM7" s="19">
        <v>2.2011427097125315E-2</v>
      </c>
      <c r="CN7" s="19">
        <v>4.9112420288378464E-2</v>
      </c>
      <c r="CO7" s="19">
        <v>0</v>
      </c>
      <c r="CP7" s="19">
        <v>0</v>
      </c>
      <c r="CQ7" s="19">
        <v>0</v>
      </c>
      <c r="CR7" s="19">
        <v>0</v>
      </c>
      <c r="CS7" s="19">
        <v>0</v>
      </c>
      <c r="CT7" s="19">
        <v>0</v>
      </c>
      <c r="CU7" s="19">
        <v>0</v>
      </c>
      <c r="CV7" s="19">
        <v>0</v>
      </c>
      <c r="CW7" s="19">
        <v>0</v>
      </c>
      <c r="CX7" s="19">
        <v>0</v>
      </c>
      <c r="CY7" s="19">
        <v>0</v>
      </c>
      <c r="CZ7" s="19">
        <v>0</v>
      </c>
      <c r="DA7" s="19">
        <v>0</v>
      </c>
      <c r="DB7" s="19">
        <v>0</v>
      </c>
      <c r="DC7" s="19">
        <v>0</v>
      </c>
      <c r="DD7" s="19">
        <v>0</v>
      </c>
      <c r="DE7" s="19">
        <v>0</v>
      </c>
      <c r="DF7" s="19">
        <v>0</v>
      </c>
      <c r="DG7" s="19">
        <v>0</v>
      </c>
      <c r="DH7" s="19">
        <v>0</v>
      </c>
      <c r="DI7" s="19">
        <v>0</v>
      </c>
      <c r="DJ7" s="19">
        <v>0</v>
      </c>
      <c r="DK7" s="19">
        <v>0</v>
      </c>
      <c r="DL7" s="19">
        <v>0</v>
      </c>
      <c r="DM7" s="19">
        <v>0</v>
      </c>
      <c r="DN7" s="19">
        <v>0</v>
      </c>
      <c r="DO7" s="19">
        <v>0</v>
      </c>
      <c r="DP7" s="19">
        <v>0</v>
      </c>
      <c r="DQ7" s="19">
        <v>0</v>
      </c>
      <c r="DR7" s="19">
        <v>0</v>
      </c>
      <c r="DS7" s="19">
        <v>0</v>
      </c>
      <c r="DT7" s="19">
        <v>0</v>
      </c>
      <c r="DU7" s="19">
        <v>0</v>
      </c>
      <c r="DV7" s="19">
        <v>0</v>
      </c>
      <c r="DW7" s="19">
        <v>0</v>
      </c>
      <c r="DX7" s="19">
        <v>0</v>
      </c>
      <c r="DY7" s="19">
        <v>0</v>
      </c>
      <c r="DZ7" s="19">
        <v>0</v>
      </c>
      <c r="EA7" s="19">
        <v>0</v>
      </c>
      <c r="EB7" s="19">
        <v>0</v>
      </c>
      <c r="EC7" s="19">
        <v>0</v>
      </c>
      <c r="ED7" s="19">
        <v>0</v>
      </c>
      <c r="EE7" s="19">
        <v>0</v>
      </c>
      <c r="EF7" s="19">
        <v>0</v>
      </c>
      <c r="EG7" s="19">
        <v>0</v>
      </c>
      <c r="EH7" s="19">
        <v>0</v>
      </c>
      <c r="EI7" s="19">
        <v>0</v>
      </c>
      <c r="EJ7" s="19">
        <v>0</v>
      </c>
      <c r="EK7" s="19">
        <v>0</v>
      </c>
      <c r="EL7" s="19">
        <v>0</v>
      </c>
      <c r="EM7" s="19">
        <v>0</v>
      </c>
      <c r="EN7" s="19">
        <v>0</v>
      </c>
      <c r="EO7" s="19">
        <v>0</v>
      </c>
      <c r="EP7" s="19">
        <v>0</v>
      </c>
      <c r="EQ7" s="19">
        <v>0</v>
      </c>
      <c r="ER7" s="19">
        <v>0</v>
      </c>
      <c r="ES7" s="19">
        <v>0</v>
      </c>
      <c r="ET7" s="19">
        <v>0</v>
      </c>
      <c r="EU7" s="19">
        <v>0</v>
      </c>
      <c r="EV7" s="19">
        <v>0</v>
      </c>
      <c r="EW7" s="19">
        <v>0</v>
      </c>
      <c r="EX7" s="19">
        <v>0</v>
      </c>
      <c r="EY7" s="19">
        <v>0</v>
      </c>
      <c r="EZ7" s="19">
        <v>0</v>
      </c>
      <c r="FA7" s="19">
        <v>0</v>
      </c>
      <c r="FB7" s="19">
        <v>0</v>
      </c>
      <c r="FC7" s="19">
        <v>0</v>
      </c>
      <c r="FD7" s="19">
        <v>0</v>
      </c>
      <c r="FE7" s="19">
        <v>0</v>
      </c>
      <c r="FF7" s="19">
        <v>0</v>
      </c>
      <c r="FG7" s="19">
        <v>0</v>
      </c>
      <c r="FH7" s="19">
        <v>0</v>
      </c>
      <c r="FI7" s="19">
        <v>0</v>
      </c>
      <c r="FJ7" s="19">
        <v>0</v>
      </c>
      <c r="FK7" s="19">
        <v>0</v>
      </c>
      <c r="FL7" s="19">
        <v>0</v>
      </c>
      <c r="FM7" s="19">
        <v>0</v>
      </c>
      <c r="FN7" s="19">
        <v>0</v>
      </c>
      <c r="FO7" s="19">
        <v>0</v>
      </c>
      <c r="FP7" s="19">
        <v>0</v>
      </c>
      <c r="FQ7" s="19">
        <v>0</v>
      </c>
      <c r="FR7" s="19">
        <v>0</v>
      </c>
      <c r="FS7" s="19">
        <v>0</v>
      </c>
      <c r="FT7" s="19">
        <v>0</v>
      </c>
      <c r="FU7" s="19">
        <v>0</v>
      </c>
      <c r="FV7" s="19">
        <v>0</v>
      </c>
      <c r="FW7" s="19">
        <v>0</v>
      </c>
      <c r="FX7" s="19">
        <v>0</v>
      </c>
      <c r="FY7" s="19">
        <v>0</v>
      </c>
    </row>
    <row r="8" spans="1:181" ht="16" x14ac:dyDescent="0.2">
      <c r="A8" s="17" t="e">
        <f>#REF!</f>
        <v>#REF!</v>
      </c>
      <c r="B8" s="19">
        <v>0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19"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0</v>
      </c>
      <c r="AW8" s="19">
        <v>0</v>
      </c>
      <c r="AX8" s="19">
        <v>0</v>
      </c>
      <c r="AY8" s="19">
        <v>0</v>
      </c>
      <c r="AZ8" s="19">
        <v>2.7589529987680619E-2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I8" s="19">
        <v>0</v>
      </c>
      <c r="BJ8" s="19">
        <v>8.5948236528722681E-3</v>
      </c>
      <c r="BK8" s="19">
        <v>5.8982324087660824E-3</v>
      </c>
      <c r="BL8" s="19">
        <v>0</v>
      </c>
      <c r="BM8" s="19">
        <v>0</v>
      </c>
      <c r="BN8" s="19">
        <v>8.145694508116471E-3</v>
      </c>
      <c r="BO8" s="19">
        <v>1.5356891005062599E-2</v>
      </c>
      <c r="BP8" s="19">
        <v>0</v>
      </c>
      <c r="BQ8" s="19">
        <v>5.6061509411366639E-4</v>
      </c>
      <c r="BR8" s="19">
        <v>1.4759314729430414E-2</v>
      </c>
      <c r="BS8" s="19">
        <v>5.8969855258644011E-2</v>
      </c>
      <c r="BT8" s="19">
        <v>5.7437135615659558E-2</v>
      </c>
      <c r="BU8" s="19">
        <v>6.0016676412309448E-2</v>
      </c>
      <c r="BV8" s="19">
        <v>0</v>
      </c>
      <c r="BW8" s="19">
        <v>0</v>
      </c>
      <c r="BX8" s="19">
        <v>0</v>
      </c>
      <c r="BY8" s="19">
        <v>0</v>
      </c>
      <c r="BZ8" s="19">
        <v>0</v>
      </c>
      <c r="CA8" s="19">
        <v>0</v>
      </c>
      <c r="CB8" s="19">
        <v>0</v>
      </c>
      <c r="CC8" s="19">
        <v>1.4448419596242389E-2</v>
      </c>
      <c r="CD8" s="19">
        <v>2.85360404037114E-2</v>
      </c>
      <c r="CE8" s="19">
        <v>6.1196414442356184E-2</v>
      </c>
      <c r="CF8" s="19">
        <v>7.9312893819132563E-2</v>
      </c>
      <c r="CG8" s="19">
        <v>7.6180068460596745E-2</v>
      </c>
      <c r="CH8" s="19">
        <v>4.5800591415350166E-2</v>
      </c>
      <c r="CI8" s="19">
        <v>7.8297514579026742E-2</v>
      </c>
      <c r="CJ8" s="19">
        <v>3.5570435345947185E-2</v>
      </c>
      <c r="CK8" s="19">
        <v>0</v>
      </c>
      <c r="CL8" s="19">
        <v>0</v>
      </c>
      <c r="CM8" s="19">
        <v>8.8171739480403643E-3</v>
      </c>
      <c r="CN8" s="19">
        <v>0</v>
      </c>
      <c r="CO8" s="19">
        <v>3.4211021499296015E-2</v>
      </c>
      <c r="CP8" s="19">
        <v>0</v>
      </c>
      <c r="CQ8" s="19">
        <v>0</v>
      </c>
      <c r="CR8" s="19">
        <v>3.4683996221376336E-2</v>
      </c>
      <c r="CS8" s="19">
        <v>2.3802968822620352E-3</v>
      </c>
      <c r="CT8" s="19">
        <v>4.6052673893830623E-2</v>
      </c>
      <c r="CU8" s="19">
        <v>4.0360417832282836E-2</v>
      </c>
      <c r="CV8" s="19">
        <v>0</v>
      </c>
      <c r="CW8" s="19">
        <v>0</v>
      </c>
      <c r="CX8" s="19">
        <v>0</v>
      </c>
      <c r="CY8" s="19">
        <v>0</v>
      </c>
      <c r="CZ8" s="19">
        <v>0</v>
      </c>
      <c r="DA8" s="19">
        <v>0</v>
      </c>
      <c r="DB8" s="19">
        <v>0</v>
      </c>
      <c r="DC8" s="19">
        <v>0</v>
      </c>
      <c r="DD8" s="19">
        <v>0</v>
      </c>
      <c r="DE8" s="19">
        <v>0</v>
      </c>
      <c r="DF8" s="19">
        <v>0</v>
      </c>
      <c r="DG8" s="19">
        <v>0</v>
      </c>
      <c r="DH8" s="19">
        <v>0</v>
      </c>
      <c r="DI8" s="19">
        <v>0</v>
      </c>
      <c r="DJ8" s="19">
        <v>0</v>
      </c>
      <c r="DK8" s="19">
        <v>0</v>
      </c>
      <c r="DL8" s="19">
        <v>0</v>
      </c>
      <c r="DM8" s="19">
        <v>0</v>
      </c>
      <c r="DN8" s="19">
        <v>0</v>
      </c>
      <c r="DO8" s="19">
        <v>0</v>
      </c>
      <c r="DP8" s="19">
        <v>0</v>
      </c>
      <c r="DQ8" s="19">
        <v>0</v>
      </c>
      <c r="DR8" s="19">
        <v>0</v>
      </c>
      <c r="DS8" s="19">
        <v>0</v>
      </c>
      <c r="DT8" s="19">
        <v>0</v>
      </c>
      <c r="DU8" s="19">
        <v>0</v>
      </c>
      <c r="DV8" s="19">
        <v>0</v>
      </c>
      <c r="DW8" s="19">
        <v>0</v>
      </c>
      <c r="DX8" s="19">
        <v>0</v>
      </c>
      <c r="DY8" s="19">
        <v>0</v>
      </c>
      <c r="DZ8" s="19">
        <v>0</v>
      </c>
      <c r="EA8" s="19">
        <v>0</v>
      </c>
      <c r="EB8" s="19">
        <v>0</v>
      </c>
      <c r="EC8" s="19">
        <v>0</v>
      </c>
      <c r="ED8" s="19">
        <v>0</v>
      </c>
      <c r="EE8" s="19">
        <v>0</v>
      </c>
      <c r="EF8" s="19">
        <v>0</v>
      </c>
      <c r="EG8" s="19">
        <v>0</v>
      </c>
      <c r="EH8" s="19">
        <v>0</v>
      </c>
      <c r="EI8" s="19">
        <v>0</v>
      </c>
      <c r="EJ8" s="19">
        <v>0</v>
      </c>
      <c r="EK8" s="19">
        <v>0</v>
      </c>
      <c r="EL8" s="19">
        <v>0</v>
      </c>
      <c r="EM8" s="19">
        <v>0</v>
      </c>
      <c r="EN8" s="19">
        <v>0</v>
      </c>
      <c r="EO8" s="19">
        <v>0</v>
      </c>
      <c r="EP8" s="19">
        <v>0</v>
      </c>
      <c r="EQ8" s="19">
        <v>0</v>
      </c>
      <c r="ER8" s="19">
        <v>0</v>
      </c>
      <c r="ES8" s="19">
        <v>0</v>
      </c>
      <c r="ET8" s="19">
        <v>0</v>
      </c>
      <c r="EU8" s="19">
        <v>0</v>
      </c>
      <c r="EV8" s="19">
        <v>0</v>
      </c>
      <c r="EW8" s="19">
        <v>0</v>
      </c>
      <c r="EX8" s="19">
        <v>0</v>
      </c>
      <c r="EY8" s="19">
        <v>0</v>
      </c>
      <c r="EZ8" s="19">
        <v>0</v>
      </c>
      <c r="FA8" s="19">
        <v>0</v>
      </c>
      <c r="FB8" s="19">
        <v>0</v>
      </c>
      <c r="FC8" s="19">
        <v>0</v>
      </c>
      <c r="FD8" s="19">
        <v>0</v>
      </c>
      <c r="FE8" s="19">
        <v>0</v>
      </c>
      <c r="FF8" s="19">
        <v>0</v>
      </c>
      <c r="FG8" s="19">
        <v>0</v>
      </c>
      <c r="FH8" s="19">
        <v>0</v>
      </c>
      <c r="FI8" s="19">
        <v>0</v>
      </c>
      <c r="FJ8" s="19">
        <v>0</v>
      </c>
      <c r="FK8" s="19">
        <v>0</v>
      </c>
      <c r="FL8" s="19">
        <v>0</v>
      </c>
      <c r="FM8" s="19">
        <v>0</v>
      </c>
      <c r="FN8" s="19">
        <v>4.1596826752105923E-2</v>
      </c>
      <c r="FO8" s="19">
        <v>0</v>
      </c>
      <c r="FP8" s="19">
        <v>1.7057981231048996E-2</v>
      </c>
      <c r="FQ8" s="19">
        <v>5.8291616161669953E-3</v>
      </c>
      <c r="FR8" s="19">
        <v>0</v>
      </c>
      <c r="FS8" s="19">
        <v>0</v>
      </c>
      <c r="FT8" s="19">
        <v>0</v>
      </c>
      <c r="FU8" s="19">
        <v>0</v>
      </c>
      <c r="FV8" s="19">
        <v>0</v>
      </c>
      <c r="FW8" s="19">
        <v>0</v>
      </c>
      <c r="FX8" s="19">
        <v>0</v>
      </c>
      <c r="FY8" s="19">
        <v>0</v>
      </c>
    </row>
    <row r="9" spans="1:181" ht="16" x14ac:dyDescent="0.2">
      <c r="A9" s="17" t="e">
        <f>#REF!</f>
        <v>#REF!</v>
      </c>
      <c r="B9" s="19">
        <v>0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>
        <v>0</v>
      </c>
      <c r="AC9" s="19">
        <v>0</v>
      </c>
      <c r="AD9" s="19">
        <v>0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19">
        <v>0</v>
      </c>
      <c r="AP9" s="19">
        <v>0</v>
      </c>
      <c r="AQ9" s="19">
        <v>0</v>
      </c>
      <c r="AR9" s="19">
        <v>0</v>
      </c>
      <c r="AS9" s="19">
        <v>0</v>
      </c>
      <c r="AT9" s="19">
        <v>0</v>
      </c>
      <c r="AU9" s="19">
        <v>0</v>
      </c>
      <c r="AV9" s="19">
        <v>0</v>
      </c>
      <c r="AW9" s="19">
        <v>0</v>
      </c>
      <c r="AX9" s="19">
        <v>0</v>
      </c>
      <c r="AY9" s="19">
        <v>0</v>
      </c>
      <c r="AZ9" s="19">
        <v>0</v>
      </c>
      <c r="BA9" s="19">
        <v>0</v>
      </c>
      <c r="BB9" s="19">
        <v>0</v>
      </c>
      <c r="BC9" s="19">
        <v>0</v>
      </c>
      <c r="BD9" s="19">
        <v>0</v>
      </c>
      <c r="BE9" s="19">
        <v>0</v>
      </c>
      <c r="BF9" s="19">
        <v>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19">
        <v>0</v>
      </c>
      <c r="BN9" s="19">
        <v>1.5624023069795599E-2</v>
      </c>
      <c r="BO9" s="19">
        <v>2.8187884170212146E-2</v>
      </c>
      <c r="BP9" s="19">
        <v>3.5697259713476828E-2</v>
      </c>
      <c r="BQ9" s="19">
        <v>1.7122850544944185E-2</v>
      </c>
      <c r="BR9" s="19">
        <v>2.536367873717818E-2</v>
      </c>
      <c r="BS9" s="19">
        <v>0</v>
      </c>
      <c r="BT9" s="19">
        <v>0</v>
      </c>
      <c r="BU9" s="19">
        <v>0</v>
      </c>
      <c r="BV9" s="19">
        <v>0</v>
      </c>
      <c r="BW9" s="19">
        <v>0</v>
      </c>
      <c r="BX9" s="19">
        <v>0</v>
      </c>
      <c r="BY9" s="19">
        <v>0</v>
      </c>
      <c r="BZ9" s="19">
        <v>0</v>
      </c>
      <c r="CA9" s="19">
        <v>0</v>
      </c>
      <c r="CB9" s="19">
        <v>0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0</v>
      </c>
      <c r="CJ9" s="19">
        <v>0</v>
      </c>
      <c r="CK9" s="19">
        <v>0</v>
      </c>
      <c r="CL9" s="19">
        <v>0</v>
      </c>
      <c r="CM9" s="19">
        <v>5.377503800338225E-3</v>
      </c>
      <c r="CN9" s="19">
        <v>0</v>
      </c>
      <c r="CO9" s="19">
        <v>6.5445471662820484E-3</v>
      </c>
      <c r="CP9" s="19">
        <v>1.656859229573458E-3</v>
      </c>
      <c r="CQ9" s="19">
        <v>0</v>
      </c>
      <c r="CR9" s="19">
        <v>0</v>
      </c>
      <c r="CS9" s="19">
        <v>0</v>
      </c>
      <c r="CT9" s="19">
        <v>0</v>
      </c>
      <c r="CU9" s="19">
        <v>2.8136650627035419E-3</v>
      </c>
      <c r="CV9" s="19">
        <v>2.1001627710744437E-2</v>
      </c>
      <c r="CW9" s="19">
        <v>3.8566958658993553E-2</v>
      </c>
      <c r="CX9" s="19">
        <v>1.6253669850991022E-3</v>
      </c>
      <c r="CY9" s="19">
        <v>0</v>
      </c>
      <c r="CZ9" s="19">
        <v>3.1083192513381031E-2</v>
      </c>
      <c r="DA9" s="19">
        <v>2.5921858100719931E-2</v>
      </c>
      <c r="DB9" s="19">
        <v>2.6319050977826761E-2</v>
      </c>
      <c r="DC9" s="19">
        <v>3.9638008081592492E-2</v>
      </c>
      <c r="DD9" s="19">
        <v>3.7004267502009913E-2</v>
      </c>
      <c r="DE9" s="19">
        <v>3.7137651399503015E-2</v>
      </c>
      <c r="DF9" s="19">
        <v>0</v>
      </c>
      <c r="DG9" s="19">
        <v>0</v>
      </c>
      <c r="DH9" s="19">
        <v>0</v>
      </c>
      <c r="DI9" s="19">
        <v>0</v>
      </c>
      <c r="DJ9" s="19">
        <v>0</v>
      </c>
      <c r="DK9" s="19">
        <v>0</v>
      </c>
      <c r="DL9" s="19">
        <v>0</v>
      </c>
      <c r="DM9" s="19">
        <v>0</v>
      </c>
      <c r="DN9" s="19">
        <v>0</v>
      </c>
      <c r="DO9" s="19">
        <v>0</v>
      </c>
      <c r="DP9" s="19">
        <v>0</v>
      </c>
      <c r="DQ9" s="19">
        <v>0</v>
      </c>
      <c r="DR9" s="19">
        <v>0</v>
      </c>
      <c r="DS9" s="19">
        <v>0</v>
      </c>
      <c r="DT9" s="19">
        <v>0</v>
      </c>
      <c r="DU9" s="19">
        <v>0</v>
      </c>
      <c r="DV9" s="19">
        <v>0</v>
      </c>
      <c r="DW9" s="19">
        <v>0</v>
      </c>
      <c r="DX9" s="19">
        <v>0</v>
      </c>
      <c r="DY9" s="19">
        <v>0</v>
      </c>
      <c r="DZ9" s="19">
        <v>0</v>
      </c>
      <c r="EA9" s="19">
        <v>0</v>
      </c>
      <c r="EB9" s="19">
        <v>0</v>
      </c>
      <c r="EC9" s="19">
        <v>0</v>
      </c>
      <c r="ED9" s="19">
        <v>0</v>
      </c>
      <c r="EE9" s="19">
        <v>0</v>
      </c>
      <c r="EF9" s="19">
        <v>0</v>
      </c>
      <c r="EG9" s="19">
        <v>0</v>
      </c>
      <c r="EH9" s="19">
        <v>0</v>
      </c>
      <c r="EI9" s="19">
        <v>0</v>
      </c>
      <c r="EJ9" s="19">
        <v>0</v>
      </c>
      <c r="EK9" s="19">
        <v>0</v>
      </c>
      <c r="EL9" s="19">
        <v>0</v>
      </c>
      <c r="EM9" s="19">
        <v>0</v>
      </c>
      <c r="EN9" s="19">
        <v>0</v>
      </c>
      <c r="EO9" s="19">
        <v>0</v>
      </c>
      <c r="EP9" s="19">
        <v>0</v>
      </c>
      <c r="EQ9" s="19">
        <v>0</v>
      </c>
      <c r="ER9" s="19">
        <v>0</v>
      </c>
      <c r="ES9" s="19">
        <v>0</v>
      </c>
      <c r="ET9" s="19">
        <v>0</v>
      </c>
      <c r="EU9" s="19">
        <v>0</v>
      </c>
      <c r="EV9" s="19">
        <v>0</v>
      </c>
      <c r="EW9" s="19">
        <v>0</v>
      </c>
      <c r="EX9" s="19">
        <v>0</v>
      </c>
      <c r="EY9" s="19">
        <v>0</v>
      </c>
      <c r="EZ9" s="19">
        <v>0</v>
      </c>
      <c r="FA9" s="19">
        <v>0</v>
      </c>
      <c r="FB9" s="19">
        <v>0</v>
      </c>
      <c r="FC9" s="19">
        <v>0</v>
      </c>
      <c r="FD9" s="19">
        <v>0</v>
      </c>
      <c r="FE9" s="19">
        <v>0</v>
      </c>
      <c r="FF9" s="19">
        <v>0</v>
      </c>
      <c r="FG9" s="19">
        <v>0</v>
      </c>
      <c r="FH9" s="19">
        <v>0</v>
      </c>
      <c r="FI9" s="19">
        <v>0</v>
      </c>
      <c r="FJ9" s="19">
        <v>0</v>
      </c>
      <c r="FK9" s="19">
        <v>0</v>
      </c>
      <c r="FL9" s="19">
        <v>0</v>
      </c>
      <c r="FM9" s="19">
        <v>0</v>
      </c>
      <c r="FN9" s="19">
        <v>0</v>
      </c>
      <c r="FO9" s="19">
        <v>0</v>
      </c>
      <c r="FP9" s="19">
        <v>0</v>
      </c>
      <c r="FQ9" s="19">
        <v>0</v>
      </c>
      <c r="FR9" s="19">
        <v>0</v>
      </c>
      <c r="FS9" s="19">
        <v>0</v>
      </c>
      <c r="FT9" s="19">
        <v>0</v>
      </c>
      <c r="FU9" s="19">
        <v>0</v>
      </c>
      <c r="FV9" s="19">
        <v>0</v>
      </c>
      <c r="FW9" s="19">
        <v>0</v>
      </c>
      <c r="FX9" s="19">
        <v>0</v>
      </c>
      <c r="FY9" s="19">
        <v>0</v>
      </c>
    </row>
    <row r="10" spans="1:181" ht="16" x14ac:dyDescent="0.2">
      <c r="A10" s="17" t="e">
        <f>#REF!</f>
        <v>#REF!</v>
      </c>
      <c r="B10" s="19">
        <v>9.3946505422079149E-3</v>
      </c>
      <c r="C10" s="19">
        <v>1.0357051243969339E-2</v>
      </c>
      <c r="D10" s="19">
        <v>6.642522300215962E-3</v>
      </c>
      <c r="E10" s="19">
        <v>0</v>
      </c>
      <c r="F10" s="19">
        <v>0</v>
      </c>
      <c r="G10" s="19">
        <v>0</v>
      </c>
      <c r="H10" s="19">
        <v>0</v>
      </c>
      <c r="I10" s="19">
        <v>0</v>
      </c>
      <c r="J10" s="19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9">
        <v>0</v>
      </c>
      <c r="S10" s="19">
        <v>0</v>
      </c>
      <c r="T10" s="19">
        <v>0</v>
      </c>
      <c r="U10" s="19">
        <v>0</v>
      </c>
      <c r="V10" s="19">
        <v>0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0</v>
      </c>
      <c r="AD10" s="19">
        <v>0</v>
      </c>
      <c r="AE10" s="19">
        <v>0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5.1330500178514279E-3</v>
      </c>
      <c r="AM10" s="19">
        <v>4.7861862294503845E-3</v>
      </c>
      <c r="AN10" s="19">
        <v>1.0458296466642062E-2</v>
      </c>
      <c r="AO10" s="19">
        <v>1.0629668151163426E-2</v>
      </c>
      <c r="AP10" s="19">
        <v>9.72888745257754E-3</v>
      </c>
      <c r="AQ10" s="19">
        <v>9.4852803165606184E-3</v>
      </c>
      <c r="AR10" s="19">
        <v>0</v>
      </c>
      <c r="AS10" s="19">
        <v>0</v>
      </c>
      <c r="AT10" s="19">
        <v>0</v>
      </c>
      <c r="AU10" s="19">
        <v>0</v>
      </c>
      <c r="AV10" s="19">
        <v>0</v>
      </c>
      <c r="AW10" s="19">
        <v>0</v>
      </c>
      <c r="AX10" s="19">
        <v>0</v>
      </c>
      <c r="AY10" s="19">
        <v>0</v>
      </c>
      <c r="AZ10" s="19">
        <v>0</v>
      </c>
      <c r="BA10" s="19">
        <v>0</v>
      </c>
      <c r="BB10" s="19">
        <v>0</v>
      </c>
      <c r="BC10" s="19">
        <v>0</v>
      </c>
      <c r="BD10" s="19">
        <v>0</v>
      </c>
      <c r="BE10" s="19">
        <v>0</v>
      </c>
      <c r="BF10" s="19">
        <v>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19">
        <v>0</v>
      </c>
      <c r="BN10" s="19">
        <v>0</v>
      </c>
      <c r="BO10" s="19">
        <v>0</v>
      </c>
      <c r="BP10" s="19">
        <v>0</v>
      </c>
      <c r="BQ10" s="19">
        <v>0</v>
      </c>
      <c r="BR10" s="19">
        <v>0</v>
      </c>
      <c r="BS10" s="19">
        <v>0</v>
      </c>
      <c r="BT10" s="19">
        <v>0</v>
      </c>
      <c r="BU10" s="19">
        <v>0</v>
      </c>
      <c r="BV10" s="19">
        <v>0</v>
      </c>
      <c r="BW10" s="19">
        <v>0</v>
      </c>
      <c r="BX10" s="19">
        <v>0</v>
      </c>
      <c r="BY10" s="19">
        <v>0</v>
      </c>
      <c r="BZ10" s="19">
        <v>0</v>
      </c>
      <c r="CA10" s="19">
        <v>0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>
        <v>0</v>
      </c>
      <c r="CH10" s="19">
        <v>0</v>
      </c>
      <c r="CI10" s="19">
        <v>0</v>
      </c>
      <c r="CJ10" s="19">
        <v>0</v>
      </c>
      <c r="CK10" s="19">
        <v>0</v>
      </c>
      <c r="CL10" s="19">
        <v>0</v>
      </c>
      <c r="CM10" s="19">
        <v>5.6587352329479394E-3</v>
      </c>
      <c r="CN10" s="19">
        <v>1.2193042376307693E-3</v>
      </c>
      <c r="CO10" s="19">
        <v>2.4948901869272307E-3</v>
      </c>
      <c r="CP10" s="19">
        <v>8.8006922254564024E-3</v>
      </c>
      <c r="CQ10" s="19">
        <v>1.3329167260660759E-3</v>
      </c>
      <c r="CR10" s="19">
        <v>1.6026496198487386E-3</v>
      </c>
      <c r="CS10" s="19">
        <v>1.4238250831759649E-4</v>
      </c>
      <c r="CT10" s="19">
        <v>6.0265298301758188E-3</v>
      </c>
      <c r="CU10" s="19">
        <v>7.4387763342742596E-3</v>
      </c>
      <c r="CV10" s="19">
        <v>7.1005392337780224E-3</v>
      </c>
      <c r="CW10" s="19">
        <v>1.3419512060455906E-3</v>
      </c>
      <c r="CX10" s="19">
        <v>9.3586083072142185E-3</v>
      </c>
      <c r="CY10" s="19">
        <v>8.5677277652615388E-3</v>
      </c>
      <c r="CZ10" s="19">
        <v>7.3884051237250994E-3</v>
      </c>
      <c r="DA10" s="19">
        <v>7.3298900476255488E-3</v>
      </c>
      <c r="DB10" s="19">
        <v>6.6584244769886782E-3</v>
      </c>
      <c r="DC10" s="19">
        <v>1.1706254539493076E-2</v>
      </c>
      <c r="DD10" s="19">
        <v>1.3146726872525641E-2</v>
      </c>
      <c r="DE10" s="19">
        <v>1.2439749900185842E-2</v>
      </c>
      <c r="DF10" s="19">
        <v>0</v>
      </c>
      <c r="DG10" s="19">
        <v>0</v>
      </c>
      <c r="DH10" s="19">
        <v>0</v>
      </c>
      <c r="DI10" s="19">
        <v>0</v>
      </c>
      <c r="DJ10" s="19">
        <v>0</v>
      </c>
      <c r="DK10" s="19">
        <v>0</v>
      </c>
      <c r="DL10" s="19">
        <v>0</v>
      </c>
      <c r="DM10" s="19">
        <v>0</v>
      </c>
      <c r="DN10" s="19">
        <v>0</v>
      </c>
      <c r="DO10" s="19">
        <v>0</v>
      </c>
      <c r="DP10" s="19">
        <v>0</v>
      </c>
      <c r="DQ10" s="19">
        <v>0</v>
      </c>
      <c r="DR10" s="19">
        <v>0</v>
      </c>
      <c r="DS10" s="19">
        <v>0</v>
      </c>
      <c r="DT10" s="19">
        <v>0</v>
      </c>
      <c r="DU10" s="19">
        <v>0</v>
      </c>
      <c r="DV10" s="19">
        <v>0</v>
      </c>
      <c r="DW10" s="19">
        <v>0</v>
      </c>
      <c r="DX10" s="19">
        <v>0</v>
      </c>
      <c r="DY10" s="19">
        <v>0</v>
      </c>
      <c r="DZ10" s="19">
        <v>0</v>
      </c>
      <c r="EA10" s="19">
        <v>0</v>
      </c>
      <c r="EB10" s="19">
        <v>0</v>
      </c>
      <c r="EC10" s="19">
        <v>0</v>
      </c>
      <c r="ED10" s="19">
        <v>0</v>
      </c>
      <c r="EE10" s="19">
        <v>0</v>
      </c>
      <c r="EF10" s="19">
        <v>0</v>
      </c>
      <c r="EG10" s="19">
        <v>0</v>
      </c>
      <c r="EH10" s="19">
        <v>0</v>
      </c>
      <c r="EI10" s="19">
        <v>0</v>
      </c>
      <c r="EJ10" s="19">
        <v>0</v>
      </c>
      <c r="EK10" s="19">
        <v>0</v>
      </c>
      <c r="EL10" s="19">
        <v>0</v>
      </c>
      <c r="EM10" s="19">
        <v>0</v>
      </c>
      <c r="EN10" s="19">
        <v>0</v>
      </c>
      <c r="EO10" s="19">
        <v>0</v>
      </c>
      <c r="EP10" s="19">
        <v>0</v>
      </c>
      <c r="EQ10" s="19">
        <v>0</v>
      </c>
      <c r="ER10" s="19">
        <v>0</v>
      </c>
      <c r="ES10" s="19">
        <v>0</v>
      </c>
      <c r="ET10" s="19">
        <v>0</v>
      </c>
      <c r="EU10" s="19">
        <v>0</v>
      </c>
      <c r="EV10" s="19">
        <v>0</v>
      </c>
      <c r="EW10" s="19">
        <v>0</v>
      </c>
      <c r="EX10" s="19">
        <v>0</v>
      </c>
      <c r="EY10" s="19">
        <v>0</v>
      </c>
      <c r="EZ10" s="19">
        <v>0</v>
      </c>
      <c r="FA10" s="19">
        <v>0</v>
      </c>
      <c r="FB10" s="19">
        <v>0</v>
      </c>
      <c r="FC10" s="19">
        <v>0</v>
      </c>
      <c r="FD10" s="19">
        <v>0</v>
      </c>
      <c r="FE10" s="19">
        <v>0</v>
      </c>
      <c r="FF10" s="19">
        <v>0</v>
      </c>
      <c r="FG10" s="19">
        <v>0</v>
      </c>
      <c r="FH10" s="19">
        <v>0</v>
      </c>
      <c r="FI10" s="19">
        <v>0</v>
      </c>
      <c r="FJ10" s="19">
        <v>0</v>
      </c>
      <c r="FK10" s="19">
        <v>0</v>
      </c>
      <c r="FL10" s="19">
        <v>0</v>
      </c>
      <c r="FM10" s="19">
        <v>0</v>
      </c>
      <c r="FN10" s="19">
        <v>4.8714686888079076E-2</v>
      </c>
      <c r="FO10" s="19">
        <v>4.6164048304361625E-2</v>
      </c>
      <c r="FP10" s="19">
        <v>4.1861491483864678E-2</v>
      </c>
      <c r="FQ10" s="19">
        <v>4.2098966212340015E-2</v>
      </c>
      <c r="FR10" s="19">
        <v>4.4232246536524217E-2</v>
      </c>
      <c r="FS10" s="19">
        <v>4.5858447164786265E-2</v>
      </c>
      <c r="FT10" s="19">
        <v>5.7316974440066427E-2</v>
      </c>
      <c r="FU10" s="19">
        <v>5.8384839024756281E-2</v>
      </c>
      <c r="FV10" s="19">
        <v>6.0177313444501515E-2</v>
      </c>
      <c r="FW10" s="19">
        <v>4.9859230398356255E-2</v>
      </c>
      <c r="FX10" s="19">
        <v>5.645888052539335E-2</v>
      </c>
      <c r="FY10" s="19">
        <v>5.9657310001083097E-2</v>
      </c>
    </row>
    <row r="11" spans="1:181" ht="16" x14ac:dyDescent="0.2">
      <c r="A11" s="17" t="e">
        <f>#REF!</f>
        <v>#REF!</v>
      </c>
      <c r="B11" s="19">
        <v>0</v>
      </c>
      <c r="C11" s="19">
        <v>0</v>
      </c>
      <c r="D11" s="19">
        <v>0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9">
        <v>0</v>
      </c>
      <c r="K11" s="19">
        <v>0</v>
      </c>
      <c r="L11" s="19">
        <v>0</v>
      </c>
      <c r="M11" s="19">
        <v>0</v>
      </c>
      <c r="N11" s="19">
        <v>0</v>
      </c>
      <c r="O11" s="19">
        <v>0</v>
      </c>
      <c r="P11" s="19">
        <v>0</v>
      </c>
      <c r="Q11" s="19">
        <v>0</v>
      </c>
      <c r="R11" s="19">
        <v>0</v>
      </c>
      <c r="S11" s="19">
        <v>0</v>
      </c>
      <c r="T11" s="19">
        <v>0</v>
      </c>
      <c r="U11" s="19">
        <v>0</v>
      </c>
      <c r="V11" s="19">
        <v>0</v>
      </c>
      <c r="W11" s="19">
        <v>0</v>
      </c>
      <c r="X11" s="19">
        <v>0</v>
      </c>
      <c r="Y11" s="19">
        <v>0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>
        <v>0</v>
      </c>
      <c r="AF11" s="19">
        <v>0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19">
        <v>0</v>
      </c>
      <c r="AR11" s="19">
        <v>0</v>
      </c>
      <c r="AS11" s="19">
        <v>0</v>
      </c>
      <c r="AT11" s="19">
        <v>0</v>
      </c>
      <c r="AU11" s="19">
        <v>0</v>
      </c>
      <c r="AV11" s="19">
        <v>0</v>
      </c>
      <c r="AW11" s="19">
        <v>0</v>
      </c>
      <c r="AX11" s="19">
        <v>0</v>
      </c>
      <c r="AY11" s="19">
        <v>0</v>
      </c>
      <c r="AZ11" s="19">
        <v>0</v>
      </c>
      <c r="BA11" s="19">
        <v>0</v>
      </c>
      <c r="BB11" s="19">
        <v>0</v>
      </c>
      <c r="BC11" s="19">
        <v>0</v>
      </c>
      <c r="BD11" s="19">
        <v>0</v>
      </c>
      <c r="BE11" s="19">
        <v>0</v>
      </c>
      <c r="BF11" s="19">
        <v>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19">
        <v>0</v>
      </c>
      <c r="BN11" s="19">
        <v>0</v>
      </c>
      <c r="BO11" s="19">
        <v>0</v>
      </c>
      <c r="BP11" s="19">
        <v>0</v>
      </c>
      <c r="BQ11" s="19">
        <v>0</v>
      </c>
      <c r="BR11" s="19">
        <v>0</v>
      </c>
      <c r="BS11" s="19">
        <v>0</v>
      </c>
      <c r="BT11" s="19">
        <v>0</v>
      </c>
      <c r="BU11" s="19">
        <v>0</v>
      </c>
      <c r="BV11" s="19">
        <v>0</v>
      </c>
      <c r="BW11" s="19">
        <v>0</v>
      </c>
      <c r="BX11" s="19">
        <v>0</v>
      </c>
      <c r="BY11" s="19">
        <v>0</v>
      </c>
      <c r="BZ11" s="19">
        <v>0</v>
      </c>
      <c r="CA11" s="19">
        <v>7.7323672835629825E-3</v>
      </c>
      <c r="CB11" s="19">
        <v>9.8043611229052294E-2</v>
      </c>
      <c r="CC11" s="19">
        <v>8.5780602119116423E-2</v>
      </c>
      <c r="CD11" s="19">
        <v>8.4021716483620862E-2</v>
      </c>
      <c r="CE11" s="19">
        <v>6.5495778404319999E-2</v>
      </c>
      <c r="CF11" s="19">
        <v>8.4859247527158788E-2</v>
      </c>
      <c r="CG11" s="19">
        <v>0.10160590815606708</v>
      </c>
      <c r="CH11" s="19">
        <v>0.12062867264216255</v>
      </c>
      <c r="CI11" s="19">
        <v>0.12431650072712176</v>
      </c>
      <c r="CJ11" s="19">
        <v>0.19337124496624244</v>
      </c>
      <c r="CK11" s="19">
        <v>0.25694671687921999</v>
      </c>
      <c r="CL11" s="19">
        <v>0.26606590736284091</v>
      </c>
      <c r="CM11" s="19">
        <v>0.32126608387391659</v>
      </c>
      <c r="CN11" s="19">
        <v>0.2649455955559174</v>
      </c>
      <c r="CO11" s="19">
        <v>0.23855239333327741</v>
      </c>
      <c r="CP11" s="19">
        <v>0.26216564603576303</v>
      </c>
      <c r="CQ11" s="19">
        <v>0.26291390248550361</v>
      </c>
      <c r="CR11" s="19">
        <v>0.28940431043670711</v>
      </c>
      <c r="CS11" s="19">
        <v>0.25146241461875574</v>
      </c>
      <c r="CT11" s="19">
        <v>0.2740654028961631</v>
      </c>
      <c r="CU11" s="19">
        <v>0.27592861197392377</v>
      </c>
      <c r="CV11" s="19">
        <v>0.31922935665963253</v>
      </c>
      <c r="CW11" s="19">
        <v>0.32832614918145853</v>
      </c>
      <c r="CX11" s="19">
        <v>0.4172047177980544</v>
      </c>
      <c r="CY11" s="19">
        <v>0.4241814053711977</v>
      </c>
      <c r="CZ11" s="19">
        <v>0.3400233823890666</v>
      </c>
      <c r="DA11" s="19">
        <v>0.30158856048048166</v>
      </c>
      <c r="DB11" s="19">
        <v>0.30485263140032887</v>
      </c>
      <c r="DC11" s="19">
        <v>0.31045023505077118</v>
      </c>
      <c r="DD11" s="19">
        <v>0.32950566660476205</v>
      </c>
      <c r="DE11" s="19">
        <v>0.33238440299792932</v>
      </c>
      <c r="DF11" s="19">
        <v>0</v>
      </c>
      <c r="DG11" s="19">
        <v>0</v>
      </c>
      <c r="DH11" s="19">
        <v>0</v>
      </c>
      <c r="DI11" s="19">
        <v>0</v>
      </c>
      <c r="DJ11" s="19">
        <v>0</v>
      </c>
      <c r="DK11" s="19">
        <v>0</v>
      </c>
      <c r="DL11" s="19">
        <v>0</v>
      </c>
      <c r="DM11" s="19">
        <v>0</v>
      </c>
      <c r="DN11" s="19">
        <v>0</v>
      </c>
      <c r="DO11" s="19">
        <v>0</v>
      </c>
      <c r="DP11" s="19">
        <v>0</v>
      </c>
      <c r="DQ11" s="19">
        <v>0</v>
      </c>
      <c r="DR11" s="19">
        <v>0</v>
      </c>
      <c r="DS11" s="19">
        <v>0</v>
      </c>
      <c r="DT11" s="19">
        <v>0</v>
      </c>
      <c r="DU11" s="19">
        <v>0</v>
      </c>
      <c r="DV11" s="19">
        <v>0</v>
      </c>
      <c r="DW11" s="19">
        <v>0</v>
      </c>
      <c r="DX11" s="19">
        <v>0</v>
      </c>
      <c r="DY11" s="19">
        <v>0</v>
      </c>
      <c r="DZ11" s="19">
        <v>0</v>
      </c>
      <c r="EA11" s="19">
        <v>0</v>
      </c>
      <c r="EB11" s="19">
        <v>0</v>
      </c>
      <c r="EC11" s="19">
        <v>0</v>
      </c>
      <c r="ED11" s="19">
        <v>0</v>
      </c>
      <c r="EE11" s="19">
        <v>0</v>
      </c>
      <c r="EF11" s="19">
        <v>0</v>
      </c>
      <c r="EG11" s="19">
        <v>0</v>
      </c>
      <c r="EH11" s="19">
        <v>0</v>
      </c>
      <c r="EI11" s="19">
        <v>0</v>
      </c>
      <c r="EJ11" s="19">
        <v>0</v>
      </c>
      <c r="EK11" s="19">
        <v>0</v>
      </c>
      <c r="EL11" s="19">
        <v>0</v>
      </c>
      <c r="EM11" s="19">
        <v>0</v>
      </c>
      <c r="EN11" s="19">
        <v>0</v>
      </c>
      <c r="EO11" s="19">
        <v>0</v>
      </c>
      <c r="EP11" s="19">
        <v>0</v>
      </c>
      <c r="EQ11" s="19">
        <v>0</v>
      </c>
      <c r="ER11" s="19">
        <v>0</v>
      </c>
      <c r="ES11" s="19">
        <v>0</v>
      </c>
      <c r="ET11" s="19">
        <v>0</v>
      </c>
      <c r="EU11" s="19">
        <v>0</v>
      </c>
      <c r="EV11" s="19">
        <v>0</v>
      </c>
      <c r="EW11" s="19">
        <v>0</v>
      </c>
      <c r="EX11" s="19">
        <v>0</v>
      </c>
      <c r="EY11" s="19">
        <v>0</v>
      </c>
      <c r="EZ11" s="19">
        <v>0</v>
      </c>
      <c r="FA11" s="19">
        <v>0</v>
      </c>
      <c r="FB11" s="19">
        <v>0</v>
      </c>
      <c r="FC11" s="19">
        <v>0</v>
      </c>
      <c r="FD11" s="19">
        <v>0</v>
      </c>
      <c r="FE11" s="19">
        <v>0</v>
      </c>
      <c r="FF11" s="19">
        <v>0</v>
      </c>
      <c r="FG11" s="19">
        <v>0</v>
      </c>
      <c r="FH11" s="19">
        <v>0</v>
      </c>
      <c r="FI11" s="19">
        <v>0</v>
      </c>
      <c r="FJ11" s="19">
        <v>0</v>
      </c>
      <c r="FK11" s="19">
        <v>0</v>
      </c>
      <c r="FL11" s="19">
        <v>0</v>
      </c>
      <c r="FM11" s="19">
        <v>0</v>
      </c>
      <c r="FN11" s="19">
        <v>0.16910180202143804</v>
      </c>
      <c r="FO11" s="19">
        <v>0.1734867242162072</v>
      </c>
      <c r="FP11" s="19">
        <v>0.16946301593069271</v>
      </c>
      <c r="FQ11" s="19">
        <v>0.17781505395502586</v>
      </c>
      <c r="FR11" s="19">
        <v>0.16149261879840626</v>
      </c>
      <c r="FS11" s="19">
        <v>0.16298620014565945</v>
      </c>
      <c r="FT11" s="19">
        <v>0.17351378403593493</v>
      </c>
      <c r="FU11" s="19">
        <v>0.18601069241839499</v>
      </c>
      <c r="FV11" s="19">
        <v>0.18264352653024429</v>
      </c>
      <c r="FW11" s="19">
        <v>0.23429019261658357</v>
      </c>
      <c r="FX11" s="19">
        <v>0.22490630777517559</v>
      </c>
      <c r="FY11" s="19">
        <v>0.20848377903252294</v>
      </c>
    </row>
    <row r="12" spans="1:181" ht="16" x14ac:dyDescent="0.2">
      <c r="A12" s="17" t="e">
        <f>#REF!</f>
        <v>#REF!</v>
      </c>
      <c r="B12" s="19">
        <v>0.65262049011225809</v>
      </c>
      <c r="C12" s="19">
        <v>0.65068109726506596</v>
      </c>
      <c r="D12" s="19">
        <v>0.64294020980216926</v>
      </c>
      <c r="E12" s="19">
        <v>0.65367462073647087</v>
      </c>
      <c r="F12" s="19">
        <v>0.66296588196757567</v>
      </c>
      <c r="G12" s="19">
        <v>0.66365532865207688</v>
      </c>
      <c r="H12" s="19">
        <v>0.66493293478153626</v>
      </c>
      <c r="I12" s="19">
        <v>0.66985857784534575</v>
      </c>
      <c r="J12" s="19">
        <v>0.67725784712563275</v>
      </c>
      <c r="K12" s="19">
        <v>0.68412887794633026</v>
      </c>
      <c r="L12" s="19">
        <v>0.68705830265784418</v>
      </c>
      <c r="M12" s="19">
        <v>0.69472920938891347</v>
      </c>
      <c r="N12" s="19">
        <v>0.62261770575888564</v>
      </c>
      <c r="O12" s="19">
        <v>0.57225075665790459</v>
      </c>
      <c r="P12" s="19">
        <v>0.63558691888533003</v>
      </c>
      <c r="Q12" s="19">
        <v>0.71703902941102549</v>
      </c>
      <c r="R12" s="19">
        <v>0.71614721454357888</v>
      </c>
      <c r="S12" s="19">
        <v>0.73748302985912673</v>
      </c>
      <c r="T12" s="19">
        <v>0.76865891612828197</v>
      </c>
      <c r="U12" s="19">
        <v>0.76730150973655153</v>
      </c>
      <c r="V12" s="19">
        <v>0.7695387863129074</v>
      </c>
      <c r="W12" s="19">
        <v>0.76960902573021095</v>
      </c>
      <c r="X12" s="19">
        <v>0.78257920663509195</v>
      </c>
      <c r="Y12" s="19">
        <v>0.76626191573656333</v>
      </c>
      <c r="Z12" s="19">
        <v>0.77184898382474332</v>
      </c>
      <c r="AA12" s="19">
        <v>0.77141553779867256</v>
      </c>
      <c r="AB12" s="19">
        <v>0.74195273780624738</v>
      </c>
      <c r="AC12" s="19">
        <v>0.74207436277882755</v>
      </c>
      <c r="AD12" s="19">
        <v>0.75169809284393641</v>
      </c>
      <c r="AE12" s="19">
        <v>0.74542978720807063</v>
      </c>
      <c r="AF12" s="19">
        <v>0.73334008933875161</v>
      </c>
      <c r="AG12" s="19">
        <v>0.72441634789546516</v>
      </c>
      <c r="AH12" s="19">
        <v>0.71110168089945514</v>
      </c>
      <c r="AI12" s="19">
        <v>0.71206518441303523</v>
      </c>
      <c r="AJ12" s="19">
        <v>0.71398031500621562</v>
      </c>
      <c r="AK12" s="19">
        <v>0.71670996273585896</v>
      </c>
      <c r="AL12" s="19">
        <v>0.65290894743925298</v>
      </c>
      <c r="AM12" s="19">
        <v>0.65131810930318568</v>
      </c>
      <c r="AN12" s="19">
        <v>0.65073150895110399</v>
      </c>
      <c r="AO12" s="19">
        <v>0.64990081881110762</v>
      </c>
      <c r="AP12" s="19">
        <v>0.63765141111099832</v>
      </c>
      <c r="AQ12" s="19">
        <v>0.63794102210793635</v>
      </c>
      <c r="AR12" s="19">
        <v>0.6685337244713323</v>
      </c>
      <c r="AS12" s="19">
        <v>0.63664036961549697</v>
      </c>
      <c r="AT12" s="19">
        <v>0.64713970998409287</v>
      </c>
      <c r="AU12" s="19">
        <v>0.67561120307839473</v>
      </c>
      <c r="AV12" s="19">
        <v>0.68355182783307011</v>
      </c>
      <c r="AW12" s="19">
        <v>0.67210472195019355</v>
      </c>
      <c r="AX12" s="19">
        <v>0.72469095639713321</v>
      </c>
      <c r="AY12" s="19">
        <v>0.71831253161433328</v>
      </c>
      <c r="AZ12" s="19">
        <v>0.71418066488074439</v>
      </c>
      <c r="BA12" s="19">
        <v>0.72076552698933738</v>
      </c>
      <c r="BB12" s="19">
        <v>0.71488372391146993</v>
      </c>
      <c r="BC12" s="19">
        <v>0.71057018316870468</v>
      </c>
      <c r="BD12" s="19">
        <v>0.7223861789281194</v>
      </c>
      <c r="BE12" s="19">
        <v>0.72538990805268788</v>
      </c>
      <c r="BF12" s="19">
        <v>0.73203989220864629</v>
      </c>
      <c r="BG12" s="19">
        <v>0.73111652211897793</v>
      </c>
      <c r="BH12" s="19">
        <v>0.73238560943754005</v>
      </c>
      <c r="BI12" s="19">
        <v>0.73055812829397715</v>
      </c>
      <c r="BJ12" s="19">
        <v>0.77059962086302436</v>
      </c>
      <c r="BK12" s="19">
        <v>0.77082792254532428</v>
      </c>
      <c r="BL12" s="19">
        <v>0.75584513961543276</v>
      </c>
      <c r="BM12" s="19">
        <v>0.7575921373441179</v>
      </c>
      <c r="BN12" s="19">
        <v>0.78838995054126104</v>
      </c>
      <c r="BO12" s="19">
        <v>0.79019206308788636</v>
      </c>
      <c r="BP12" s="19">
        <v>0.79241470744322484</v>
      </c>
      <c r="BQ12" s="19">
        <v>0.79365988272424071</v>
      </c>
      <c r="BR12" s="19">
        <v>0.79111462630330476</v>
      </c>
      <c r="BS12" s="19">
        <v>0.79152670861505892</v>
      </c>
      <c r="BT12" s="19">
        <v>0.78500028932443788</v>
      </c>
      <c r="BU12" s="19">
        <v>0.78463975534938135</v>
      </c>
      <c r="BV12" s="19">
        <v>0.82081267896751531</v>
      </c>
      <c r="BW12" s="19">
        <v>0.82884446758238151</v>
      </c>
      <c r="BX12" s="19">
        <v>0.8013577599580578</v>
      </c>
      <c r="BY12" s="19">
        <v>0.7510436483344114</v>
      </c>
      <c r="BZ12" s="19">
        <v>0.75104141876750952</v>
      </c>
      <c r="CA12" s="19">
        <v>0.72693090005745609</v>
      </c>
      <c r="CB12" s="19">
        <v>0.59715522669289667</v>
      </c>
      <c r="CC12" s="19">
        <v>0.60914471157061811</v>
      </c>
      <c r="CD12" s="19">
        <v>0.60935166852850298</v>
      </c>
      <c r="CE12" s="19">
        <v>0.62769867370567345</v>
      </c>
      <c r="CF12" s="19">
        <v>0.55542045167392828</v>
      </c>
      <c r="CG12" s="19">
        <v>0.53417047774834381</v>
      </c>
      <c r="CH12" s="19">
        <v>0.5263475363326533</v>
      </c>
      <c r="CI12" s="19">
        <v>0.5557807109598184</v>
      </c>
      <c r="CJ12" s="19">
        <v>0.51965271192728679</v>
      </c>
      <c r="CK12" s="19">
        <v>0.45887479055293129</v>
      </c>
      <c r="CL12" s="19">
        <v>0.44490407856467074</v>
      </c>
      <c r="CM12" s="19">
        <v>0.36210296987994817</v>
      </c>
      <c r="CN12" s="19">
        <v>0.47312845057960479</v>
      </c>
      <c r="CO12" s="19">
        <v>0.52936751657749515</v>
      </c>
      <c r="CP12" s="19">
        <v>0.54816274510153773</v>
      </c>
      <c r="CQ12" s="19">
        <v>0.55537125006760268</v>
      </c>
      <c r="CR12" s="19">
        <v>0.51993997093405175</v>
      </c>
      <c r="CS12" s="19">
        <v>0.56246330004819867</v>
      </c>
      <c r="CT12" s="19">
        <v>0.55526007752352491</v>
      </c>
      <c r="CU12" s="19">
        <v>0.56335866824919634</v>
      </c>
      <c r="CV12" s="19">
        <v>0.5609008684360457</v>
      </c>
      <c r="CW12" s="19">
        <v>0.55331845645454247</v>
      </c>
      <c r="CX12" s="19">
        <v>0.52991499647325901</v>
      </c>
      <c r="CY12" s="19">
        <v>0.51915876233916736</v>
      </c>
      <c r="CZ12" s="19">
        <v>0.58196099786952815</v>
      </c>
      <c r="DA12" s="19">
        <v>0.63491797227113755</v>
      </c>
      <c r="DB12" s="19">
        <v>0.63607889348300439</v>
      </c>
      <c r="DC12" s="19">
        <v>0.59305988512388497</v>
      </c>
      <c r="DD12" s="19">
        <v>0.58617281467938442</v>
      </c>
      <c r="DE12" s="19">
        <v>0.57822078491767825</v>
      </c>
      <c r="DF12" s="19">
        <v>0.88095755851065727</v>
      </c>
      <c r="DG12" s="19">
        <v>0.87972949912224518</v>
      </c>
      <c r="DH12" s="19">
        <v>0.84735557985145216</v>
      </c>
      <c r="DI12" s="19">
        <v>0.83315779647766608</v>
      </c>
      <c r="DJ12" s="19">
        <v>0.83770493132380719</v>
      </c>
      <c r="DK12" s="19">
        <v>0.83549262100806543</v>
      </c>
      <c r="DL12" s="19">
        <v>0.81946731566652797</v>
      </c>
      <c r="DM12" s="19">
        <v>0.80755739187355735</v>
      </c>
      <c r="DN12" s="19">
        <v>0.81920579304045282</v>
      </c>
      <c r="DO12" s="19">
        <v>0.83009258998436419</v>
      </c>
      <c r="DP12" s="19">
        <v>0.85061458319578487</v>
      </c>
      <c r="DQ12" s="19">
        <v>0.8409881620367331</v>
      </c>
      <c r="DR12" s="19">
        <v>0.8552317728298825</v>
      </c>
      <c r="DS12" s="19">
        <v>0.84283060145316602</v>
      </c>
      <c r="DT12" s="19">
        <v>0.82309697995455511</v>
      </c>
      <c r="DU12" s="19">
        <v>0.79428802846074409</v>
      </c>
      <c r="DV12" s="19">
        <v>0.76953432334704619</v>
      </c>
      <c r="DW12" s="19">
        <v>0.76740620278386695</v>
      </c>
      <c r="DX12" s="19">
        <v>0.76845406184457699</v>
      </c>
      <c r="DY12" s="19">
        <v>0.75909239656261118</v>
      </c>
      <c r="DZ12" s="19">
        <v>0.75571255601228093</v>
      </c>
      <c r="EA12" s="19">
        <v>0.76712439753731254</v>
      </c>
      <c r="EB12" s="19">
        <v>0.76486547223296042</v>
      </c>
      <c r="EC12" s="19">
        <v>0.77217613899971183</v>
      </c>
      <c r="ED12" s="19">
        <v>0.77322387567806594</v>
      </c>
      <c r="EE12" s="19">
        <v>0.78604197435637724</v>
      </c>
      <c r="EF12" s="19">
        <v>0.78597509207001237</v>
      </c>
      <c r="EG12" s="19">
        <v>0.784011308954353</v>
      </c>
      <c r="EH12" s="19">
        <v>0.7827868076259179</v>
      </c>
      <c r="EI12" s="19">
        <v>0.78215460229186895</v>
      </c>
      <c r="EJ12" s="19">
        <v>0.78901309979641177</v>
      </c>
      <c r="EK12" s="19">
        <v>0.79182878362495945</v>
      </c>
      <c r="EL12" s="19">
        <v>0.77773695733468917</v>
      </c>
      <c r="EM12" s="19">
        <v>0.75898968175393744</v>
      </c>
      <c r="EN12" s="19">
        <v>0.75848736526212013</v>
      </c>
      <c r="EO12" s="19">
        <v>0.75931755593084127</v>
      </c>
      <c r="EP12" s="19">
        <v>0.73225453393796025</v>
      </c>
      <c r="EQ12" s="19">
        <v>0.72582597463442999</v>
      </c>
      <c r="ER12" s="19">
        <v>0.72711522637627779</v>
      </c>
      <c r="ES12" s="19">
        <v>0.75060628518218586</v>
      </c>
      <c r="ET12" s="19">
        <v>0.74933635126781351</v>
      </c>
      <c r="EU12" s="19">
        <v>0.7448967769735283</v>
      </c>
      <c r="EV12" s="19">
        <v>0.74816442076443379</v>
      </c>
      <c r="EW12" s="19">
        <v>0.75289652338043245</v>
      </c>
      <c r="EX12" s="19">
        <v>0.75415612613897376</v>
      </c>
      <c r="EY12" s="19">
        <v>0.75246446272800949</v>
      </c>
      <c r="EZ12" s="19">
        <v>0.76387071735724632</v>
      </c>
      <c r="FA12" s="19">
        <v>0.77032115051647942</v>
      </c>
      <c r="FB12" s="19">
        <v>0.76511804180500043</v>
      </c>
      <c r="FC12" s="19">
        <v>0.7653728986385101</v>
      </c>
      <c r="FD12" s="19">
        <v>0.74799226680621644</v>
      </c>
      <c r="FE12" s="19">
        <v>0.75681295918204072</v>
      </c>
      <c r="FF12" s="19">
        <v>0.74817432568746567</v>
      </c>
      <c r="FG12" s="19">
        <v>0.74585437609406535</v>
      </c>
      <c r="FH12" s="19">
        <v>0.7380710695646272</v>
      </c>
      <c r="FI12" s="19">
        <v>0.73803424848901455</v>
      </c>
      <c r="FJ12" s="19">
        <v>0.73460472004343103</v>
      </c>
      <c r="FK12" s="19">
        <v>0.74069711445355113</v>
      </c>
      <c r="FL12" s="19">
        <v>0.74204268826504916</v>
      </c>
      <c r="FM12" s="19">
        <v>0.74023126924353932</v>
      </c>
      <c r="FN12" s="19">
        <v>0.63220767718034121</v>
      </c>
      <c r="FO12" s="19">
        <v>0.63313425334441442</v>
      </c>
      <c r="FP12" s="19">
        <v>0.64807349815389204</v>
      </c>
      <c r="FQ12" s="19">
        <v>0.65285541736549513</v>
      </c>
      <c r="FR12" s="19">
        <v>0.66284882048045846</v>
      </c>
      <c r="FS12" s="19">
        <v>0.65826251927240986</v>
      </c>
      <c r="FT12" s="19">
        <v>0.61760092214412732</v>
      </c>
      <c r="FU12" s="19">
        <v>0.59746265883862648</v>
      </c>
      <c r="FV12" s="19">
        <v>0.59505091121013787</v>
      </c>
      <c r="FW12" s="19">
        <v>0.52481817772924033</v>
      </c>
      <c r="FX12" s="19">
        <v>0.51499914735562913</v>
      </c>
      <c r="FY12" s="19">
        <v>0.51648809363302539</v>
      </c>
    </row>
    <row r="13" spans="1:181" ht="16" x14ac:dyDescent="0.2">
      <c r="A13" s="17" t="e">
        <f>#REF!</f>
        <v>#REF!</v>
      </c>
      <c r="B13" s="19">
        <v>0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9">
        <v>0</v>
      </c>
      <c r="AX13" s="19">
        <v>0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19">
        <v>0</v>
      </c>
      <c r="BN13" s="19">
        <v>0</v>
      </c>
      <c r="BO13" s="19">
        <v>0</v>
      </c>
      <c r="BP13" s="19">
        <v>0</v>
      </c>
      <c r="BQ13" s="19">
        <v>0</v>
      </c>
      <c r="BR13" s="19">
        <v>0</v>
      </c>
      <c r="BS13" s="19">
        <v>0</v>
      </c>
      <c r="BT13" s="19">
        <v>0</v>
      </c>
      <c r="BU13" s="19">
        <v>0</v>
      </c>
      <c r="BV13" s="19">
        <v>0</v>
      </c>
      <c r="BW13" s="19">
        <v>0</v>
      </c>
      <c r="BX13" s="19">
        <v>0</v>
      </c>
      <c r="BY13" s="19">
        <v>0</v>
      </c>
      <c r="BZ13" s="19">
        <v>5.4475054883988267E-5</v>
      </c>
      <c r="CA13" s="19">
        <v>0</v>
      </c>
      <c r="CB13" s="19">
        <v>1.743504080645816E-2</v>
      </c>
      <c r="CC13" s="19">
        <v>3.5061978593995673E-2</v>
      </c>
      <c r="CD13" s="19">
        <v>4.5549094472093439E-2</v>
      </c>
      <c r="CE13" s="19">
        <v>6.3008631179518909E-2</v>
      </c>
      <c r="CF13" s="19">
        <v>0.10568485542502357</v>
      </c>
      <c r="CG13" s="19">
        <v>0.15441148155102816</v>
      </c>
      <c r="CH13" s="19">
        <v>0.1374711363974766</v>
      </c>
      <c r="CI13" s="19">
        <v>0.11266225782866034</v>
      </c>
      <c r="CJ13" s="19">
        <v>0.13445416314647821</v>
      </c>
      <c r="CK13" s="19">
        <v>0.13334000379115549</v>
      </c>
      <c r="CL13" s="19">
        <v>0.15276293883045436</v>
      </c>
      <c r="CM13" s="19">
        <v>0.15842814195424579</v>
      </c>
      <c r="CN13" s="19">
        <v>0.10957644929330293</v>
      </c>
      <c r="CO13" s="19">
        <v>6.6462163857096482E-2</v>
      </c>
      <c r="CP13" s="19">
        <v>4.6791047305044679E-2</v>
      </c>
      <c r="CQ13" s="19">
        <v>2.747128343608303E-2</v>
      </c>
      <c r="CR13" s="19">
        <v>4.8249386469569264E-2</v>
      </c>
      <c r="CS13" s="19">
        <v>3.6551596383772013E-2</v>
      </c>
      <c r="CT13" s="19">
        <v>3.8871178760132137E-2</v>
      </c>
      <c r="CU13" s="19">
        <v>2.6889844495781551E-2</v>
      </c>
      <c r="CV13" s="19">
        <v>4.0232381638389885E-3</v>
      </c>
      <c r="CW13" s="19">
        <v>0</v>
      </c>
      <c r="CX13" s="19">
        <v>0</v>
      </c>
      <c r="CY13" s="19">
        <v>0</v>
      </c>
      <c r="CZ13" s="19">
        <v>0</v>
      </c>
      <c r="DA13" s="19">
        <v>0</v>
      </c>
      <c r="DB13" s="19">
        <v>0</v>
      </c>
      <c r="DC13" s="19">
        <v>0</v>
      </c>
      <c r="DD13" s="19">
        <v>0</v>
      </c>
      <c r="DE13" s="19">
        <v>0</v>
      </c>
      <c r="DF13" s="19">
        <v>0</v>
      </c>
      <c r="DG13" s="19">
        <v>0</v>
      </c>
      <c r="DH13" s="19">
        <v>0</v>
      </c>
      <c r="DI13" s="19">
        <v>0</v>
      </c>
      <c r="DJ13" s="19">
        <v>0</v>
      </c>
      <c r="DK13" s="19">
        <v>0</v>
      </c>
      <c r="DL13" s="19">
        <v>0</v>
      </c>
      <c r="DM13" s="19">
        <v>0</v>
      </c>
      <c r="DN13" s="19">
        <v>0</v>
      </c>
      <c r="DO13" s="19">
        <v>0</v>
      </c>
      <c r="DP13" s="19">
        <v>0</v>
      </c>
      <c r="DQ13" s="19">
        <v>0</v>
      </c>
      <c r="DR13" s="19">
        <v>0</v>
      </c>
      <c r="DS13" s="19">
        <v>0</v>
      </c>
      <c r="DT13" s="19">
        <v>0</v>
      </c>
      <c r="DU13" s="19">
        <v>0</v>
      </c>
      <c r="DV13" s="19">
        <v>0</v>
      </c>
      <c r="DW13" s="19">
        <v>0</v>
      </c>
      <c r="DX13" s="19">
        <v>0</v>
      </c>
      <c r="DY13" s="19">
        <v>0</v>
      </c>
      <c r="DZ13" s="19">
        <v>0</v>
      </c>
      <c r="EA13" s="19">
        <v>0</v>
      </c>
      <c r="EB13" s="19">
        <v>0</v>
      </c>
      <c r="EC13" s="19">
        <v>0</v>
      </c>
      <c r="ED13" s="19">
        <v>0</v>
      </c>
      <c r="EE13" s="19">
        <v>0</v>
      </c>
      <c r="EF13" s="19">
        <v>0</v>
      </c>
      <c r="EG13" s="19">
        <v>0</v>
      </c>
      <c r="EH13" s="19">
        <v>0</v>
      </c>
      <c r="EI13" s="19">
        <v>0</v>
      </c>
      <c r="EJ13" s="19">
        <v>0</v>
      </c>
      <c r="EK13" s="19">
        <v>0</v>
      </c>
      <c r="EL13" s="19">
        <v>0</v>
      </c>
      <c r="EM13" s="19">
        <v>0</v>
      </c>
      <c r="EN13" s="19">
        <v>0</v>
      </c>
      <c r="EO13" s="19">
        <v>0</v>
      </c>
      <c r="EP13" s="19">
        <v>0</v>
      </c>
      <c r="EQ13" s="19">
        <v>0</v>
      </c>
      <c r="ER13" s="19">
        <v>0</v>
      </c>
      <c r="ES13" s="19">
        <v>0</v>
      </c>
      <c r="ET13" s="19">
        <v>0</v>
      </c>
      <c r="EU13" s="19">
        <v>0</v>
      </c>
      <c r="EV13" s="19">
        <v>0</v>
      </c>
      <c r="EW13" s="19">
        <v>0</v>
      </c>
      <c r="EX13" s="19">
        <v>0</v>
      </c>
      <c r="EY13" s="19">
        <v>0</v>
      </c>
      <c r="EZ13" s="19">
        <v>0</v>
      </c>
      <c r="FA13" s="19">
        <v>0</v>
      </c>
      <c r="FB13" s="19">
        <v>0</v>
      </c>
      <c r="FC13" s="19">
        <v>0</v>
      </c>
      <c r="FD13" s="19">
        <v>0</v>
      </c>
      <c r="FE13" s="19">
        <v>0</v>
      </c>
      <c r="FF13" s="19">
        <v>0</v>
      </c>
      <c r="FG13" s="19">
        <v>0</v>
      </c>
      <c r="FH13" s="19">
        <v>0</v>
      </c>
      <c r="FI13" s="19">
        <v>0</v>
      </c>
      <c r="FJ13" s="19">
        <v>0</v>
      </c>
      <c r="FK13" s="19">
        <v>0</v>
      </c>
      <c r="FL13" s="19">
        <v>0</v>
      </c>
      <c r="FM13" s="19">
        <v>0</v>
      </c>
      <c r="FN13" s="19">
        <v>0</v>
      </c>
      <c r="FO13" s="19">
        <v>0</v>
      </c>
      <c r="FP13" s="19">
        <v>0</v>
      </c>
      <c r="FQ13" s="19">
        <v>0</v>
      </c>
      <c r="FR13" s="19">
        <v>0</v>
      </c>
      <c r="FS13" s="19">
        <v>0</v>
      </c>
      <c r="FT13" s="19">
        <v>4.33999303890986E-3</v>
      </c>
      <c r="FU13" s="19">
        <v>9.9092712913493898E-3</v>
      </c>
      <c r="FV13" s="19">
        <v>1.0534010312660633E-2</v>
      </c>
      <c r="FW13" s="19">
        <v>2.1130991572592964E-2</v>
      </c>
      <c r="FX13" s="19">
        <v>3.4790919073267278E-2</v>
      </c>
      <c r="FY13" s="19">
        <v>4.467225849739883E-2</v>
      </c>
    </row>
    <row r="14" spans="1:181" ht="16" x14ac:dyDescent="0.2">
      <c r="A14" s="17" t="e">
        <f>#REF!</f>
        <v>#REF!</v>
      </c>
      <c r="B14" s="19">
        <v>0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9">
        <v>0</v>
      </c>
      <c r="AX14" s="19">
        <v>0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19">
        <v>0</v>
      </c>
      <c r="BN14" s="19">
        <v>0</v>
      </c>
      <c r="BO14" s="19">
        <v>0</v>
      </c>
      <c r="BP14" s="19">
        <v>0</v>
      </c>
      <c r="BQ14" s="19">
        <v>0</v>
      </c>
      <c r="BR14" s="19">
        <v>0</v>
      </c>
      <c r="BS14" s="19">
        <v>0</v>
      </c>
      <c r="BT14" s="19">
        <v>0</v>
      </c>
      <c r="BU14" s="19">
        <v>0</v>
      </c>
      <c r="BV14" s="19">
        <v>0</v>
      </c>
      <c r="BW14" s="19">
        <v>0</v>
      </c>
      <c r="BX14" s="19">
        <v>0</v>
      </c>
      <c r="BY14" s="19">
        <v>0</v>
      </c>
      <c r="BZ14" s="19">
        <v>0</v>
      </c>
      <c r="CA14" s="19">
        <v>0</v>
      </c>
      <c r="CB14" s="19">
        <v>0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0</v>
      </c>
      <c r="CJ14" s="19">
        <v>0</v>
      </c>
      <c r="CK14" s="19">
        <v>0</v>
      </c>
      <c r="CL14" s="19">
        <v>0</v>
      </c>
      <c r="CM14" s="19">
        <v>0</v>
      </c>
      <c r="CN14" s="19">
        <v>0</v>
      </c>
      <c r="CO14" s="19">
        <v>0</v>
      </c>
      <c r="CP14" s="19">
        <v>0</v>
      </c>
      <c r="CQ14" s="19">
        <v>0</v>
      </c>
      <c r="CR14" s="19">
        <v>0</v>
      </c>
      <c r="CS14" s="19">
        <v>0</v>
      </c>
      <c r="CT14" s="19">
        <v>0</v>
      </c>
      <c r="CU14" s="19">
        <v>0</v>
      </c>
      <c r="CV14" s="19">
        <v>0</v>
      </c>
      <c r="CW14" s="19">
        <v>0</v>
      </c>
      <c r="CX14" s="19">
        <v>0</v>
      </c>
      <c r="CY14" s="19">
        <v>0</v>
      </c>
      <c r="CZ14" s="19">
        <v>0</v>
      </c>
      <c r="DA14" s="19">
        <v>0</v>
      </c>
      <c r="DB14" s="19">
        <v>0</v>
      </c>
      <c r="DC14" s="19">
        <v>0</v>
      </c>
      <c r="DD14" s="19">
        <v>0</v>
      </c>
      <c r="DE14" s="19">
        <v>0</v>
      </c>
      <c r="DF14" s="19">
        <v>0</v>
      </c>
      <c r="DG14" s="19">
        <v>0</v>
      </c>
      <c r="DH14" s="19">
        <v>0</v>
      </c>
      <c r="DI14" s="19">
        <v>0</v>
      </c>
      <c r="DJ14" s="19">
        <v>0</v>
      </c>
      <c r="DK14" s="19">
        <v>0</v>
      </c>
      <c r="DL14" s="19">
        <v>0</v>
      </c>
      <c r="DM14" s="19">
        <v>0</v>
      </c>
      <c r="DN14" s="19">
        <v>0</v>
      </c>
      <c r="DO14" s="19">
        <v>0</v>
      </c>
      <c r="DP14" s="19">
        <v>0</v>
      </c>
      <c r="DQ14" s="19">
        <v>0</v>
      </c>
      <c r="DR14" s="19">
        <v>0</v>
      </c>
      <c r="DS14" s="19">
        <v>0</v>
      </c>
      <c r="DT14" s="19">
        <v>0</v>
      </c>
      <c r="DU14" s="19">
        <v>0</v>
      </c>
      <c r="DV14" s="19">
        <v>0</v>
      </c>
      <c r="DW14" s="19">
        <v>0</v>
      </c>
      <c r="DX14" s="19">
        <v>0</v>
      </c>
      <c r="DY14" s="19">
        <v>0</v>
      </c>
      <c r="DZ14" s="19">
        <v>0</v>
      </c>
      <c r="EA14" s="19">
        <v>0</v>
      </c>
      <c r="EB14" s="19">
        <v>0</v>
      </c>
      <c r="EC14" s="19">
        <v>0</v>
      </c>
      <c r="ED14" s="19">
        <v>0</v>
      </c>
      <c r="EE14" s="19">
        <v>0</v>
      </c>
      <c r="EF14" s="19">
        <v>0</v>
      </c>
      <c r="EG14" s="19">
        <v>0</v>
      </c>
      <c r="EH14" s="19">
        <v>0</v>
      </c>
      <c r="EI14" s="19">
        <v>0</v>
      </c>
      <c r="EJ14" s="19">
        <v>0</v>
      </c>
      <c r="EK14" s="19">
        <v>0</v>
      </c>
      <c r="EL14" s="19">
        <v>0</v>
      </c>
      <c r="EM14" s="19">
        <v>0</v>
      </c>
      <c r="EN14" s="19">
        <v>0</v>
      </c>
      <c r="EO14" s="19">
        <v>0</v>
      </c>
      <c r="EP14" s="19">
        <v>0</v>
      </c>
      <c r="EQ14" s="19">
        <v>0</v>
      </c>
      <c r="ER14" s="19">
        <v>0</v>
      </c>
      <c r="ES14" s="19">
        <v>0</v>
      </c>
      <c r="ET14" s="19">
        <v>0</v>
      </c>
      <c r="EU14" s="19">
        <v>0</v>
      </c>
      <c r="EV14" s="19">
        <v>0</v>
      </c>
      <c r="EW14" s="19">
        <v>0</v>
      </c>
      <c r="EX14" s="19">
        <v>0</v>
      </c>
      <c r="EY14" s="19">
        <v>0</v>
      </c>
      <c r="EZ14" s="19">
        <v>0</v>
      </c>
      <c r="FA14" s="19">
        <v>0</v>
      </c>
      <c r="FB14" s="19">
        <v>0</v>
      </c>
      <c r="FC14" s="19">
        <v>0</v>
      </c>
      <c r="FD14" s="19">
        <v>0</v>
      </c>
      <c r="FE14" s="19">
        <v>0</v>
      </c>
      <c r="FF14" s="19">
        <v>0</v>
      </c>
      <c r="FG14" s="19">
        <v>0</v>
      </c>
      <c r="FH14" s="19">
        <v>0</v>
      </c>
      <c r="FI14" s="19">
        <v>0</v>
      </c>
      <c r="FJ14" s="19">
        <v>0</v>
      </c>
      <c r="FK14" s="19">
        <v>0</v>
      </c>
      <c r="FL14" s="19">
        <v>0</v>
      </c>
      <c r="FM14" s="19">
        <v>0</v>
      </c>
      <c r="FN14" s="19">
        <v>0</v>
      </c>
      <c r="FO14" s="19">
        <v>0</v>
      </c>
      <c r="FP14" s="19">
        <v>0</v>
      </c>
      <c r="FQ14" s="19">
        <v>0</v>
      </c>
      <c r="FR14" s="19">
        <v>0</v>
      </c>
      <c r="FS14" s="19">
        <v>0</v>
      </c>
      <c r="FT14" s="19">
        <v>0</v>
      </c>
      <c r="FU14" s="19">
        <v>0</v>
      </c>
      <c r="FV14" s="19">
        <v>0</v>
      </c>
      <c r="FW14" s="19">
        <v>0</v>
      </c>
      <c r="FX14" s="19">
        <v>0</v>
      </c>
      <c r="FY14" s="19">
        <v>0</v>
      </c>
    </row>
    <row r="15" spans="1:181" ht="14.25" customHeight="1" x14ac:dyDescent="0.2">
      <c r="A15" s="17" t="e">
        <f>#REF!</f>
        <v>#REF!</v>
      </c>
      <c r="B15" s="19">
        <v>0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9">
        <v>0</v>
      </c>
      <c r="N15" s="19">
        <v>6.6804071652048089E-2</v>
      </c>
      <c r="O15" s="19">
        <v>0.11092365487340629</v>
      </c>
      <c r="P15" s="19">
        <v>6.7980747732687363E-2</v>
      </c>
      <c r="Q15" s="19">
        <v>3.6654146798519908E-2</v>
      </c>
      <c r="R15" s="19">
        <v>4.3053154849900757E-2</v>
      </c>
      <c r="S15" s="19">
        <v>3.3798529778092369E-2</v>
      </c>
      <c r="T15" s="19">
        <v>2.9827617812487595E-2</v>
      </c>
      <c r="U15" s="19">
        <v>3.4649598466463719E-2</v>
      </c>
      <c r="V15" s="19">
        <v>2.5545870930999963E-2</v>
      </c>
      <c r="W15" s="19">
        <v>2.1271760084141309E-2</v>
      </c>
      <c r="X15" s="19">
        <v>2.0574584114270888E-2</v>
      </c>
      <c r="Y15" s="19">
        <v>3.0503236271371456E-2</v>
      </c>
      <c r="Z15" s="19">
        <v>3.4093227486458939E-2</v>
      </c>
      <c r="AA15" s="19">
        <v>3.4839188529471633E-2</v>
      </c>
      <c r="AB15" s="19">
        <v>5.3995934939605812E-2</v>
      </c>
      <c r="AC15" s="19">
        <v>5.4662942686046684E-2</v>
      </c>
      <c r="AD15" s="19">
        <v>5.3245929567482198E-2</v>
      </c>
      <c r="AE15" s="19">
        <v>6.1233201560506365E-2</v>
      </c>
      <c r="AF15" s="19">
        <v>7.2260274661188173E-2</v>
      </c>
      <c r="AG15" s="19">
        <v>8.0028009892716828E-2</v>
      </c>
      <c r="AH15" s="19">
        <v>8.632747624049518E-2</v>
      </c>
      <c r="AI15" s="19">
        <v>0.10076796354110393</v>
      </c>
      <c r="AJ15" s="19">
        <v>9.8488989375169866E-2</v>
      </c>
      <c r="AK15" s="19">
        <v>0.10906566017338166</v>
      </c>
      <c r="AL15" s="19">
        <v>0.18709945429838945</v>
      </c>
      <c r="AM15" s="19">
        <v>0.1883268347622781</v>
      </c>
      <c r="AN15" s="19">
        <v>0.18652555246926616</v>
      </c>
      <c r="AO15" s="19">
        <v>0.18801105168974813</v>
      </c>
      <c r="AP15" s="19">
        <v>0.19507752475148837</v>
      </c>
      <c r="AQ15" s="19">
        <v>0.18877297844725713</v>
      </c>
      <c r="AR15" s="19">
        <v>0.18694101932652393</v>
      </c>
      <c r="AS15" s="19">
        <v>0.1847092297542928</v>
      </c>
      <c r="AT15" s="19">
        <v>0.16274195407665451</v>
      </c>
      <c r="AU15" s="19">
        <v>0.16227873028632139</v>
      </c>
      <c r="AV15" s="19">
        <v>0.14973548884561125</v>
      </c>
      <c r="AW15" s="19">
        <v>0.15528916041805665</v>
      </c>
      <c r="AX15" s="19">
        <v>0.1920721103057797</v>
      </c>
      <c r="AY15" s="19">
        <v>0.19090541520564303</v>
      </c>
      <c r="AZ15" s="19">
        <v>0.19411778376016231</v>
      </c>
      <c r="BA15" s="19">
        <v>0.19170139385157836</v>
      </c>
      <c r="BB15" s="19">
        <v>0.17844069671236842</v>
      </c>
      <c r="BC15" s="19">
        <v>0.17973960092027924</v>
      </c>
      <c r="BD15" s="19">
        <v>0.17747575721153788</v>
      </c>
      <c r="BE15" s="19">
        <v>0.17237942525900904</v>
      </c>
      <c r="BF15" s="19">
        <v>0.18455264348836981</v>
      </c>
      <c r="BG15" s="19">
        <v>0.18570966383657253</v>
      </c>
      <c r="BH15" s="19">
        <v>0.18343287414625145</v>
      </c>
      <c r="BI15" s="19">
        <v>0.18524867402730946</v>
      </c>
      <c r="BJ15" s="19">
        <v>0.18190528756188834</v>
      </c>
      <c r="BK15" s="19">
        <v>0.18084227285452847</v>
      </c>
      <c r="BL15" s="19">
        <v>0.20037660503227919</v>
      </c>
      <c r="BM15" s="19">
        <v>0.19677133111659992</v>
      </c>
      <c r="BN15" s="19">
        <v>0.16952249218013593</v>
      </c>
      <c r="BO15" s="19">
        <v>0.16626316173683861</v>
      </c>
      <c r="BP15" s="19">
        <v>0.16237410085708012</v>
      </c>
      <c r="BQ15" s="19">
        <v>0.15957862567236603</v>
      </c>
      <c r="BR15" s="19">
        <v>0.15711331175122886</v>
      </c>
      <c r="BS15" s="19">
        <v>0.1460172944594802</v>
      </c>
      <c r="BT15" s="19">
        <v>0.15317392903938171</v>
      </c>
      <c r="BU15" s="19">
        <v>0.1529017185576142</v>
      </c>
      <c r="BV15" s="19">
        <v>9.6417354186469517E-2</v>
      </c>
      <c r="BW15" s="19">
        <v>6.688117378077657E-2</v>
      </c>
      <c r="BX15" s="19">
        <v>8.6701625958863535E-2</v>
      </c>
      <c r="BY15" s="19">
        <v>0.10018740503416035</v>
      </c>
      <c r="BZ15" s="19">
        <v>9.324914959358345E-2</v>
      </c>
      <c r="CA15" s="19">
        <v>9.3726016152945998E-2</v>
      </c>
      <c r="CB15" s="19">
        <v>0.12808226794669961</v>
      </c>
      <c r="CC15" s="19">
        <v>9.7174102109404553E-2</v>
      </c>
      <c r="CD15" s="19">
        <v>9.1297685861778097E-2</v>
      </c>
      <c r="CE15" s="19">
        <v>7.8052149300535417E-2</v>
      </c>
      <c r="CF15" s="19">
        <v>6.5827966901850291E-2</v>
      </c>
      <c r="CG15" s="19">
        <v>3.3593243415251488E-2</v>
      </c>
      <c r="CH15" s="19">
        <v>4.3907123136541437E-2</v>
      </c>
      <c r="CI15" s="19">
        <v>2.4976103244273521E-2</v>
      </c>
      <c r="CJ15" s="19">
        <v>0</v>
      </c>
      <c r="CK15" s="19">
        <v>0</v>
      </c>
      <c r="CL15" s="19">
        <v>0</v>
      </c>
      <c r="CM15" s="19">
        <v>0</v>
      </c>
      <c r="CN15" s="19">
        <v>0</v>
      </c>
      <c r="CO15" s="19">
        <v>0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19">
        <v>0</v>
      </c>
      <c r="CV15" s="19">
        <v>0</v>
      </c>
      <c r="CW15" s="19">
        <v>0</v>
      </c>
      <c r="CX15" s="19">
        <v>0</v>
      </c>
      <c r="CY15" s="19">
        <v>0</v>
      </c>
      <c r="CZ15" s="19">
        <v>0</v>
      </c>
      <c r="DA15" s="19">
        <v>0</v>
      </c>
      <c r="DB15" s="19">
        <v>0</v>
      </c>
      <c r="DC15" s="19">
        <v>0</v>
      </c>
      <c r="DD15" s="19">
        <v>0</v>
      </c>
      <c r="DE15" s="19">
        <v>0</v>
      </c>
      <c r="DF15" s="19">
        <v>0</v>
      </c>
      <c r="DG15" s="19">
        <v>0</v>
      </c>
      <c r="DH15" s="19">
        <v>0</v>
      </c>
      <c r="DI15" s="19">
        <v>0</v>
      </c>
      <c r="DJ15" s="19">
        <v>0</v>
      </c>
      <c r="DK15" s="19">
        <v>0</v>
      </c>
      <c r="DL15" s="19">
        <v>0</v>
      </c>
      <c r="DM15" s="19">
        <v>0</v>
      </c>
      <c r="DN15" s="19">
        <v>0</v>
      </c>
      <c r="DO15" s="19">
        <v>0</v>
      </c>
      <c r="DP15" s="19">
        <v>0</v>
      </c>
      <c r="DQ15" s="19">
        <v>0</v>
      </c>
      <c r="DR15" s="19">
        <v>0</v>
      </c>
      <c r="DS15" s="19">
        <v>0</v>
      </c>
      <c r="DT15" s="19">
        <v>0</v>
      </c>
      <c r="DU15" s="19">
        <v>0</v>
      </c>
      <c r="DV15" s="19">
        <v>0</v>
      </c>
      <c r="DW15" s="19">
        <v>0</v>
      </c>
      <c r="DX15" s="19">
        <v>0</v>
      </c>
      <c r="DY15" s="19">
        <v>0</v>
      </c>
      <c r="DZ15" s="19">
        <v>0</v>
      </c>
      <c r="EA15" s="19">
        <v>0</v>
      </c>
      <c r="EB15" s="19">
        <v>0</v>
      </c>
      <c r="EC15" s="19">
        <v>0</v>
      </c>
      <c r="ED15" s="19">
        <v>0</v>
      </c>
      <c r="EE15" s="19">
        <v>0</v>
      </c>
      <c r="EF15" s="19">
        <v>0</v>
      </c>
      <c r="EG15" s="19">
        <v>0</v>
      </c>
      <c r="EH15" s="19">
        <v>0</v>
      </c>
      <c r="EI15" s="19">
        <v>0</v>
      </c>
      <c r="EJ15" s="19">
        <v>0</v>
      </c>
      <c r="EK15" s="19">
        <v>0</v>
      </c>
      <c r="EL15" s="19">
        <v>0</v>
      </c>
      <c r="EM15" s="19">
        <v>0</v>
      </c>
      <c r="EN15" s="19">
        <v>0</v>
      </c>
      <c r="EO15" s="19">
        <v>0</v>
      </c>
      <c r="EP15" s="19">
        <v>0</v>
      </c>
      <c r="EQ15" s="19">
        <v>0</v>
      </c>
      <c r="ER15" s="19">
        <v>0</v>
      </c>
      <c r="ES15" s="19">
        <v>0</v>
      </c>
      <c r="ET15" s="19">
        <v>0</v>
      </c>
      <c r="EU15" s="19">
        <v>0</v>
      </c>
      <c r="EV15" s="19">
        <v>0</v>
      </c>
      <c r="EW15" s="19">
        <v>0</v>
      </c>
      <c r="EX15" s="19">
        <v>0</v>
      </c>
      <c r="EY15" s="19">
        <v>0</v>
      </c>
      <c r="EZ15" s="19">
        <v>0</v>
      </c>
      <c r="FA15" s="19">
        <v>0</v>
      </c>
      <c r="FB15" s="19">
        <v>0</v>
      </c>
      <c r="FC15" s="19">
        <v>0</v>
      </c>
      <c r="FD15" s="19">
        <v>0</v>
      </c>
      <c r="FE15" s="19">
        <v>0</v>
      </c>
      <c r="FF15" s="19">
        <v>0</v>
      </c>
      <c r="FG15" s="19">
        <v>0</v>
      </c>
      <c r="FH15" s="19">
        <v>0</v>
      </c>
      <c r="FI15" s="19">
        <v>0</v>
      </c>
      <c r="FJ15" s="19">
        <v>0</v>
      </c>
      <c r="FK15" s="19">
        <v>0</v>
      </c>
      <c r="FL15" s="19">
        <v>0</v>
      </c>
      <c r="FM15" s="19">
        <v>0</v>
      </c>
      <c r="FN15" s="19">
        <v>0</v>
      </c>
      <c r="FO15" s="19">
        <v>0</v>
      </c>
      <c r="FP15" s="19">
        <v>0</v>
      </c>
      <c r="FQ15" s="19">
        <v>0</v>
      </c>
      <c r="FR15" s="19">
        <v>0</v>
      </c>
      <c r="FS15" s="19">
        <v>0</v>
      </c>
      <c r="FT15" s="19">
        <v>0</v>
      </c>
      <c r="FU15" s="19">
        <v>0</v>
      </c>
      <c r="FV15" s="19">
        <v>0</v>
      </c>
      <c r="FW15" s="19">
        <v>0</v>
      </c>
      <c r="FX15" s="19">
        <v>0</v>
      </c>
      <c r="FY15" s="19">
        <v>0</v>
      </c>
    </row>
    <row r="16" spans="1:181" ht="16" x14ac:dyDescent="0.2">
      <c r="A16" s="17" t="e">
        <f>#REF!</f>
        <v>#REF!</v>
      </c>
      <c r="B16" s="19">
        <v>2.1593648899155015E-3</v>
      </c>
      <c r="C16" s="19">
        <v>3.3479028344406731E-3</v>
      </c>
      <c r="D16" s="19">
        <v>1.2207396046867618E-2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19">
        <v>0</v>
      </c>
      <c r="AU16" s="19">
        <v>0</v>
      </c>
      <c r="AV16" s="19">
        <v>0</v>
      </c>
      <c r="AW16" s="19">
        <v>0</v>
      </c>
      <c r="AX16" s="19">
        <v>0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19">
        <v>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19">
        <v>0</v>
      </c>
      <c r="BN16" s="19">
        <v>0</v>
      </c>
      <c r="BO16" s="19">
        <v>0</v>
      </c>
      <c r="BP16" s="19">
        <v>0</v>
      </c>
      <c r="BQ16" s="19">
        <v>0</v>
      </c>
      <c r="BR16" s="19">
        <v>0</v>
      </c>
      <c r="BS16" s="19">
        <v>0</v>
      </c>
      <c r="BT16" s="19">
        <v>0</v>
      </c>
      <c r="BU16" s="19">
        <v>0</v>
      </c>
      <c r="BV16" s="19">
        <v>0</v>
      </c>
      <c r="BW16" s="19">
        <v>0</v>
      </c>
      <c r="BX16" s="19">
        <v>0</v>
      </c>
      <c r="BY16" s="19">
        <v>0</v>
      </c>
      <c r="BZ16" s="19">
        <v>0</v>
      </c>
      <c r="CA16" s="19">
        <v>0</v>
      </c>
      <c r="CB16" s="19">
        <v>0</v>
      </c>
      <c r="CC16" s="19">
        <v>0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>
        <v>0</v>
      </c>
      <c r="CN16" s="19">
        <v>0</v>
      </c>
      <c r="CO16" s="19">
        <v>0</v>
      </c>
      <c r="CP16" s="19">
        <v>0</v>
      </c>
      <c r="CQ16" s="19">
        <v>0</v>
      </c>
      <c r="CR16" s="19">
        <v>0</v>
      </c>
      <c r="CS16" s="19">
        <v>0</v>
      </c>
      <c r="CT16" s="19">
        <v>0</v>
      </c>
      <c r="CU16" s="19">
        <v>0</v>
      </c>
      <c r="CV16" s="19">
        <v>0</v>
      </c>
      <c r="CW16" s="19">
        <v>0</v>
      </c>
      <c r="CX16" s="19">
        <v>0</v>
      </c>
      <c r="CY16" s="19">
        <v>0</v>
      </c>
      <c r="CZ16" s="19">
        <v>0</v>
      </c>
      <c r="DA16" s="19">
        <v>0</v>
      </c>
      <c r="DB16" s="19">
        <v>0</v>
      </c>
      <c r="DC16" s="19">
        <v>0</v>
      </c>
      <c r="DD16" s="19">
        <v>0</v>
      </c>
      <c r="DE16" s="19">
        <v>0</v>
      </c>
      <c r="DF16" s="19">
        <v>0</v>
      </c>
      <c r="DG16" s="19">
        <v>0</v>
      </c>
      <c r="DH16" s="19">
        <v>0</v>
      </c>
      <c r="DI16" s="19">
        <v>0</v>
      </c>
      <c r="DJ16" s="19">
        <v>0</v>
      </c>
      <c r="DK16" s="19">
        <v>0</v>
      </c>
      <c r="DL16" s="19">
        <v>0</v>
      </c>
      <c r="DM16" s="19">
        <v>0</v>
      </c>
      <c r="DN16" s="19">
        <v>0</v>
      </c>
      <c r="DO16" s="19">
        <v>0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19">
        <v>0</v>
      </c>
      <c r="DV16" s="19">
        <v>0</v>
      </c>
      <c r="DW16" s="19">
        <v>0</v>
      </c>
      <c r="DX16" s="19">
        <v>0</v>
      </c>
      <c r="DY16" s="19">
        <v>0</v>
      </c>
      <c r="DZ16" s="19">
        <v>0</v>
      </c>
      <c r="EA16" s="19">
        <v>0</v>
      </c>
      <c r="EB16" s="19">
        <v>0</v>
      </c>
      <c r="EC16" s="19">
        <v>0</v>
      </c>
      <c r="ED16" s="19">
        <v>0</v>
      </c>
      <c r="EE16" s="19">
        <v>0</v>
      </c>
      <c r="EF16" s="19">
        <v>0</v>
      </c>
      <c r="EG16" s="19">
        <v>0</v>
      </c>
      <c r="EH16" s="19">
        <v>0</v>
      </c>
      <c r="EI16" s="19">
        <v>0</v>
      </c>
      <c r="EJ16" s="19">
        <v>0</v>
      </c>
      <c r="EK16" s="19">
        <v>0</v>
      </c>
      <c r="EL16" s="19">
        <v>0</v>
      </c>
      <c r="EM16" s="19">
        <v>0</v>
      </c>
      <c r="EN16" s="19">
        <v>0</v>
      </c>
      <c r="EO16" s="19">
        <v>0</v>
      </c>
      <c r="EP16" s="19">
        <v>0</v>
      </c>
      <c r="EQ16" s="19">
        <v>0</v>
      </c>
      <c r="ER16" s="19">
        <v>0</v>
      </c>
      <c r="ES16" s="19">
        <v>0</v>
      </c>
      <c r="ET16" s="19">
        <v>0</v>
      </c>
      <c r="EU16" s="19">
        <v>0</v>
      </c>
      <c r="EV16" s="19">
        <v>0</v>
      </c>
      <c r="EW16" s="19">
        <v>0</v>
      </c>
      <c r="EX16" s="19">
        <v>0</v>
      </c>
      <c r="EY16" s="19">
        <v>0</v>
      </c>
      <c r="EZ16" s="19">
        <v>0</v>
      </c>
      <c r="FA16" s="19">
        <v>0</v>
      </c>
      <c r="FB16" s="19">
        <v>0</v>
      </c>
      <c r="FC16" s="19">
        <v>0</v>
      </c>
      <c r="FD16" s="19">
        <v>0</v>
      </c>
      <c r="FE16" s="19">
        <v>0</v>
      </c>
      <c r="FF16" s="19">
        <v>0</v>
      </c>
      <c r="FG16" s="19">
        <v>0</v>
      </c>
      <c r="FH16" s="19">
        <v>0</v>
      </c>
      <c r="FI16" s="19">
        <v>0</v>
      </c>
      <c r="FJ16" s="19">
        <v>0</v>
      </c>
      <c r="FK16" s="19">
        <v>0</v>
      </c>
      <c r="FL16" s="19">
        <v>0</v>
      </c>
      <c r="FM16" s="19">
        <v>0</v>
      </c>
      <c r="FN16" s="19">
        <v>0</v>
      </c>
      <c r="FO16" s="19">
        <v>0</v>
      </c>
      <c r="FP16" s="19">
        <v>0</v>
      </c>
      <c r="FQ16" s="19">
        <v>0</v>
      </c>
      <c r="FR16" s="19">
        <v>0</v>
      </c>
      <c r="FS16" s="19">
        <v>0</v>
      </c>
      <c r="FT16" s="19">
        <v>0</v>
      </c>
      <c r="FU16" s="19">
        <v>0</v>
      </c>
      <c r="FV16" s="19">
        <v>0</v>
      </c>
      <c r="FW16" s="19">
        <v>0</v>
      </c>
      <c r="FX16" s="19">
        <v>0</v>
      </c>
      <c r="FY16" s="19">
        <v>0</v>
      </c>
    </row>
    <row r="17" spans="1:181" ht="16" x14ac:dyDescent="0.2">
      <c r="A17" s="17" t="e">
        <f>#REF!</f>
        <v>#REF!</v>
      </c>
      <c r="B17" s="19">
        <v>0</v>
      </c>
      <c r="C17" s="19">
        <v>0</v>
      </c>
      <c r="D17" s="19">
        <v>0</v>
      </c>
      <c r="E17" s="19">
        <v>0</v>
      </c>
      <c r="F17" s="19">
        <v>0</v>
      </c>
      <c r="G17" s="19">
        <v>0</v>
      </c>
      <c r="H17" s="19">
        <v>0</v>
      </c>
      <c r="I17" s="19">
        <v>0</v>
      </c>
      <c r="J17" s="1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9">
        <v>0</v>
      </c>
      <c r="AF17" s="19">
        <v>0</v>
      </c>
      <c r="AG17" s="19">
        <v>0</v>
      </c>
      <c r="AH17" s="19">
        <v>0</v>
      </c>
      <c r="AI17" s="19">
        <v>0</v>
      </c>
      <c r="AJ17" s="19">
        <v>0</v>
      </c>
      <c r="AK17" s="19">
        <v>0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19">
        <v>0</v>
      </c>
      <c r="AR17" s="19">
        <v>0</v>
      </c>
      <c r="AS17" s="19">
        <v>0</v>
      </c>
      <c r="AT17" s="19">
        <v>0</v>
      </c>
      <c r="AU17" s="19">
        <v>0</v>
      </c>
      <c r="AV17" s="19">
        <v>0</v>
      </c>
      <c r="AW17" s="19">
        <v>0</v>
      </c>
      <c r="AX17" s="19">
        <v>0</v>
      </c>
      <c r="AY17" s="19">
        <v>0</v>
      </c>
      <c r="AZ17" s="19">
        <v>0</v>
      </c>
      <c r="BA17" s="19">
        <v>0</v>
      </c>
      <c r="BB17" s="19">
        <v>0</v>
      </c>
      <c r="BC17" s="19">
        <v>0</v>
      </c>
      <c r="BD17" s="19">
        <v>0</v>
      </c>
      <c r="BE17" s="19">
        <v>0</v>
      </c>
      <c r="BF17" s="19">
        <v>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19">
        <v>0</v>
      </c>
      <c r="BN17" s="19">
        <v>0</v>
      </c>
      <c r="BO17" s="19">
        <v>0</v>
      </c>
      <c r="BP17" s="19">
        <v>0</v>
      </c>
      <c r="BQ17" s="19">
        <v>0</v>
      </c>
      <c r="BR17" s="19">
        <v>0</v>
      </c>
      <c r="BS17" s="19">
        <v>0</v>
      </c>
      <c r="BT17" s="19">
        <v>0</v>
      </c>
      <c r="BU17" s="19">
        <v>0</v>
      </c>
      <c r="BV17" s="19">
        <v>0</v>
      </c>
      <c r="BW17" s="19">
        <v>0</v>
      </c>
      <c r="BX17" s="19">
        <v>0</v>
      </c>
      <c r="BY17" s="19">
        <v>0</v>
      </c>
      <c r="BZ17" s="19">
        <v>0</v>
      </c>
      <c r="CA17" s="19">
        <v>0</v>
      </c>
      <c r="CB17" s="19">
        <v>0</v>
      </c>
      <c r="CC17" s="19">
        <v>0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>
        <v>3.5021225165684046E-2</v>
      </c>
      <c r="CN17" s="19">
        <v>4.0146125708778657E-3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19">
        <v>0</v>
      </c>
      <c r="CX17" s="19">
        <v>0</v>
      </c>
      <c r="CY17" s="19">
        <v>0</v>
      </c>
      <c r="CZ17" s="19">
        <v>0</v>
      </c>
      <c r="DA17" s="19">
        <v>0</v>
      </c>
      <c r="DB17" s="19">
        <v>0</v>
      </c>
      <c r="DC17" s="19">
        <v>0</v>
      </c>
      <c r="DD17" s="19">
        <v>0</v>
      </c>
      <c r="DE17" s="19">
        <v>0</v>
      </c>
      <c r="DF17" s="19">
        <v>0</v>
      </c>
      <c r="DG17" s="19">
        <v>0</v>
      </c>
      <c r="DH17" s="19">
        <v>1.437356805155836E-2</v>
      </c>
      <c r="DI17" s="19">
        <v>2.7232223306666831E-2</v>
      </c>
      <c r="DJ17" s="19">
        <v>4.7765508759107497E-2</v>
      </c>
      <c r="DK17" s="19">
        <v>4.8592243645850353E-2</v>
      </c>
      <c r="DL17" s="19">
        <v>5.3635480349858725E-2</v>
      </c>
      <c r="DM17" s="19">
        <v>6.1218998080124286E-2</v>
      </c>
      <c r="DN17" s="19">
        <v>3.9901630903537301E-2</v>
      </c>
      <c r="DO17" s="19">
        <v>1.3216538829331905E-2</v>
      </c>
      <c r="DP17" s="19">
        <v>3.8154656852521229E-3</v>
      </c>
      <c r="DQ17" s="19">
        <v>0</v>
      </c>
      <c r="DR17" s="19">
        <v>0</v>
      </c>
      <c r="DS17" s="19">
        <v>0</v>
      </c>
      <c r="DT17" s="19">
        <v>1.2763502877509752E-2</v>
      </c>
      <c r="DU17" s="19">
        <v>0</v>
      </c>
      <c r="DV17" s="19">
        <v>0</v>
      </c>
      <c r="DW17" s="19">
        <v>0</v>
      </c>
      <c r="DX17" s="19">
        <v>0</v>
      </c>
      <c r="DY17" s="19">
        <v>0</v>
      </c>
      <c r="DZ17" s="19">
        <v>0</v>
      </c>
      <c r="EA17" s="19">
        <v>0</v>
      </c>
      <c r="EB17" s="19">
        <v>0</v>
      </c>
      <c r="EC17" s="19">
        <v>0</v>
      </c>
      <c r="ED17" s="19">
        <v>0</v>
      </c>
      <c r="EE17" s="19">
        <v>0</v>
      </c>
      <c r="EF17" s="19">
        <v>0</v>
      </c>
      <c r="EG17" s="19">
        <v>0</v>
      </c>
      <c r="EH17" s="19">
        <v>0</v>
      </c>
      <c r="EI17" s="19">
        <v>0</v>
      </c>
      <c r="EJ17" s="19">
        <v>0</v>
      </c>
      <c r="EK17" s="19">
        <v>0</v>
      </c>
      <c r="EL17" s="19">
        <v>0</v>
      </c>
      <c r="EM17" s="19">
        <v>0</v>
      </c>
      <c r="EN17" s="19">
        <v>0</v>
      </c>
      <c r="EO17" s="19">
        <v>0</v>
      </c>
      <c r="EP17" s="19">
        <v>0</v>
      </c>
      <c r="EQ17" s="19">
        <v>0</v>
      </c>
      <c r="ER17" s="19">
        <v>0</v>
      </c>
      <c r="ES17" s="19">
        <v>0</v>
      </c>
      <c r="ET17" s="19">
        <v>2.8554327213526211E-3</v>
      </c>
      <c r="EU17" s="19">
        <v>0</v>
      </c>
      <c r="EV17" s="19">
        <v>0</v>
      </c>
      <c r="EW17" s="19">
        <v>0</v>
      </c>
      <c r="EX17" s="19">
        <v>0</v>
      </c>
      <c r="EY17" s="19">
        <v>0</v>
      </c>
      <c r="EZ17" s="19">
        <v>2.0151894872990289E-3</v>
      </c>
      <c r="FA17" s="19">
        <v>1.8088392522354124E-4</v>
      </c>
      <c r="FB17" s="19">
        <v>6.7202822185073929E-3</v>
      </c>
      <c r="FC17" s="19">
        <v>1.0173094732812244E-2</v>
      </c>
      <c r="FD17" s="19">
        <v>1.0195732498979981E-2</v>
      </c>
      <c r="FE17" s="19">
        <v>3.1715092880827359E-3</v>
      </c>
      <c r="FF17" s="19">
        <v>0</v>
      </c>
      <c r="FG17" s="19">
        <v>0</v>
      </c>
      <c r="FH17" s="19">
        <v>0</v>
      </c>
      <c r="FI17" s="19">
        <v>0</v>
      </c>
      <c r="FJ17" s="19">
        <v>5.4013305590095619E-3</v>
      </c>
      <c r="FK17" s="19">
        <v>4.9716050470598478E-3</v>
      </c>
      <c r="FL17" s="19">
        <v>1.0099764085593339E-2</v>
      </c>
      <c r="FM17" s="19">
        <v>1.0390409458209923E-2</v>
      </c>
      <c r="FN17" s="19">
        <v>5.0597883863562093E-2</v>
      </c>
      <c r="FO17" s="19">
        <v>5.1989401145128879E-2</v>
      </c>
      <c r="FP17" s="19">
        <v>4.5723114637107369E-2</v>
      </c>
      <c r="FQ17" s="19">
        <v>3.6926472192031316E-2</v>
      </c>
      <c r="FR17" s="19">
        <v>3.7931006415498458E-2</v>
      </c>
      <c r="FS17" s="19">
        <v>3.9676673085380698E-2</v>
      </c>
      <c r="FT17" s="19">
        <v>4.8264710662861303E-2</v>
      </c>
      <c r="FU17" s="19">
        <v>5.4283416584864061E-2</v>
      </c>
      <c r="FV17" s="19">
        <v>5.6556089782995367E-2</v>
      </c>
      <c r="FW17" s="19">
        <v>8.6917183064797357E-2</v>
      </c>
      <c r="FX17" s="19">
        <v>8.48574246833394E-2</v>
      </c>
      <c r="FY17" s="19">
        <v>8.5750865655700739E-2</v>
      </c>
    </row>
    <row r="18" spans="1:181" ht="16" x14ac:dyDescent="0.2">
      <c r="A18" s="17" t="e">
        <f>#REF!</f>
        <v>#REF!</v>
      </c>
      <c r="B18" s="22">
        <v>9.0180180743443264E-2</v>
      </c>
      <c r="C18" s="22">
        <v>8.9607339048430559E-2</v>
      </c>
      <c r="D18" s="19">
        <v>8.2673044739851528E-2</v>
      </c>
      <c r="E18" s="19">
        <v>8.6459871011326267E-2</v>
      </c>
      <c r="F18" s="19">
        <v>0.10230281416298638</v>
      </c>
      <c r="G18" s="19">
        <v>0.101282976582176</v>
      </c>
      <c r="H18" s="19">
        <v>9.8334028277507715E-2</v>
      </c>
      <c r="I18" s="19">
        <v>0.10099471295908638</v>
      </c>
      <c r="J18" s="19">
        <v>9.2417800299313319E-2</v>
      </c>
      <c r="K18" s="19">
        <v>9.6275029727248079E-2</v>
      </c>
      <c r="L18" s="19">
        <v>9.5600604516233686E-2</v>
      </c>
      <c r="M18" s="19">
        <v>9.0449820667926145E-2</v>
      </c>
      <c r="N18" s="19">
        <v>7.7345682310038175E-2</v>
      </c>
      <c r="O18" s="19">
        <v>8.5029344839802776E-2</v>
      </c>
      <c r="P18" s="19">
        <v>7.9232297351500156E-2</v>
      </c>
      <c r="Q18" s="19">
        <v>6.0310684060002687E-2</v>
      </c>
      <c r="R18" s="19">
        <v>5.8675757007401054E-2</v>
      </c>
      <c r="S18" s="19">
        <v>5.4734420331657874E-2</v>
      </c>
      <c r="T18" s="19">
        <v>4.8008932370394032E-2</v>
      </c>
      <c r="U18" s="19">
        <v>4.802335442945075E-2</v>
      </c>
      <c r="V18" s="19">
        <v>5.0779982970650145E-2</v>
      </c>
      <c r="W18" s="19">
        <v>5.563649471285622E-2</v>
      </c>
      <c r="X18" s="19">
        <v>4.9455239128773018E-2</v>
      </c>
      <c r="Y18" s="19">
        <v>5.2140142553931977E-2</v>
      </c>
      <c r="Z18" s="19">
        <v>5.0668007936306811E-2</v>
      </c>
      <c r="AA18" s="19">
        <v>5.0567473346434799E-2</v>
      </c>
      <c r="AB18" s="19">
        <v>5.344110588607965E-2</v>
      </c>
      <c r="AC18" s="19">
        <v>5.2754117749362048E-2</v>
      </c>
      <c r="AD18" s="19">
        <v>4.8964899232082797E-2</v>
      </c>
      <c r="AE18" s="19">
        <v>4.7468624867380141E-2</v>
      </c>
      <c r="AF18" s="19">
        <v>4.9181288379563252E-2</v>
      </c>
      <c r="AG18" s="19">
        <v>5.2364987254958202E-2</v>
      </c>
      <c r="AH18" s="19">
        <v>5.3864491360862431E-2</v>
      </c>
      <c r="AI18" s="19">
        <v>5.4061171709856547E-2</v>
      </c>
      <c r="AJ18" s="19">
        <v>5.6249097846413951E-2</v>
      </c>
      <c r="AK18" s="19">
        <v>6.122652017768649E-2</v>
      </c>
      <c r="AL18" s="19">
        <v>7.0984003434658549E-2</v>
      </c>
      <c r="AM18" s="19">
        <v>7.1366980553150453E-2</v>
      </c>
      <c r="AN18" s="19">
        <v>7.1467015413438403E-2</v>
      </c>
      <c r="AO18" s="19">
        <v>7.1579277901495972E-2</v>
      </c>
      <c r="AP18" s="19">
        <v>7.4382448135811019E-2</v>
      </c>
      <c r="AQ18" s="19">
        <v>7.505089513109113E-2</v>
      </c>
      <c r="AR18" s="19">
        <v>7.1823765278817592E-2</v>
      </c>
      <c r="AS18" s="19">
        <v>8.1973545957693766E-2</v>
      </c>
      <c r="AT18" s="19">
        <v>9.07969674064633E-2</v>
      </c>
      <c r="AU18" s="19">
        <v>8.7135581155875219E-2</v>
      </c>
      <c r="AV18" s="19">
        <v>9.6184064908491212E-2</v>
      </c>
      <c r="AW18" s="19">
        <v>0.10088992057429522</v>
      </c>
      <c r="AX18" s="19">
        <v>5.2584540158085225E-2</v>
      </c>
      <c r="AY18" s="19">
        <v>5.8924377535407538E-2</v>
      </c>
      <c r="AZ18" s="19">
        <v>5.9396943962797238E-2</v>
      </c>
      <c r="BA18" s="19">
        <v>5.6630947285282188E-2</v>
      </c>
      <c r="BB18" s="19">
        <v>6.089233414912408E-2</v>
      </c>
      <c r="BC18" s="19">
        <v>6.4326128956846224E-2</v>
      </c>
      <c r="BD18" s="19">
        <v>5.5079408212049499E-2</v>
      </c>
      <c r="BE18" s="19">
        <v>5.5497855185454754E-2</v>
      </c>
      <c r="BF18" s="19">
        <v>5.288530531197011E-2</v>
      </c>
      <c r="BG18" s="19">
        <v>5.6608140974077917E-2</v>
      </c>
      <c r="BH18" s="19">
        <v>3.9093269566274957E-2</v>
      </c>
      <c r="BI18" s="19">
        <v>3.6667761030294614E-2</v>
      </c>
      <c r="BJ18" s="19">
        <v>2.3610741695805328E-2</v>
      </c>
      <c r="BK18" s="19">
        <v>2.515938191365031E-2</v>
      </c>
      <c r="BL18" s="19">
        <v>2.2657850584885283E-2</v>
      </c>
      <c r="BM18" s="19">
        <v>2.4360189531181166E-2</v>
      </c>
      <c r="BN18" s="19">
        <v>0</v>
      </c>
      <c r="BO18" s="19">
        <v>0</v>
      </c>
      <c r="BP18" s="19">
        <v>0</v>
      </c>
      <c r="BQ18" s="19">
        <v>0</v>
      </c>
      <c r="BR18" s="19">
        <v>6.919565224120692E-4</v>
      </c>
      <c r="BS18" s="19">
        <v>0</v>
      </c>
      <c r="BT18" s="19">
        <v>0</v>
      </c>
      <c r="BU18" s="19">
        <v>0</v>
      </c>
      <c r="BV18" s="19">
        <v>4.2897458033826552E-2</v>
      </c>
      <c r="BW18" s="19">
        <v>4.8604999145775499E-2</v>
      </c>
      <c r="BX18" s="19">
        <v>5.0568490417423194E-2</v>
      </c>
      <c r="BY18" s="19">
        <v>5.8632377730029259E-2</v>
      </c>
      <c r="BZ18" s="19">
        <v>6.532097256437322E-2</v>
      </c>
      <c r="CA18" s="19">
        <v>8.6094149808097251E-2</v>
      </c>
      <c r="CB18" s="19">
        <v>8.1827582362251558E-2</v>
      </c>
      <c r="CC18" s="19">
        <v>8.4158207607962388E-2</v>
      </c>
      <c r="CD18" s="19">
        <v>8.1410375550378E-2</v>
      </c>
      <c r="CE18" s="19">
        <v>7.3160184885773971E-2</v>
      </c>
      <c r="CF18" s="19">
        <v>9.6903679961349007E-2</v>
      </c>
      <c r="CG18" s="19">
        <v>8.8830133558098254E-2</v>
      </c>
      <c r="CH18" s="19">
        <v>8.5373009088724985E-2</v>
      </c>
      <c r="CI18" s="19">
        <v>9.2174821432171705E-2</v>
      </c>
      <c r="CJ18" s="19">
        <v>8.2454050292243897E-2</v>
      </c>
      <c r="CK18" s="19">
        <v>9.8337140300467807E-2</v>
      </c>
      <c r="CL18" s="19">
        <v>8.8537173819402584E-2</v>
      </c>
      <c r="CM18" s="19">
        <v>8.1316739047753481E-2</v>
      </c>
      <c r="CN18" s="19">
        <v>9.8003904382080148E-2</v>
      </c>
      <c r="CO18" s="19">
        <v>0.1170795723831738</v>
      </c>
      <c r="CP18" s="19">
        <v>0.1069106679740771</v>
      </c>
      <c r="CQ18" s="19">
        <v>0.10461980637092222</v>
      </c>
      <c r="CR18" s="19">
        <v>0.10275460108309818</v>
      </c>
      <c r="CS18" s="19">
        <v>9.4247370088677687E-2</v>
      </c>
      <c r="CT18" s="19">
        <v>7.9724137096173209E-2</v>
      </c>
      <c r="CU18" s="19">
        <v>8.0362074736104433E-2</v>
      </c>
      <c r="CV18" s="19">
        <v>8.0123582744654656E-2</v>
      </c>
      <c r="CW18" s="19">
        <v>7.7833249679891831E-2</v>
      </c>
      <c r="CX18" s="19">
        <v>4.1896719027178016E-2</v>
      </c>
      <c r="CY18" s="19">
        <v>4.8092104524373069E-2</v>
      </c>
      <c r="CZ18" s="19">
        <v>3.9544022104299019E-2</v>
      </c>
      <c r="DA18" s="19">
        <v>3.0242719100035148E-2</v>
      </c>
      <c r="DB18" s="19">
        <v>2.6090999661851015E-2</v>
      </c>
      <c r="DC18" s="19">
        <v>3.4393398293559814E-2</v>
      </c>
      <c r="DD18" s="19">
        <v>3.4015170957416692E-2</v>
      </c>
      <c r="DE18" s="19">
        <v>3.2411397336665343E-2</v>
      </c>
      <c r="DF18" s="19">
        <v>0</v>
      </c>
      <c r="DG18" s="19">
        <v>0</v>
      </c>
      <c r="DH18" s="19">
        <v>0</v>
      </c>
      <c r="DI18" s="19">
        <v>0</v>
      </c>
      <c r="DJ18" s="19">
        <v>0</v>
      </c>
      <c r="DK18" s="19">
        <v>0</v>
      </c>
      <c r="DL18" s="19">
        <v>0</v>
      </c>
      <c r="DM18" s="19">
        <v>0</v>
      </c>
      <c r="DN18" s="19">
        <v>0</v>
      </c>
      <c r="DO18" s="19">
        <v>0</v>
      </c>
      <c r="DP18" s="19">
        <v>0</v>
      </c>
      <c r="DQ18" s="19">
        <v>0</v>
      </c>
      <c r="DR18" s="19">
        <v>0</v>
      </c>
      <c r="DS18" s="19">
        <v>0</v>
      </c>
      <c r="DT18" s="19">
        <v>0</v>
      </c>
      <c r="DU18" s="19">
        <v>0</v>
      </c>
      <c r="DV18" s="19">
        <v>0</v>
      </c>
      <c r="DW18" s="19">
        <v>0</v>
      </c>
      <c r="DX18" s="19">
        <v>0</v>
      </c>
      <c r="DY18" s="19">
        <v>0</v>
      </c>
      <c r="DZ18" s="19">
        <v>0</v>
      </c>
      <c r="EA18" s="19">
        <v>0</v>
      </c>
      <c r="EB18" s="19">
        <v>0</v>
      </c>
      <c r="EC18" s="19">
        <v>0</v>
      </c>
      <c r="ED18" s="19">
        <v>0</v>
      </c>
      <c r="EE18" s="19">
        <v>0</v>
      </c>
      <c r="EF18" s="19">
        <v>0</v>
      </c>
      <c r="EG18" s="19">
        <v>0</v>
      </c>
      <c r="EH18" s="19">
        <v>0</v>
      </c>
      <c r="EI18" s="19">
        <v>0</v>
      </c>
      <c r="EJ18" s="19">
        <v>0</v>
      </c>
      <c r="EK18" s="19">
        <v>0</v>
      </c>
      <c r="EL18" s="19">
        <v>0</v>
      </c>
      <c r="EM18" s="19">
        <v>0</v>
      </c>
      <c r="EN18" s="19">
        <v>0</v>
      </c>
      <c r="EO18" s="19">
        <v>0</v>
      </c>
      <c r="EP18" s="19">
        <v>0</v>
      </c>
      <c r="EQ18" s="19">
        <v>0</v>
      </c>
      <c r="ER18" s="19">
        <v>0</v>
      </c>
      <c r="ES18" s="19">
        <v>8.7674919335665943E-3</v>
      </c>
      <c r="ET18" s="19">
        <v>1.1619833675229042E-2</v>
      </c>
      <c r="EU18" s="19">
        <v>1.4960235866985869E-2</v>
      </c>
      <c r="EV18" s="19">
        <v>1.6252485506859159E-2</v>
      </c>
      <c r="EW18" s="19">
        <v>1.5398338391886668E-2</v>
      </c>
      <c r="EX18" s="19">
        <v>1.4900117918300313E-2</v>
      </c>
      <c r="EY18" s="19">
        <v>1.7887001935835239E-2</v>
      </c>
      <c r="EZ18" s="19">
        <v>2.1510682585550635E-2</v>
      </c>
      <c r="FA18" s="19">
        <v>1.8067624752823329E-2</v>
      </c>
      <c r="FB18" s="19">
        <v>1.6732898890325462E-2</v>
      </c>
      <c r="FC18" s="19">
        <v>1.2783562004971471E-2</v>
      </c>
      <c r="FD18" s="19">
        <v>1.412102513896037E-2</v>
      </c>
      <c r="FE18" s="19">
        <v>1.2574876334161936E-2</v>
      </c>
      <c r="FF18" s="19">
        <v>1.3881426915646561E-2</v>
      </c>
      <c r="FG18" s="19">
        <v>1.2302962153268164E-2</v>
      </c>
      <c r="FH18" s="19">
        <v>2.0983168583443942E-2</v>
      </c>
      <c r="FI18" s="19">
        <v>2.1544156164641986E-2</v>
      </c>
      <c r="FJ18" s="19">
        <v>1.7442895975430903E-2</v>
      </c>
      <c r="FK18" s="19">
        <v>9.8182544426114182E-3</v>
      </c>
      <c r="FL18" s="19">
        <v>2.9978627324554318E-4</v>
      </c>
      <c r="FM18" s="19">
        <v>1.7676372483539393E-3</v>
      </c>
      <c r="FN18" s="19">
        <v>0</v>
      </c>
      <c r="FO18" s="19">
        <v>0</v>
      </c>
      <c r="FP18" s="19">
        <v>0</v>
      </c>
      <c r="FQ18" s="19">
        <v>0</v>
      </c>
      <c r="FR18" s="19">
        <v>0</v>
      </c>
      <c r="FS18" s="19">
        <v>0</v>
      </c>
      <c r="FT18" s="19">
        <v>0</v>
      </c>
      <c r="FU18" s="19">
        <v>0</v>
      </c>
      <c r="FV18" s="19">
        <v>0</v>
      </c>
      <c r="FW18" s="19">
        <v>0</v>
      </c>
      <c r="FX18" s="19">
        <v>0</v>
      </c>
      <c r="FY18" s="19">
        <v>0</v>
      </c>
    </row>
    <row r="19" spans="1:181" ht="16" x14ac:dyDescent="0.2">
      <c r="A19" s="17" t="e">
        <f>#REF!</f>
        <v>#REF!</v>
      </c>
      <c r="B19" s="22">
        <v>7.5631299810211716E-2</v>
      </c>
      <c r="C19" s="22">
        <v>7.7088416486582476E-2</v>
      </c>
      <c r="D19" s="19">
        <v>8.3711961805065169E-2</v>
      </c>
      <c r="E19" s="19">
        <v>7.1655961192053655E-2</v>
      </c>
      <c r="F19" s="19">
        <v>6.156469647505227E-2</v>
      </c>
      <c r="G19" s="19">
        <v>5.8403422478662176E-2</v>
      </c>
      <c r="H19" s="19">
        <v>5.7348589394875464E-2</v>
      </c>
      <c r="I19" s="19">
        <v>4.8444146036619666E-2</v>
      </c>
      <c r="J19" s="19">
        <v>5.2299899309141196E-2</v>
      </c>
      <c r="K19" s="19">
        <v>4.3583984774301518E-2</v>
      </c>
      <c r="L19" s="19">
        <v>4.4376372750351376E-2</v>
      </c>
      <c r="M19" s="19">
        <v>4.2806619892691036E-2</v>
      </c>
      <c r="N19" s="19">
        <v>2.2504766361004635E-2</v>
      </c>
      <c r="O19" s="19">
        <v>3.2685099414598531E-2</v>
      </c>
      <c r="P19" s="19">
        <v>3.3256194886975628E-2</v>
      </c>
      <c r="Q19" s="19">
        <v>4.6160031022758612E-2</v>
      </c>
      <c r="R19" s="19">
        <v>4.1120561435176554E-2</v>
      </c>
      <c r="S19" s="19">
        <v>2.9105875705105221E-2</v>
      </c>
      <c r="T19" s="19">
        <v>1.8522229305824818E-2</v>
      </c>
      <c r="U19" s="19">
        <v>1.5765891509403888E-2</v>
      </c>
      <c r="V19" s="19">
        <v>1.6480942409050098E-2</v>
      </c>
      <c r="W19" s="19">
        <v>1.6998780925780953E-2</v>
      </c>
      <c r="X19" s="19">
        <v>1.6003167035699109E-2</v>
      </c>
      <c r="Y19" s="19">
        <v>1.315997509877888E-2</v>
      </c>
      <c r="Z19" s="19">
        <v>2.7071220464341385E-2</v>
      </c>
      <c r="AA19" s="19">
        <v>2.7157854392861436E-2</v>
      </c>
      <c r="AB19" s="19">
        <v>2.6530698458552191E-2</v>
      </c>
      <c r="AC19" s="19">
        <v>2.726948913251255E-2</v>
      </c>
      <c r="AD19" s="19">
        <v>2.9661450323692544E-2</v>
      </c>
      <c r="AE19" s="19">
        <v>3.3523521067695232E-2</v>
      </c>
      <c r="AF19" s="19">
        <v>3.0836358164757993E-2</v>
      </c>
      <c r="AG19" s="19">
        <v>1.9350400366293097E-2</v>
      </c>
      <c r="AH19" s="19">
        <v>2.0449405772473919E-2</v>
      </c>
      <c r="AI19" s="19">
        <v>2.6073903600422978E-2</v>
      </c>
      <c r="AJ19" s="19">
        <v>2.1547737904115429E-2</v>
      </c>
      <c r="AK19" s="19">
        <v>1.6886081246695869E-2</v>
      </c>
      <c r="AL19" s="19">
        <v>0</v>
      </c>
      <c r="AM19" s="19">
        <v>0</v>
      </c>
      <c r="AN19" s="19">
        <v>0</v>
      </c>
      <c r="AO19" s="19">
        <v>0</v>
      </c>
      <c r="AP19" s="19">
        <v>0</v>
      </c>
      <c r="AQ19" s="19">
        <v>0</v>
      </c>
      <c r="AR19" s="19">
        <v>0</v>
      </c>
      <c r="AS19" s="19">
        <v>0</v>
      </c>
      <c r="AT19" s="19">
        <v>0</v>
      </c>
      <c r="AU19" s="19">
        <v>0</v>
      </c>
      <c r="AV19" s="19">
        <v>0</v>
      </c>
      <c r="AW19" s="19">
        <v>0</v>
      </c>
      <c r="AX19" s="19">
        <v>0</v>
      </c>
      <c r="AY19" s="19">
        <v>0</v>
      </c>
      <c r="AZ19" s="19">
        <v>0</v>
      </c>
      <c r="BA19" s="19">
        <v>0</v>
      </c>
      <c r="BB19" s="19">
        <v>0</v>
      </c>
      <c r="BC19" s="19">
        <v>0</v>
      </c>
      <c r="BD19" s="19">
        <v>0</v>
      </c>
      <c r="BE19" s="19">
        <v>0</v>
      </c>
      <c r="BF19" s="19">
        <v>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19">
        <v>0</v>
      </c>
      <c r="BN19" s="19">
        <v>0</v>
      </c>
      <c r="BO19" s="19">
        <v>0</v>
      </c>
      <c r="BP19" s="19">
        <v>0</v>
      </c>
      <c r="BQ19" s="19">
        <v>0</v>
      </c>
      <c r="BR19" s="19">
        <v>0</v>
      </c>
      <c r="BS19" s="19">
        <v>0</v>
      </c>
      <c r="BT19" s="19">
        <v>0</v>
      </c>
      <c r="BU19" s="19">
        <v>0</v>
      </c>
      <c r="BV19" s="19">
        <v>0</v>
      </c>
      <c r="BW19" s="19">
        <v>0</v>
      </c>
      <c r="BX19" s="19">
        <v>0</v>
      </c>
      <c r="BY19" s="19">
        <v>0</v>
      </c>
      <c r="BZ19" s="19">
        <v>0</v>
      </c>
      <c r="CA19" s="19">
        <v>0</v>
      </c>
      <c r="CB19" s="19">
        <v>0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>
        <v>0</v>
      </c>
      <c r="CJ19" s="19">
        <v>0</v>
      </c>
      <c r="CK19" s="19">
        <v>0</v>
      </c>
      <c r="CL19" s="19">
        <v>0</v>
      </c>
      <c r="CM19" s="19">
        <v>0</v>
      </c>
      <c r="CN19" s="19">
        <v>0</v>
      </c>
      <c r="CO19" s="19">
        <v>0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19">
        <v>2.847941315732678E-3</v>
      </c>
      <c r="CV19" s="19">
        <v>0</v>
      </c>
      <c r="CW19" s="19">
        <v>0</v>
      </c>
      <c r="CX19" s="19">
        <v>0</v>
      </c>
      <c r="CY19" s="19">
        <v>0</v>
      </c>
      <c r="CZ19" s="19">
        <v>0</v>
      </c>
      <c r="DA19" s="19">
        <v>0</v>
      </c>
      <c r="DB19" s="19">
        <v>0</v>
      </c>
      <c r="DC19" s="19">
        <v>0</v>
      </c>
      <c r="DD19" s="19">
        <v>0</v>
      </c>
      <c r="DE19" s="19">
        <v>0</v>
      </c>
      <c r="DF19" s="19">
        <v>0.11723653489226633</v>
      </c>
      <c r="DG19" s="19">
        <v>0.12027050087775465</v>
      </c>
      <c r="DH19" s="19">
        <v>0.13213853780429605</v>
      </c>
      <c r="DI19" s="19">
        <v>0.12808717131039871</v>
      </c>
      <c r="DJ19" s="19">
        <v>0.11452955991708512</v>
      </c>
      <c r="DK19" s="19">
        <v>0.11591563172674023</v>
      </c>
      <c r="DL19" s="19">
        <v>0.12337429301447335</v>
      </c>
      <c r="DM19" s="19">
        <v>0.12307866017128231</v>
      </c>
      <c r="DN19" s="19">
        <v>0.13742261942918657</v>
      </c>
      <c r="DO19" s="19">
        <v>0.13597543636688744</v>
      </c>
      <c r="DP19" s="19">
        <v>0.13771509085884734</v>
      </c>
      <c r="DQ19" s="19">
        <v>0.14652060843326178</v>
      </c>
      <c r="DR19" s="19">
        <v>0.14336884039998221</v>
      </c>
      <c r="DS19" s="19">
        <v>0.15385539781266602</v>
      </c>
      <c r="DT19" s="19">
        <v>0.14293271542789809</v>
      </c>
      <c r="DU19" s="19">
        <v>0.19448020827907631</v>
      </c>
      <c r="DV19" s="19">
        <v>0.18954053145308841</v>
      </c>
      <c r="DW19" s="19">
        <v>0.19644890187281788</v>
      </c>
      <c r="DX19" s="19">
        <v>0.19701283979881165</v>
      </c>
      <c r="DY19" s="19">
        <v>0.20433143864786593</v>
      </c>
      <c r="DZ19" s="19">
        <v>0.20467002401232318</v>
      </c>
      <c r="EA19" s="19">
        <v>0.19177580717921319</v>
      </c>
      <c r="EB19" s="19">
        <v>0.19285201463662233</v>
      </c>
      <c r="EC19" s="19">
        <v>0.18462981192712058</v>
      </c>
      <c r="ED19" s="19">
        <v>0.1831516764658781</v>
      </c>
      <c r="EE19" s="19">
        <v>0.1757656247520033</v>
      </c>
      <c r="EF19" s="19">
        <v>0.17298717198694036</v>
      </c>
      <c r="EG19" s="19">
        <v>0.17456448839434913</v>
      </c>
      <c r="EH19" s="19">
        <v>0.17671207158861002</v>
      </c>
      <c r="EI19" s="19">
        <v>0.17935113011515094</v>
      </c>
      <c r="EJ19" s="19">
        <v>0.1774331172149535</v>
      </c>
      <c r="EK19" s="19">
        <v>0.17638507919662169</v>
      </c>
      <c r="EL19" s="19">
        <v>0.19025240115848729</v>
      </c>
      <c r="EM19" s="19">
        <v>0.22495474553390016</v>
      </c>
      <c r="EN19" s="19">
        <v>0.22700148229072364</v>
      </c>
      <c r="EO19" s="19">
        <v>0.22680958590968756</v>
      </c>
      <c r="EP19" s="19">
        <v>0.24834603177930642</v>
      </c>
      <c r="EQ19" s="19">
        <v>0.26114275282874644</v>
      </c>
      <c r="ER19" s="19">
        <v>0.25924280791248461</v>
      </c>
      <c r="ES19" s="19">
        <v>0.21584041131195014</v>
      </c>
      <c r="ET19" s="19">
        <v>0.2121415413171438</v>
      </c>
      <c r="EU19" s="19">
        <v>0.21704631897308316</v>
      </c>
      <c r="EV19" s="19">
        <v>0.21073423042194192</v>
      </c>
      <c r="EW19" s="19">
        <v>0.20824420975974808</v>
      </c>
      <c r="EX19" s="19">
        <v>0.19845886883607894</v>
      </c>
      <c r="EY19" s="19">
        <v>0.20469434537322995</v>
      </c>
      <c r="EZ19" s="19">
        <v>0.18891116492259236</v>
      </c>
      <c r="FA19" s="19">
        <v>0.1867672586613231</v>
      </c>
      <c r="FB19" s="19">
        <v>0.18904334968905903</v>
      </c>
      <c r="FC19" s="19">
        <v>0.18898823856211588</v>
      </c>
      <c r="FD19" s="19">
        <v>0.20846919920470433</v>
      </c>
      <c r="FE19" s="19">
        <v>0.21144900639912814</v>
      </c>
      <c r="FF19" s="19">
        <v>0.22106764758671449</v>
      </c>
      <c r="FG19" s="19">
        <v>0.22416554454524468</v>
      </c>
      <c r="FH19" s="19">
        <v>0.21899055266043069</v>
      </c>
      <c r="FI19" s="19">
        <v>0.21810581294457265</v>
      </c>
      <c r="FJ19" s="19">
        <v>0.22323126149107991</v>
      </c>
      <c r="FK19" s="19">
        <v>0.22684092930718297</v>
      </c>
      <c r="FL19" s="19">
        <v>0.22959326442712344</v>
      </c>
      <c r="FM19" s="19">
        <v>0.23204807998424498</v>
      </c>
      <c r="FN19" s="19">
        <v>0</v>
      </c>
      <c r="FO19" s="19">
        <v>0</v>
      </c>
      <c r="FP19" s="19">
        <v>0</v>
      </c>
      <c r="FQ19" s="19">
        <v>0</v>
      </c>
      <c r="FR19" s="19">
        <v>0</v>
      </c>
      <c r="FS19" s="19">
        <v>0</v>
      </c>
      <c r="FT19" s="19">
        <v>0</v>
      </c>
      <c r="FU19" s="19">
        <v>0</v>
      </c>
      <c r="FV19" s="19">
        <v>0</v>
      </c>
      <c r="FW19" s="19">
        <v>2.5589516898260158E-4</v>
      </c>
      <c r="FX19" s="19">
        <v>5.4145289185328592E-3</v>
      </c>
      <c r="FY19" s="19">
        <v>3.774996204228929E-3</v>
      </c>
    </row>
    <row r="20" spans="1:181" x14ac:dyDescent="0.2">
      <c r="A20" s="19"/>
      <c r="B20" s="22"/>
      <c r="C20" s="22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</row>
    <row r="21" spans="1:181" x14ac:dyDescent="0.2">
      <c r="A21" s="20" t="s">
        <v>57</v>
      </c>
      <c r="B21" s="22">
        <v>0.46589592745916131</v>
      </c>
      <c r="C21" s="22">
        <v>0.46244056650584398</v>
      </c>
      <c r="D21" s="19">
        <v>0.4533970723040287</v>
      </c>
      <c r="E21" s="19">
        <v>0.44486793982967154</v>
      </c>
      <c r="F21" s="19">
        <v>0.47445372100878602</v>
      </c>
      <c r="G21" s="19">
        <v>0.47410387780269458</v>
      </c>
      <c r="H21" s="19">
        <v>0.47491899432963958</v>
      </c>
      <c r="I21" s="19">
        <v>0.47835355478370789</v>
      </c>
      <c r="J21" s="19">
        <v>0.48268037989111856</v>
      </c>
      <c r="K21" s="19">
        <v>0.48747776279493948</v>
      </c>
      <c r="L21" s="19">
        <v>0.49249659189754158</v>
      </c>
      <c r="M21" s="19">
        <v>0.48602508850183079</v>
      </c>
      <c r="N21" s="19">
        <v>0.43292890448477361</v>
      </c>
      <c r="O21" s="19">
        <v>0.44341761496883236</v>
      </c>
      <c r="P21" s="19">
        <v>0.4593049074577974</v>
      </c>
      <c r="Q21" s="19">
        <v>0.4902361138274921</v>
      </c>
      <c r="R21" s="19">
        <v>0.48632173844992366</v>
      </c>
      <c r="S21" s="19">
        <v>0.47755054857438228</v>
      </c>
      <c r="T21" s="19">
        <v>0.48631343998303289</v>
      </c>
      <c r="U21" s="19">
        <v>0.48476270698017176</v>
      </c>
      <c r="V21" s="19">
        <v>0.49244522757568743</v>
      </c>
      <c r="W21" s="19">
        <v>0.49279767602980995</v>
      </c>
      <c r="X21" s="19">
        <v>0.49305152424447751</v>
      </c>
      <c r="Y21" s="19">
        <v>0.48923458517738805</v>
      </c>
      <c r="Z21" s="19">
        <v>0.51196708176936712</v>
      </c>
      <c r="AA21" s="19">
        <v>0.51370943795161406</v>
      </c>
      <c r="AB21" s="19">
        <v>0.51404285030938635</v>
      </c>
      <c r="AC21" s="19">
        <v>0.51646659909564452</v>
      </c>
      <c r="AD21" s="19">
        <v>0.52497308108063223</v>
      </c>
      <c r="AE21" s="19">
        <v>0.52433571615900809</v>
      </c>
      <c r="AF21" s="19">
        <v>0.5223033383888076</v>
      </c>
      <c r="AG21" s="19">
        <v>0.51313189359974953</v>
      </c>
      <c r="AH21" s="19">
        <v>0.51259618047598199</v>
      </c>
      <c r="AI21" s="19">
        <v>0.53394312170024094</v>
      </c>
      <c r="AJ21" s="19">
        <v>0.53255523765092561</v>
      </c>
      <c r="AK21" s="19">
        <v>0.53544489606441004</v>
      </c>
      <c r="AL21" s="19">
        <v>0.55980105191141138</v>
      </c>
      <c r="AM21" s="19">
        <v>0.55800334711682786</v>
      </c>
      <c r="AN21" s="19">
        <v>0.55831209130179849</v>
      </c>
      <c r="AO21" s="19">
        <v>0.56113045877718559</v>
      </c>
      <c r="AP21" s="19">
        <v>0.5603601609635368</v>
      </c>
      <c r="AQ21" s="19">
        <v>0.55173848610868725</v>
      </c>
      <c r="AR21" s="19">
        <v>0.56165335022905716</v>
      </c>
      <c r="AS21" s="19">
        <v>0.55619968554873922</v>
      </c>
      <c r="AT21" s="19">
        <v>0.55885239199536008</v>
      </c>
      <c r="AU21" s="19">
        <v>0.58127876727848671</v>
      </c>
      <c r="AV21" s="19">
        <v>0.59149676787263383</v>
      </c>
      <c r="AW21" s="19">
        <v>0.59767999797535665</v>
      </c>
      <c r="AX21" s="19">
        <v>0.73378466639024098</v>
      </c>
      <c r="AY21" s="19">
        <v>0.73362650862764178</v>
      </c>
      <c r="AZ21" s="19">
        <v>0.72553491650094681</v>
      </c>
      <c r="BA21" s="19">
        <v>0.722005791513193</v>
      </c>
      <c r="BB21" s="19">
        <v>0.72781191591868633</v>
      </c>
      <c r="BC21" s="19">
        <v>0.73543621041733864</v>
      </c>
      <c r="BD21" s="19">
        <v>0.73604052294280353</v>
      </c>
      <c r="BE21" s="19">
        <v>0.73530540756887108</v>
      </c>
      <c r="BF21" s="19">
        <v>0.7088593488934225</v>
      </c>
      <c r="BG21" s="19">
        <v>0.70835194972788851</v>
      </c>
      <c r="BH21" s="19">
        <v>0.69757583456183392</v>
      </c>
      <c r="BI21" s="19">
        <v>0.69300815919262548</v>
      </c>
      <c r="BJ21" s="19">
        <v>0.78522690259684658</v>
      </c>
      <c r="BK21" s="19">
        <v>0.78546298966671046</v>
      </c>
      <c r="BL21" s="19">
        <v>0.78907063882765238</v>
      </c>
      <c r="BM21" s="19">
        <v>0.78880803113633302</v>
      </c>
      <c r="BN21" s="19">
        <v>0.77089333434989993</v>
      </c>
      <c r="BO21" s="19">
        <v>0.77049252709142291</v>
      </c>
      <c r="BP21" s="19">
        <v>0.76840436600665196</v>
      </c>
      <c r="BQ21" s="19">
        <v>0.76734113854993846</v>
      </c>
      <c r="BR21" s="19">
        <v>0.76581291962049547</v>
      </c>
      <c r="BS21" s="19">
        <v>0.76051738951882708</v>
      </c>
      <c r="BT21" s="19">
        <v>0.75775612118541658</v>
      </c>
      <c r="BU21" s="19">
        <v>0.76104967976172744</v>
      </c>
      <c r="BV21" s="19">
        <v>0.88866069957031724</v>
      </c>
      <c r="BW21" s="19">
        <v>0.88919610437059426</v>
      </c>
      <c r="BX21" s="19">
        <v>0.888107734846316</v>
      </c>
      <c r="BY21" s="19">
        <v>0.88439309682950573</v>
      </c>
      <c r="BZ21" s="19">
        <v>0.88585297793739937</v>
      </c>
      <c r="CA21" s="19">
        <v>0.89572103549984505</v>
      </c>
      <c r="CB21" s="19">
        <v>0.90660079945740701</v>
      </c>
      <c r="CC21" s="19">
        <v>0.90474149343296362</v>
      </c>
      <c r="CD21" s="19">
        <v>0.90317703554840933</v>
      </c>
      <c r="CE21" s="19">
        <v>0.90189014074424156</v>
      </c>
      <c r="CF21" s="19">
        <v>0.90908028497318183</v>
      </c>
      <c r="CG21" s="19">
        <v>0.91119781919741261</v>
      </c>
      <c r="CH21" s="19">
        <v>0.90899269694050178</v>
      </c>
      <c r="CI21" s="19">
        <v>0.90295146543137439</v>
      </c>
      <c r="CJ21" s="19">
        <v>0.91081152736701199</v>
      </c>
      <c r="CK21" s="19">
        <v>0.91396636898954342</v>
      </c>
      <c r="CL21" s="19">
        <v>0.91116574714292031</v>
      </c>
      <c r="CM21" s="19">
        <v>0.91248801282064629</v>
      </c>
      <c r="CN21" s="19">
        <v>0.91392768046697404</v>
      </c>
      <c r="CO21" s="19">
        <v>0.92333197350573126</v>
      </c>
      <c r="CP21" s="19">
        <v>0.92619583415219042</v>
      </c>
      <c r="CQ21" s="19">
        <v>0.91683346695039769</v>
      </c>
      <c r="CR21" s="19">
        <v>0.91724454553558288</v>
      </c>
      <c r="CS21" s="19">
        <v>0.91225017667285302</v>
      </c>
      <c r="CT21" s="19">
        <v>0.9117244655763368</v>
      </c>
      <c r="CU21" s="19">
        <v>0.9112302435415619</v>
      </c>
      <c r="CV21" s="19">
        <v>0.91350046731367751</v>
      </c>
      <c r="CW21" s="19">
        <v>0.91233978713992225</v>
      </c>
      <c r="CX21" s="19">
        <v>0.92726415115157712</v>
      </c>
      <c r="CY21" s="19">
        <v>0.92742495915173995</v>
      </c>
      <c r="CZ21" s="19">
        <v>0.92930751104365006</v>
      </c>
      <c r="DA21" s="19">
        <v>0.92533764791650663</v>
      </c>
      <c r="DB21" s="19">
        <v>0.92390347098838388</v>
      </c>
      <c r="DC21" s="19">
        <v>0.902721550398493</v>
      </c>
      <c r="DD21" s="19">
        <v>0.89453354333632906</v>
      </c>
      <c r="DE21" s="19">
        <v>0.89445774194255234</v>
      </c>
      <c r="DF21" s="19">
        <v>0.18504625456353041</v>
      </c>
      <c r="DG21" s="19">
        <v>0.19148327954867395</v>
      </c>
      <c r="DH21" s="19">
        <v>0.18792160465823837</v>
      </c>
      <c r="DI21" s="19">
        <v>0.18719043932073065</v>
      </c>
      <c r="DJ21" s="19">
        <v>0.18110849145489072</v>
      </c>
      <c r="DK21" s="19">
        <v>0.16819022394671534</v>
      </c>
      <c r="DL21" s="19">
        <v>0.19117306502686715</v>
      </c>
      <c r="DM21" s="19">
        <v>0.18973080754992766</v>
      </c>
      <c r="DN21" s="19">
        <v>0.1883377536439288</v>
      </c>
      <c r="DO21" s="19">
        <v>0.19498239647671511</v>
      </c>
      <c r="DP21" s="19">
        <v>0.24551426281225786</v>
      </c>
      <c r="DQ21" s="19">
        <v>0.25479062457962109</v>
      </c>
      <c r="DR21" s="19">
        <v>0.24886808579027264</v>
      </c>
      <c r="DS21" s="19">
        <v>0.25912916148123377</v>
      </c>
      <c r="DT21" s="19">
        <v>0.27492318372822477</v>
      </c>
      <c r="DU21" s="19">
        <v>0.29072702904460734</v>
      </c>
      <c r="DV21" s="19">
        <v>0.30596516605000956</v>
      </c>
      <c r="DW21" s="19">
        <v>0.31727836702960488</v>
      </c>
      <c r="DX21" s="19">
        <v>0.31604632599213911</v>
      </c>
      <c r="DY21" s="19">
        <v>0.32423341257293758</v>
      </c>
      <c r="DZ21" s="19">
        <v>0.32669008306585201</v>
      </c>
      <c r="EA21" s="19">
        <v>0.32801086604942509</v>
      </c>
      <c r="EB21" s="19">
        <v>0.3262516737056127</v>
      </c>
      <c r="EC21" s="19">
        <v>0.32714294972567959</v>
      </c>
      <c r="ED21" s="19">
        <v>0.3241576244638984</v>
      </c>
      <c r="EE21" s="19">
        <v>0.32590087246710553</v>
      </c>
      <c r="EF21" s="19">
        <v>0.32616429055227047</v>
      </c>
      <c r="EG21" s="19">
        <v>0.33372580204575819</v>
      </c>
      <c r="EH21" s="19">
        <v>0.33413281084622326</v>
      </c>
      <c r="EI21" s="19">
        <v>0.34062293173125302</v>
      </c>
      <c r="EJ21" s="19">
        <v>0.34423338898441191</v>
      </c>
      <c r="EK21" s="19">
        <v>0.35146296945010558</v>
      </c>
      <c r="EL21" s="19">
        <v>0.35223276901345213</v>
      </c>
      <c r="EM21" s="19">
        <v>0.36233649542595536</v>
      </c>
      <c r="EN21" s="19">
        <v>0.36335693257425417</v>
      </c>
      <c r="EO21" s="19">
        <v>0.3612304824762872</v>
      </c>
      <c r="EP21" s="19">
        <v>0.36764235319054939</v>
      </c>
      <c r="EQ21" s="19">
        <v>0.36871066853586598</v>
      </c>
      <c r="ER21" s="19">
        <v>0.37118205043635277</v>
      </c>
      <c r="ES21" s="19">
        <v>0.36852871249812558</v>
      </c>
      <c r="ET21" s="19">
        <v>0.36905176789486671</v>
      </c>
      <c r="EU21" s="19">
        <v>0.36886791113697837</v>
      </c>
      <c r="EV21" s="19">
        <v>0.36930504140462139</v>
      </c>
      <c r="EW21" s="19">
        <v>0.36967630637551541</v>
      </c>
      <c r="EX21" s="19">
        <v>0.37108262073990028</v>
      </c>
      <c r="EY21" s="19">
        <v>0.37581012982617468</v>
      </c>
      <c r="EZ21" s="19">
        <v>0.3895276214068103</v>
      </c>
      <c r="FA21" s="19">
        <v>0.38810693585502065</v>
      </c>
      <c r="FB21" s="19">
        <v>0.38797953111769179</v>
      </c>
      <c r="FC21" s="19">
        <v>0.39121757694874915</v>
      </c>
      <c r="FD21" s="19">
        <v>0.39521893349781323</v>
      </c>
      <c r="FE21" s="19">
        <v>0.39678738315520401</v>
      </c>
      <c r="FF21" s="19">
        <v>0.39353184599493085</v>
      </c>
      <c r="FG21" s="19">
        <v>0.39600293216125859</v>
      </c>
      <c r="FH21" s="19">
        <v>0.39806486368063609</v>
      </c>
      <c r="FI21" s="19">
        <v>0.39773731537510992</v>
      </c>
      <c r="FJ21" s="19">
        <v>0.39858385935151286</v>
      </c>
      <c r="FK21" s="19">
        <v>0.39809744574009653</v>
      </c>
      <c r="FL21" s="19">
        <v>0.39723332756309437</v>
      </c>
      <c r="FM21" s="19">
        <v>0.39624425638438487</v>
      </c>
      <c r="FN21" s="19">
        <v>0.97927164592563631</v>
      </c>
      <c r="FO21" s="19">
        <v>0.97864318264762451</v>
      </c>
      <c r="FP21" s="19">
        <v>0.97889538852170233</v>
      </c>
      <c r="FQ21" s="19">
        <v>0.97946574708067569</v>
      </c>
      <c r="FR21" s="19">
        <v>0.97976225404172279</v>
      </c>
      <c r="FS21" s="19">
        <v>0.97966116579338303</v>
      </c>
      <c r="FT21" s="19">
        <v>0.97862762375449497</v>
      </c>
      <c r="FU21" s="19">
        <v>0.97725553099133688</v>
      </c>
      <c r="FV21" s="19">
        <v>0.97739880752594899</v>
      </c>
      <c r="FW21" s="19">
        <v>0.97675024796594012</v>
      </c>
      <c r="FX21" s="19">
        <v>0.97155779158033562</v>
      </c>
      <c r="FY21" s="19">
        <v>0.96981604333788529</v>
      </c>
    </row>
    <row r="22" spans="1:181" x14ac:dyDescent="0.2">
      <c r="A22" s="19"/>
      <c r="B22" s="22"/>
      <c r="C22" s="22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</row>
    <row r="23" spans="1:181" x14ac:dyDescent="0.2">
      <c r="A23" s="19"/>
      <c r="B23" s="22"/>
      <c r="C23" s="22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</row>
    <row r="24" spans="1:181" x14ac:dyDescent="0.2">
      <c r="A24" s="19"/>
      <c r="B24" s="22"/>
      <c r="C24" s="22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</row>
    <row r="25" spans="1:181" x14ac:dyDescent="0.2">
      <c r="A25" s="19"/>
      <c r="B25" s="22"/>
      <c r="C25" s="22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</row>
    <row r="26" spans="1:181" x14ac:dyDescent="0.2">
      <c r="B26" s="22"/>
      <c r="C26" s="22"/>
    </row>
    <row r="27" spans="1:181" x14ac:dyDescent="0.2">
      <c r="B27" s="22"/>
      <c r="C27" s="22"/>
    </row>
  </sheetData>
  <conditionalFormatting sqref="A4:A19">
    <cfRule type="cellIs" dxfId="0" priority="1" operator="equal">
      <formula>$H$2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D0EDF-D46E-D045-81A5-3A2D5CE3DEA4}">
  <sheetPr codeName="Sheet1"/>
  <dimension ref="B2:H4"/>
  <sheetViews>
    <sheetView zoomScaleNormal="150" workbookViewId="0">
      <selection activeCell="E2" sqref="E2"/>
    </sheetView>
  </sheetViews>
  <sheetFormatPr baseColWidth="10" defaultRowHeight="15" x14ac:dyDescent="0.2"/>
  <cols>
    <col min="1" max="1" width="3" customWidth="1"/>
    <col min="3" max="3" width="43.33203125" bestFit="1" customWidth="1"/>
  </cols>
  <sheetData>
    <row r="2" spans="2:8" x14ac:dyDescent="0.2">
      <c r="B2" s="23" t="s">
        <v>59</v>
      </c>
      <c r="C2" s="39">
        <v>105</v>
      </c>
      <c r="E2" s="23" t="s">
        <v>54</v>
      </c>
      <c r="F2" s="23" t="s">
        <v>53</v>
      </c>
      <c r="G2" s="23" t="s">
        <v>52</v>
      </c>
      <c r="H2" s="23" t="s">
        <v>51</v>
      </c>
    </row>
    <row r="3" spans="2:8" x14ac:dyDescent="0.2">
      <c r="B3" s="23" t="s">
        <v>55</v>
      </c>
      <c r="C3" s="24">
        <v>34335</v>
      </c>
      <c r="E3" s="40">
        <f ca="1">FFWork!D4</f>
        <v>-0.25756086612221579</v>
      </c>
      <c r="F3" s="40">
        <f ca="1">FFWork!E4</f>
        <v>0.54027923669307854</v>
      </c>
      <c r="G3" s="40">
        <f ca="1">FFWork!F4</f>
        <v>0.25517778379038203</v>
      </c>
      <c r="H3" s="40">
        <f ca="1">FFWork!G4</f>
        <v>0.71660860800789872</v>
      </c>
    </row>
    <row r="4" spans="2:8" x14ac:dyDescent="0.2">
      <c r="B4" s="23" t="s">
        <v>60</v>
      </c>
      <c r="C4" s="24">
        <f>EOMONTH(C3,120)</f>
        <v>38017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F9C046-240C-9640-8926-7CD33AC1B977}">
          <x14:formula1>
            <xm:f>MutualFunds!$C$4:$O$4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B8966-7618-9549-BD90-0B16EFD003B7}">
  <dimension ref="B1:L16"/>
  <sheetViews>
    <sheetView zoomScale="140" workbookViewId="0">
      <selection activeCell="C5" sqref="C5"/>
    </sheetView>
  </sheetViews>
  <sheetFormatPr baseColWidth="10" defaultRowHeight="15" x14ac:dyDescent="0.2"/>
  <cols>
    <col min="1" max="1" width="3.33203125" customWidth="1"/>
  </cols>
  <sheetData>
    <row r="1" spans="2:12" x14ac:dyDescent="0.2">
      <c r="B1" s="44" t="s">
        <v>93</v>
      </c>
      <c r="C1" s="44" t="s">
        <v>94</v>
      </c>
      <c r="E1" s="22" t="s">
        <v>99</v>
      </c>
      <c r="K1" s="31"/>
      <c r="L1" s="27"/>
    </row>
    <row r="2" spans="2:12" x14ac:dyDescent="0.2">
      <c r="B2" s="45">
        <v>101</v>
      </c>
      <c r="C2" t="s">
        <v>95</v>
      </c>
      <c r="D2" s="42"/>
      <c r="K2" s="31"/>
      <c r="L2" s="27"/>
    </row>
    <row r="3" spans="2:12" x14ac:dyDescent="0.2">
      <c r="B3" s="45">
        <v>102</v>
      </c>
      <c r="C3" t="s">
        <v>36</v>
      </c>
      <c r="K3" s="31"/>
      <c r="L3" s="27"/>
    </row>
    <row r="4" spans="2:12" x14ac:dyDescent="0.2">
      <c r="B4" s="45">
        <v>103</v>
      </c>
      <c r="C4" t="s">
        <v>98</v>
      </c>
      <c r="K4" s="31"/>
      <c r="L4" s="27"/>
    </row>
    <row r="5" spans="2:12" x14ac:dyDescent="0.2">
      <c r="B5" s="45">
        <v>104</v>
      </c>
      <c r="C5" t="s">
        <v>96</v>
      </c>
      <c r="K5" s="31"/>
      <c r="L5" s="27"/>
    </row>
    <row r="6" spans="2:12" x14ac:dyDescent="0.2">
      <c r="B6" s="45">
        <v>105</v>
      </c>
      <c r="C6" t="s">
        <v>97</v>
      </c>
      <c r="K6" s="31"/>
      <c r="L6" s="27"/>
    </row>
    <row r="7" spans="2:12" x14ac:dyDescent="0.2">
      <c r="K7" s="31"/>
      <c r="L7" s="27"/>
    </row>
    <row r="8" spans="2:12" x14ac:dyDescent="0.2">
      <c r="K8" s="31"/>
      <c r="L8" s="27"/>
    </row>
    <row r="9" spans="2:12" x14ac:dyDescent="0.2">
      <c r="K9" s="31"/>
      <c r="L9" s="27"/>
    </row>
    <row r="10" spans="2:12" x14ac:dyDescent="0.2">
      <c r="K10" s="31"/>
      <c r="L10" s="27"/>
    </row>
    <row r="11" spans="2:12" x14ac:dyDescent="0.2">
      <c r="K11" s="31"/>
      <c r="L11" s="27"/>
    </row>
    <row r="12" spans="2:12" x14ac:dyDescent="0.2">
      <c r="K12" s="31"/>
      <c r="L12" s="27"/>
    </row>
    <row r="13" spans="2:12" x14ac:dyDescent="0.2">
      <c r="K13" s="31"/>
      <c r="L13" s="27"/>
    </row>
    <row r="14" spans="2:12" x14ac:dyDescent="0.2">
      <c r="K14" s="31"/>
      <c r="L14" s="27"/>
    </row>
    <row r="15" spans="2:12" x14ac:dyDescent="0.2">
      <c r="K15" s="31"/>
      <c r="L15" s="27"/>
    </row>
    <row r="16" spans="2:12" x14ac:dyDescent="0.2">
      <c r="K16" s="31"/>
      <c r="L16" s="27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74DC-7825-0B41-83FE-2CBB93FB8926}">
  <sheetPr codeName="Sheet8"/>
  <dimension ref="A1:R250"/>
  <sheetViews>
    <sheetView zoomScaleNormal="170" workbookViewId="0">
      <selection activeCell="B13" sqref="B13"/>
    </sheetView>
  </sheetViews>
  <sheetFormatPr baseColWidth="10" defaultRowHeight="15" x14ac:dyDescent="0.2"/>
  <cols>
    <col min="1" max="1" width="11" bestFit="1" customWidth="1"/>
    <col min="2" max="2" width="23.83203125" bestFit="1" customWidth="1"/>
    <col min="3" max="6" width="11" bestFit="1" customWidth="1"/>
  </cols>
  <sheetData>
    <row r="1" spans="1:15" x14ac:dyDescent="0.2">
      <c r="B1" s="3"/>
      <c r="C1" s="3"/>
      <c r="D1" s="3"/>
      <c r="E1" s="3"/>
      <c r="F1" s="3"/>
      <c r="G1" s="3"/>
      <c r="H1" s="3"/>
    </row>
    <row r="2" spans="1:15" x14ac:dyDescent="0.2">
      <c r="B2" s="3"/>
      <c r="C2" s="3"/>
      <c r="D2" s="3"/>
      <c r="E2" s="3"/>
      <c r="F2" s="3"/>
      <c r="G2" s="3"/>
      <c r="H2" s="3"/>
      <c r="J2" t="s">
        <v>91</v>
      </c>
    </row>
    <row r="3" spans="1:15" ht="16" thickBot="1" x14ac:dyDescent="0.25">
      <c r="B3" s="3"/>
      <c r="C3" s="3"/>
      <c r="D3" s="23" t="s">
        <v>54</v>
      </c>
      <c r="E3" s="23" t="s">
        <v>53</v>
      </c>
      <c r="F3" s="23" t="s">
        <v>52</v>
      </c>
      <c r="G3" s="23" t="s">
        <v>51</v>
      </c>
      <c r="H3" s="3"/>
    </row>
    <row r="4" spans="1:15" x14ac:dyDescent="0.2">
      <c r="B4" s="3"/>
      <c r="C4" s="3"/>
      <c r="D4" s="3" cm="1">
        <f t="array" aca="1" ref="D4:H8" ca="1">LINEST(YrangeFF,XrangeFF,TRUE,TRUE)</f>
        <v>-0.25756086612221579</v>
      </c>
      <c r="E4" s="3">
        <f ca="1"/>
        <v>0.54027923669307854</v>
      </c>
      <c r="F4" s="3">
        <f ca="1"/>
        <v>0.25517778379038203</v>
      </c>
      <c r="G4" s="3">
        <f ca="1"/>
        <v>0.71660860800789872</v>
      </c>
      <c r="H4" s="3">
        <f ca="1"/>
        <v>1.0392990081375141E-3</v>
      </c>
      <c r="J4" s="38" t="s">
        <v>90</v>
      </c>
      <c r="K4" s="38"/>
    </row>
    <row r="5" spans="1:15" x14ac:dyDescent="0.2">
      <c r="B5" s="3"/>
      <c r="C5" s="3"/>
      <c r="D5" s="3">
        <f ca="1"/>
        <v>4.2149117029302782E-2</v>
      </c>
      <c r="E5" s="3">
        <f ca="1"/>
        <v>7.3188583636304969E-2</v>
      </c>
      <c r="F5" s="3">
        <f ca="1"/>
        <v>5.8989023735940782E-2</v>
      </c>
      <c r="G5" s="3">
        <f ca="1"/>
        <v>5.7285216989280179E-2</v>
      </c>
      <c r="H5" s="3">
        <f ca="1"/>
        <v>2.3592036439157634E-3</v>
      </c>
      <c r="J5" t="s">
        <v>89</v>
      </c>
      <c r="K5">
        <v>0.80942230795566061</v>
      </c>
    </row>
    <row r="6" spans="1:15" x14ac:dyDescent="0.2">
      <c r="B6" s="3"/>
      <c r="C6" s="3"/>
      <c r="D6" s="3">
        <f ca="1"/>
        <v>0.68041788403362169</v>
      </c>
      <c r="E6" s="3">
        <f ca="1"/>
        <v>2.4282670252963413E-2</v>
      </c>
      <c r="F6" s="3" t="e">
        <f ca="1"/>
        <v>#N/A</v>
      </c>
      <c r="G6" s="3" t="e">
        <f ca="1"/>
        <v>#N/A</v>
      </c>
      <c r="H6" s="3" t="e">
        <f ca="1"/>
        <v>#N/A</v>
      </c>
      <c r="J6" t="s">
        <v>88</v>
      </c>
      <c r="K6">
        <v>0.6551644726162682</v>
      </c>
    </row>
    <row r="7" spans="1:15" x14ac:dyDescent="0.2">
      <c r="B7" s="3"/>
      <c r="C7" s="3"/>
      <c r="D7" s="3">
        <f ca="1"/>
        <v>61.743500812952092</v>
      </c>
      <c r="E7" s="3">
        <f ca="1"/>
        <v>116</v>
      </c>
      <c r="F7" s="3" t="e">
        <f ca="1"/>
        <v>#N/A</v>
      </c>
      <c r="G7" s="3" t="e">
        <f ca="1"/>
        <v>#N/A</v>
      </c>
      <c r="H7" s="3" t="e">
        <f ca="1"/>
        <v>#N/A</v>
      </c>
      <c r="J7" t="s">
        <v>87</v>
      </c>
      <c r="K7">
        <v>0.52976973538582028</v>
      </c>
    </row>
    <row r="8" spans="1:15" x14ac:dyDescent="0.2">
      <c r="B8" s="3"/>
      <c r="C8" s="3"/>
      <c r="D8" s="3">
        <f ca="1"/>
        <v>0.14562774549717866</v>
      </c>
      <c r="E8" s="3">
        <f ca="1"/>
        <v>6.8399176655241881E-2</v>
      </c>
      <c r="F8" s="3" t="e">
        <f ca="1"/>
        <v>#N/A</v>
      </c>
      <c r="G8" s="3" t="e">
        <f ca="1"/>
        <v>#N/A</v>
      </c>
      <c r="H8" s="3" t="e">
        <f ca="1"/>
        <v>#N/A</v>
      </c>
      <c r="J8" t="s">
        <v>76</v>
      </c>
      <c r="K8">
        <v>1.3523650786718735E-2</v>
      </c>
    </row>
    <row r="9" spans="1:15" ht="16" thickBot="1" x14ac:dyDescent="0.25">
      <c r="B9" s="3"/>
      <c r="C9" s="3"/>
      <c r="D9" s="3"/>
      <c r="E9" s="3"/>
      <c r="F9" s="3"/>
      <c r="G9" s="3"/>
      <c r="H9" s="3"/>
      <c r="J9" s="35" t="s">
        <v>86</v>
      </c>
      <c r="K9" s="35">
        <v>16</v>
      </c>
    </row>
    <row r="10" spans="1:15" x14ac:dyDescent="0.2">
      <c r="B10" s="23" t="s">
        <v>50</v>
      </c>
      <c r="C10" s="23" t="s">
        <v>62</v>
      </c>
      <c r="D10" s="23" t="s">
        <v>51</v>
      </c>
      <c r="E10" s="23" t="s">
        <v>52</v>
      </c>
      <c r="F10" s="23" t="s">
        <v>53</v>
      </c>
      <c r="G10" s="23" t="s">
        <v>54</v>
      </c>
      <c r="H10" s="3"/>
      <c r="I10" s="37"/>
    </row>
    <row r="11" spans="1:15" ht="16" thickBot="1" x14ac:dyDescent="0.25">
      <c r="A11">
        <v>1</v>
      </c>
      <c r="B11" s="33">
        <f>EOMONTH(Front!C3,0)</f>
        <v>34365</v>
      </c>
      <c r="C11" s="14">
        <f>INDEX(MutualFunds!$C$6:$O$244,MATCH(FFWork!B11,MutualFunds!$B$6:$B$244,0),MATCH(Front!$C$2,MutualFunds!$C$4:$O$4,0))</f>
        <v>3.7826685006877504E-2</v>
      </c>
      <c r="D11" s="14">
        <f>INDEX(FamaFrench!$C$6:$F$244,MATCH(FFWork!$B11,FamaFrench!$B$6:$B$244,0),MATCH(FamaFrench!C$5,FFWork!$D$10:$F$10,0))</f>
        <v>2.87E-2</v>
      </c>
      <c r="E11" s="14">
        <f>INDEX(FamaFrench!$C$6:$F$244,MATCH(FFWork!$B11,FamaFrench!$B$6:$B$244,0),MATCH(FamaFrench!D$5,FFWork!$D$10:$F$10,0))</f>
        <v>1.4000000000000002E-3</v>
      </c>
      <c r="F11" s="14">
        <f>INDEX(FamaFrench!$C$6:$F$244,MATCH(FFWork!$B11,FamaFrench!$B$6:$B$244,0),MATCH(FamaFrench!E$5,FFWork!$D$10:$G$10,0))</f>
        <v>2.1000000000000001E-2</v>
      </c>
      <c r="G11" s="14">
        <f>INDEX(FamaFrench!$C$6:$F$244,MATCH(FFWork!$B11,FamaFrench!$B$6:$B$244,0),MATCH(FamaFrench!F$5,FFWork!$D$10:$G$10,0))</f>
        <v>1E-4</v>
      </c>
      <c r="I11" s="34"/>
      <c r="J11" t="s">
        <v>85</v>
      </c>
    </row>
    <row r="12" spans="1:15" x14ac:dyDescent="0.2">
      <c r="A12">
        <v>2</v>
      </c>
      <c r="B12" s="33">
        <f>IF(B11="","",IF(EOMONTH(B11,1)&lt;=EOMONTH(Front!$C$4,0),EOMONTH(B11,1),""))</f>
        <v>34393</v>
      </c>
      <c r="C12" s="14">
        <f>INDEX(MutualFunds!$C$6:$O$244,MATCH(FFWork!B12,MutualFunds!$B$6:$B$244,0),MATCH(Front!$C$2,MutualFunds!$C$4:$O$4,0))</f>
        <v>-1.4579191517561223E-2</v>
      </c>
      <c r="D12" s="14">
        <f>INDEX(FamaFrench!$C$6:$F$244,MATCH(FFWork!$B12,FamaFrench!$B$6:$B$244,0),MATCH(FamaFrench!C$5,FFWork!$D$10:$F$10,0))</f>
        <v>-2.5600000000000001E-2</v>
      </c>
      <c r="E12" s="14">
        <f>INDEX(FamaFrench!$C$6:$F$244,MATCH(FFWork!$B12,FamaFrench!$B$6:$B$244,0),MATCH(FamaFrench!D$5,FFWork!$D$10:$F$10,0))</f>
        <v>2.7200000000000002E-2</v>
      </c>
      <c r="F12" s="14">
        <f>INDEX(FamaFrench!$C$6:$F$244,MATCH(FFWork!$B12,FamaFrench!$B$6:$B$244,0),MATCH(FamaFrench!E$5,FFWork!$D$10:$G$10,0))</f>
        <v>-1.41E-2</v>
      </c>
      <c r="G12" s="14">
        <f>INDEX(FamaFrench!$C$6:$F$244,MATCH(FFWork!$B12,FamaFrench!$B$6:$B$244,0),MATCH(FamaFrench!F$5,FFWork!$D$10:$G$10,0))</f>
        <v>-2.5999999999999999E-3</v>
      </c>
      <c r="I12" s="34"/>
      <c r="J12" s="36"/>
      <c r="K12" s="36" t="s">
        <v>84</v>
      </c>
      <c r="L12" s="36" t="s">
        <v>83</v>
      </c>
      <c r="M12" s="36" t="s">
        <v>82</v>
      </c>
      <c r="N12" s="36" t="s">
        <v>18</v>
      </c>
      <c r="O12" s="36" t="s">
        <v>81</v>
      </c>
    </row>
    <row r="13" spans="1:15" x14ac:dyDescent="0.2">
      <c r="A13">
        <v>3</v>
      </c>
      <c r="B13" s="33">
        <f>IF(B12="","",IF(EOMONTH(B12,1)&lt;=EOMONTH(Front!$C$4,0),EOMONTH(B12,1),""))</f>
        <v>34424</v>
      </c>
      <c r="C13" s="14">
        <f>INDEX(MutualFunds!$C$6:$O$244,MATCH(FFWork!B13,MutualFunds!$B$6:$B$244,0),MATCH(Front!$C$2,MutualFunds!$C$4:$O$4,0))</f>
        <v>-3.8332212508406203E-2</v>
      </c>
      <c r="D13" s="14">
        <f>INDEX(FamaFrench!$C$6:$F$244,MATCH(FFWork!$B13,FamaFrench!$B$6:$B$244,0),MATCH(FamaFrench!C$5,FFWork!$D$10:$F$10,0))</f>
        <v>-4.7800000000000002E-2</v>
      </c>
      <c r="E13" s="14">
        <f>INDEX(FamaFrench!$C$6:$F$244,MATCH(FFWork!$B13,FamaFrench!$B$6:$B$244,0),MATCH(FamaFrench!D$5,FFWork!$D$10:$F$10,0))</f>
        <v>-9.5999999999999992E-3</v>
      </c>
      <c r="F13" s="14">
        <f>INDEX(FamaFrench!$C$6:$F$244,MATCH(FFWork!$B13,FamaFrench!$B$6:$B$244,0),MATCH(FamaFrench!E$5,FFWork!$D$10:$G$10,0))</f>
        <v>1.34E-2</v>
      </c>
      <c r="G13" s="14">
        <f>INDEX(FamaFrench!$C$6:$F$244,MATCH(FFWork!$B13,FamaFrench!$B$6:$B$244,0),MATCH(FamaFrench!F$5,FFWork!$D$10:$G$10,0))</f>
        <v>-1.32E-2</v>
      </c>
      <c r="I13" s="34"/>
      <c r="J13" t="s">
        <v>80</v>
      </c>
      <c r="K13">
        <v>4</v>
      </c>
      <c r="L13">
        <v>3.8222484753031431E-3</v>
      </c>
      <c r="M13">
        <v>9.5556211882578577E-4</v>
      </c>
      <c r="N13">
        <v>5.2248163446622184</v>
      </c>
      <c r="O13">
        <v>1.3180903082325428E-2</v>
      </c>
    </row>
    <row r="14" spans="1:15" x14ac:dyDescent="0.2">
      <c r="A14">
        <v>4</v>
      </c>
      <c r="B14" s="33">
        <f>IF(B13="","",IF(EOMONTH(B13,1)&lt;=EOMONTH(Front!$C$4,0),EOMONTH(B13,1),""))</f>
        <v>34454</v>
      </c>
      <c r="C14" s="14">
        <f>INDEX(MutualFunds!$C$6:$O$244,MATCH(FFWork!B14,MutualFunds!$B$6:$B$244,0),MATCH(Front!$C$2,MutualFunds!$C$4:$O$4,0))</f>
        <v>1.5384615384615429E-2</v>
      </c>
      <c r="D14" s="14">
        <f>INDEX(FamaFrench!$C$6:$F$244,MATCH(FFWork!$B14,FamaFrench!$B$6:$B$244,0),MATCH(FamaFrench!C$5,FFWork!$D$10:$F$10,0))</f>
        <v>6.8000000000000005E-3</v>
      </c>
      <c r="E14" s="14">
        <f>INDEX(FamaFrench!$C$6:$F$244,MATCH(FFWork!$B14,FamaFrench!$B$6:$B$244,0),MATCH(FamaFrench!D$5,FFWork!$D$10:$F$10,0))</f>
        <v>-9.1000000000000004E-3</v>
      </c>
      <c r="F14" s="14">
        <f>INDEX(FamaFrench!$C$6:$F$244,MATCH(FFWork!$B14,FamaFrench!$B$6:$B$244,0),MATCH(FamaFrench!E$5,FFWork!$D$10:$G$10,0))</f>
        <v>1.6899999999999998E-2</v>
      </c>
      <c r="G14" s="14">
        <f>INDEX(FamaFrench!$C$6:$F$244,MATCH(FFWork!$B14,FamaFrench!$B$6:$B$244,0),MATCH(FamaFrench!F$5,FFWork!$D$10:$G$10,0))</f>
        <v>4.0999999999999995E-3</v>
      </c>
      <c r="I14" s="34"/>
      <c r="J14" t="s">
        <v>79</v>
      </c>
      <c r="K14">
        <v>11</v>
      </c>
      <c r="L14">
        <v>2.0117804366123009E-3</v>
      </c>
      <c r="M14">
        <v>1.8288913060111826E-4</v>
      </c>
    </row>
    <row r="15" spans="1:15" ht="16" thickBot="1" x14ac:dyDescent="0.25">
      <c r="A15">
        <v>5</v>
      </c>
      <c r="B15" s="33">
        <f>IF(B14="","",IF(EOMONTH(B14,1)&lt;=EOMONTH(Front!$C$4,0),EOMONTH(B14,1),""))</f>
        <v>34485</v>
      </c>
      <c r="C15" s="14">
        <f>INDEX(MutualFunds!$C$6:$O$244,MATCH(FFWork!B15,MutualFunds!$B$6:$B$244,0),MATCH(Front!$C$2,MutualFunds!$C$4:$O$4,0))</f>
        <v>2.7548209366391085E-2</v>
      </c>
      <c r="D15" s="14">
        <f>INDEX(FamaFrench!$C$6:$F$244,MATCH(FFWork!$B15,FamaFrench!$B$6:$B$244,0),MATCH(FamaFrench!C$5,FFWork!$D$10:$F$10,0))</f>
        <v>5.7999999999999996E-3</v>
      </c>
      <c r="E15" s="14">
        <f>INDEX(FamaFrench!$C$6:$F$244,MATCH(FFWork!$B15,FamaFrench!$B$6:$B$244,0),MATCH(FamaFrench!D$5,FFWork!$D$10:$F$10,0))</f>
        <v>-2.0099999999999996E-2</v>
      </c>
      <c r="F15" s="14">
        <f>INDEX(FamaFrench!$C$6:$F$244,MATCH(FFWork!$B15,FamaFrench!$B$6:$B$244,0),MATCH(FamaFrench!E$5,FFWork!$D$10:$G$10,0))</f>
        <v>1.8E-3</v>
      </c>
      <c r="G15" s="14">
        <f>INDEX(FamaFrench!$C$6:$F$244,MATCH(FFWork!$B15,FamaFrench!$B$6:$B$244,0),MATCH(FamaFrench!F$5,FFWork!$D$10:$G$10,0))</f>
        <v>-2.1899999999999999E-2</v>
      </c>
      <c r="I15" s="34"/>
      <c r="J15" s="35" t="s">
        <v>78</v>
      </c>
      <c r="K15" s="35">
        <v>15</v>
      </c>
      <c r="L15" s="35">
        <v>5.834028911915444E-3</v>
      </c>
      <c r="M15" s="35"/>
      <c r="N15" s="35"/>
      <c r="O15" s="35"/>
    </row>
    <row r="16" spans="1:15" ht="16" thickBot="1" x14ac:dyDescent="0.25">
      <c r="A16">
        <v>6</v>
      </c>
      <c r="B16" s="33">
        <f>IF(B15="","",IF(EOMONTH(B15,1)&lt;=EOMONTH(Front!$C$4,0),EOMONTH(B15,1),""))</f>
        <v>34515</v>
      </c>
      <c r="C16" s="14">
        <f>INDEX(MutualFunds!$C$6:$O$244,MATCH(FFWork!B16,MutualFunds!$B$6:$B$244,0),MATCH(Front!$C$2,MutualFunds!$C$4:$O$4,0))</f>
        <v>-2.0107238605898053E-2</v>
      </c>
      <c r="D16" s="14">
        <f>INDEX(FamaFrench!$C$6:$F$244,MATCH(FFWork!$B16,FamaFrench!$B$6:$B$244,0),MATCH(FamaFrench!C$5,FFWork!$D$10:$F$10,0))</f>
        <v>-3.0299999999999997E-2</v>
      </c>
      <c r="E16" s="14">
        <f>INDEX(FamaFrench!$C$6:$F$244,MATCH(FFWork!$B16,FamaFrench!$B$6:$B$244,0),MATCH(FamaFrench!D$5,FFWork!$D$10:$F$10,0))</f>
        <v>-4.7999999999999996E-3</v>
      </c>
      <c r="F16" s="14">
        <f>INDEX(FamaFrench!$C$6:$F$244,MATCH(FFWork!$B16,FamaFrench!$B$6:$B$244,0),MATCH(FamaFrench!E$5,FFWork!$D$10:$G$10,0))</f>
        <v>1.6799999999999999E-2</v>
      </c>
      <c r="G16" s="14">
        <f>INDEX(FamaFrench!$C$6:$F$244,MATCH(FFWork!$B16,FamaFrench!$B$6:$B$244,0),MATCH(FamaFrench!F$5,FFWork!$D$10:$G$10,0))</f>
        <v>-8.3000000000000001E-3</v>
      </c>
      <c r="I16" s="34"/>
    </row>
    <row r="17" spans="1:18" x14ac:dyDescent="0.2">
      <c r="A17">
        <v>7</v>
      </c>
      <c r="B17" s="33">
        <f>IF(B16="","",IF(EOMONTH(B16,1)&lt;=EOMONTH(Front!$C$4,0),EOMONTH(B16,1),""))</f>
        <v>34546</v>
      </c>
      <c r="C17" s="14">
        <f>INDEX(MutualFunds!$C$6:$O$244,MATCH(FFWork!B17,MutualFunds!$B$6:$B$244,0),MATCH(Front!$C$2,MutualFunds!$C$4:$O$4,0))</f>
        <v>2.872777017783857E-2</v>
      </c>
      <c r="D17" s="14">
        <f>INDEX(FamaFrench!$C$6:$F$244,MATCH(FFWork!$B17,FamaFrench!$B$6:$B$244,0),MATCH(FamaFrench!C$5,FFWork!$D$10:$F$10,0))</f>
        <v>2.8199999999999999E-2</v>
      </c>
      <c r="E17" s="14">
        <f>INDEX(FamaFrench!$C$6:$F$244,MATCH(FFWork!$B17,FamaFrench!$B$6:$B$244,0),MATCH(FamaFrench!D$5,FFWork!$D$10:$F$10,0))</f>
        <v>-1.78E-2</v>
      </c>
      <c r="F17" s="14">
        <f>INDEX(FamaFrench!$C$6:$F$244,MATCH(FFWork!$B17,FamaFrench!$B$6:$B$244,0),MATCH(FamaFrench!E$5,FFWork!$D$10:$G$10,0))</f>
        <v>9.7999999999999997E-3</v>
      </c>
      <c r="G17" s="14">
        <f>INDEX(FamaFrench!$C$6:$F$244,MATCH(FFWork!$B17,FamaFrench!$B$6:$B$244,0),MATCH(FamaFrench!F$5,FFWork!$D$10:$G$10,0))</f>
        <v>1.9E-3</v>
      </c>
      <c r="I17" s="34"/>
      <c r="J17" s="36"/>
      <c r="K17" s="36" t="s">
        <v>77</v>
      </c>
      <c r="L17" s="36" t="s">
        <v>76</v>
      </c>
      <c r="M17" s="36" t="s">
        <v>75</v>
      </c>
      <c r="N17" s="36" t="s">
        <v>74</v>
      </c>
      <c r="O17" s="36" t="s">
        <v>73</v>
      </c>
      <c r="P17" s="36" t="s">
        <v>72</v>
      </c>
      <c r="Q17" s="36" t="s">
        <v>71</v>
      </c>
      <c r="R17" s="36" t="s">
        <v>70</v>
      </c>
    </row>
    <row r="18" spans="1:18" x14ac:dyDescent="0.2">
      <c r="A18">
        <v>8</v>
      </c>
      <c r="B18" s="33">
        <f>IF(B17="","",IF(EOMONTH(B17,1)&lt;=EOMONTH(Front!$C$4,0),EOMONTH(B17,1),""))</f>
        <v>34577</v>
      </c>
      <c r="C18" s="14">
        <f>INDEX(MutualFunds!$C$6:$O$244,MATCH(FFWork!B18,MutualFunds!$B$6:$B$244,0),MATCH(Front!$C$2,MutualFunds!$C$4:$O$4,0))</f>
        <v>2.2606382978723392E-2</v>
      </c>
      <c r="D18" s="14">
        <f>INDEX(FamaFrench!$C$6:$F$244,MATCH(FFWork!$B18,FamaFrench!$B$6:$B$244,0),MATCH(FamaFrench!C$5,FFWork!$D$10:$F$10,0))</f>
        <v>4.0099999999999997E-2</v>
      </c>
      <c r="E18" s="14">
        <f>INDEX(FamaFrench!$C$6:$F$244,MATCH(FFWork!$B18,FamaFrench!$B$6:$B$244,0),MATCH(FamaFrench!D$5,FFWork!$D$10:$F$10,0))</f>
        <v>1.4499999999999999E-2</v>
      </c>
      <c r="F18" s="14">
        <f>INDEX(FamaFrench!$C$6:$F$244,MATCH(FFWork!$B18,FamaFrench!$B$6:$B$244,0),MATCH(FamaFrench!E$5,FFWork!$D$10:$G$10,0))</f>
        <v>-3.4700000000000002E-2</v>
      </c>
      <c r="G18" s="14">
        <f>INDEX(FamaFrench!$C$6:$F$244,MATCH(FFWork!$B18,FamaFrench!$B$6:$B$244,0),MATCH(FamaFrench!F$5,FFWork!$D$10:$G$10,0))</f>
        <v>1.54E-2</v>
      </c>
      <c r="I18" s="34"/>
      <c r="J18" t="s">
        <v>69</v>
      </c>
      <c r="K18">
        <v>-8.8666465841897408E-4</v>
      </c>
      <c r="L18">
        <v>4.043290148702491E-3</v>
      </c>
      <c r="M18">
        <v>-0.2192928594806654</v>
      </c>
      <c r="N18">
        <v>0.83043797154480392</v>
      </c>
      <c r="O18">
        <v>-9.7858862736578713E-3</v>
      </c>
      <c r="P18">
        <v>8.0125569568199224E-3</v>
      </c>
      <c r="Q18">
        <v>-9.7858862736578713E-3</v>
      </c>
      <c r="R18">
        <v>8.0125569568199224E-3</v>
      </c>
    </row>
    <row r="19" spans="1:18" x14ac:dyDescent="0.2">
      <c r="A19">
        <v>9</v>
      </c>
      <c r="B19" s="33">
        <f>IF(B18="","",IF(EOMONTH(B18,1)&lt;=EOMONTH(Front!$C$4,0),EOMONTH(B18,1),""))</f>
        <v>34607</v>
      </c>
      <c r="C19" s="14">
        <f>INDEX(MutualFunds!$C$6:$O$244,MATCH(FFWork!B19,MutualFunds!$B$6:$B$244,0),MATCH(Front!$C$2,MutualFunds!$C$4:$O$4,0))</f>
        <v>-1.8855656697009161E-2</v>
      </c>
      <c r="D19" s="14">
        <f>INDEX(FamaFrench!$C$6:$F$244,MATCH(FFWork!$B19,FamaFrench!$B$6:$B$244,0),MATCH(FamaFrench!C$5,FFWork!$D$10:$F$10,0))</f>
        <v>-2.3099999999999999E-2</v>
      </c>
      <c r="E19" s="14">
        <f>INDEX(FamaFrench!$C$6:$F$244,MATCH(FFWork!$B19,FamaFrench!$B$6:$B$244,0),MATCH(FamaFrench!D$5,FFWork!$D$10:$F$10,0))</f>
        <v>2.6800000000000001E-2</v>
      </c>
      <c r="F19" s="14">
        <f>INDEX(FamaFrench!$C$6:$F$244,MATCH(FFWork!$B19,FamaFrench!$B$6:$B$244,0),MATCH(FamaFrench!E$5,FFWork!$D$10:$G$10,0))</f>
        <v>-1.8100000000000002E-2</v>
      </c>
      <c r="G19" s="14">
        <f>INDEX(FamaFrench!$C$6:$F$244,MATCH(FFWork!$B19,FamaFrench!$B$6:$B$244,0),MATCH(FamaFrench!F$5,FFWork!$D$10:$G$10,0))</f>
        <v>1.3100000000000001E-2</v>
      </c>
      <c r="I19" s="34"/>
      <c r="J19" t="s">
        <v>68</v>
      </c>
      <c r="K19">
        <v>0.44352182867858442</v>
      </c>
      <c r="L19">
        <v>0.15578292182577322</v>
      </c>
      <c r="M19">
        <v>2.847050392177243</v>
      </c>
      <c r="N19">
        <v>1.5880305675774319E-2</v>
      </c>
      <c r="O19">
        <v>0.10064592954434176</v>
      </c>
      <c r="P19">
        <v>0.78639772781282702</v>
      </c>
      <c r="Q19">
        <v>0.10064592954434176</v>
      </c>
      <c r="R19">
        <v>0.78639772781282702</v>
      </c>
    </row>
    <row r="20" spans="1:18" x14ac:dyDescent="0.2">
      <c r="A20">
        <v>10</v>
      </c>
      <c r="B20" s="33">
        <f>IF(B19="","",IF(EOMONTH(B19,1)&lt;=EOMONTH(Front!$C$4,0),EOMONTH(B19,1),""))</f>
        <v>34638</v>
      </c>
      <c r="C20" s="14">
        <f>INDEX(MutualFunds!$C$6:$O$244,MATCH(FFWork!B20,MutualFunds!$B$6:$B$244,0),MATCH(Front!$C$2,MutualFunds!$C$4:$O$4,0))</f>
        <v>1.3916500994035842E-2</v>
      </c>
      <c r="D20" s="14">
        <f>INDEX(FamaFrench!$C$6:$F$244,MATCH(FFWork!$B20,FamaFrench!$B$6:$B$244,0),MATCH(FamaFrench!C$5,FFWork!$D$10:$F$10,0))</f>
        <v>1.34E-2</v>
      </c>
      <c r="E20" s="14">
        <f>INDEX(FamaFrench!$C$6:$F$244,MATCH(FFWork!$B20,FamaFrench!$B$6:$B$244,0),MATCH(FamaFrench!D$5,FFWork!$D$10:$F$10,0))</f>
        <v>-2.2000000000000002E-2</v>
      </c>
      <c r="F20" s="14">
        <f>INDEX(FamaFrench!$C$6:$F$244,MATCH(FFWork!$B20,FamaFrench!$B$6:$B$244,0),MATCH(FamaFrench!E$5,FFWork!$D$10:$G$10,0))</f>
        <v>-2.3599999999999999E-2</v>
      </c>
      <c r="G20" s="14">
        <f>INDEX(FamaFrench!$C$6:$F$244,MATCH(FFWork!$B20,FamaFrench!$B$6:$B$244,0),MATCH(FamaFrench!F$5,FFWork!$D$10:$G$10,0))</f>
        <v>1.47E-2</v>
      </c>
      <c r="I20" s="34"/>
      <c r="J20" t="s">
        <v>67</v>
      </c>
      <c r="K20">
        <v>-0.14612249700614849</v>
      </c>
      <c r="L20">
        <v>0.25625292145485928</v>
      </c>
      <c r="M20">
        <v>-0.57022763360724837</v>
      </c>
      <c r="N20">
        <v>0.57998376258706918</v>
      </c>
      <c r="O20">
        <v>-0.710131374358422</v>
      </c>
      <c r="P20">
        <v>0.41788638034612502</v>
      </c>
      <c r="Q20">
        <v>-0.710131374358422</v>
      </c>
      <c r="R20">
        <v>0.41788638034612502</v>
      </c>
    </row>
    <row r="21" spans="1:18" x14ac:dyDescent="0.2">
      <c r="A21">
        <v>11</v>
      </c>
      <c r="B21" s="33">
        <f>IF(B20="","",IF(EOMONTH(B20,1)&lt;=EOMONTH(Front!$C$4,0),EOMONTH(B20,1),""))</f>
        <v>34668</v>
      </c>
      <c r="C21" s="14">
        <f>INDEX(MutualFunds!$C$6:$O$244,MATCH(FFWork!B21,MutualFunds!$B$6:$B$244,0),MATCH(Front!$C$2,MutualFunds!$C$4:$O$4,0))</f>
        <v>-3.9215686274509776E-2</v>
      </c>
      <c r="D21" s="14">
        <f>INDEX(FamaFrench!$C$6:$F$244,MATCH(FFWork!$B21,FamaFrench!$B$6:$B$244,0),MATCH(FamaFrench!C$5,FFWork!$D$10:$F$10,0))</f>
        <v>-4.0399999999999998E-2</v>
      </c>
      <c r="E21" s="14">
        <f>INDEX(FamaFrench!$C$6:$F$244,MATCH(FFWork!$B21,FamaFrench!$B$6:$B$244,0),MATCH(FamaFrench!D$5,FFWork!$D$10:$F$10,0))</f>
        <v>-1.7000000000000001E-3</v>
      </c>
      <c r="F21" s="14">
        <f>INDEX(FamaFrench!$C$6:$F$244,MATCH(FFWork!$B21,FamaFrench!$B$6:$B$244,0),MATCH(FamaFrench!E$5,FFWork!$D$10:$G$10,0))</f>
        <v>-5.0000000000000001E-4</v>
      </c>
      <c r="G21" s="14">
        <f>INDEX(FamaFrench!$C$6:$F$244,MATCH(FFWork!$B21,FamaFrench!$B$6:$B$244,0),MATCH(FamaFrench!F$5,FFWork!$D$10:$G$10,0))</f>
        <v>-1.9E-3</v>
      </c>
      <c r="I21" s="34"/>
      <c r="J21" t="s">
        <v>66</v>
      </c>
      <c r="K21">
        <v>0.68495529325444171</v>
      </c>
      <c r="L21">
        <v>0.22937704364196326</v>
      </c>
      <c r="M21">
        <v>2.9861545095314539</v>
      </c>
      <c r="N21">
        <v>1.2382523696792588E-2</v>
      </c>
      <c r="O21">
        <v>0.18009982413278847</v>
      </c>
      <c r="P21">
        <v>1.189810762376095</v>
      </c>
      <c r="Q21">
        <v>0.18009982413278847</v>
      </c>
      <c r="R21">
        <v>1.189810762376095</v>
      </c>
    </row>
    <row r="22" spans="1:18" ht="16" thickBot="1" x14ac:dyDescent="0.25">
      <c r="A22">
        <v>12</v>
      </c>
      <c r="B22" s="33">
        <f>IF(B21="","",IF(EOMONTH(B21,1)&lt;=EOMONTH(Front!$C$4,0),EOMONTH(B21,1),""))</f>
        <v>34699</v>
      </c>
      <c r="C22" s="14">
        <f>INDEX(MutualFunds!$C$6:$O$244,MATCH(FFWork!B22,MutualFunds!$B$6:$B$244,0),MATCH(Front!$C$2,MutualFunds!$C$4:$O$4,0))</f>
        <v>-1.3605442176870821E-2</v>
      </c>
      <c r="D22" s="14">
        <f>INDEX(FamaFrench!$C$6:$F$244,MATCH(FFWork!$B22,FamaFrench!$B$6:$B$244,0),MATCH(FamaFrench!C$5,FFWork!$D$10:$F$10,0))</f>
        <v>8.6E-3</v>
      </c>
      <c r="E22" s="14">
        <f>INDEX(FamaFrench!$C$6:$F$244,MATCH(FFWork!$B22,FamaFrench!$B$6:$B$244,0),MATCH(FamaFrench!D$5,FFWork!$D$10:$F$10,0))</f>
        <v>5.0000000000000001E-4</v>
      </c>
      <c r="F22" s="14">
        <f>INDEX(FamaFrench!$C$6:$F$244,MATCH(FFWork!$B22,FamaFrench!$B$6:$B$244,0),MATCH(FamaFrench!E$5,FFWork!$D$10:$G$10,0))</f>
        <v>2.5999999999999999E-3</v>
      </c>
      <c r="G22" s="14">
        <f>INDEX(FamaFrench!$C$6:$F$244,MATCH(FFWork!$B22,FamaFrench!$B$6:$B$244,0),MATCH(FamaFrench!F$5,FFWork!$D$10:$G$10,0))</f>
        <v>3.5000000000000003E-2</v>
      </c>
      <c r="I22" s="34"/>
      <c r="J22" s="35" t="s">
        <v>65</v>
      </c>
      <c r="K22" s="35">
        <v>9.048502161820704E-2</v>
      </c>
      <c r="L22" s="35">
        <v>0.29886093012098708</v>
      </c>
      <c r="M22" s="35">
        <v>0.30276631201534515</v>
      </c>
      <c r="N22" s="35">
        <v>0.76771656984106063</v>
      </c>
      <c r="O22" s="35">
        <v>-0.56730345050926967</v>
      </c>
      <c r="P22" s="35">
        <v>0.74827349374568375</v>
      </c>
      <c r="Q22" s="35">
        <v>-0.56730345050926967</v>
      </c>
      <c r="R22" s="35">
        <v>0.74827349374568375</v>
      </c>
    </row>
    <row r="23" spans="1:18" x14ac:dyDescent="0.2">
      <c r="A23">
        <v>13</v>
      </c>
      <c r="B23" s="33">
        <f>IF(B22="","",IF(EOMONTH(B22,1)&lt;=EOMONTH(Front!$C$4,0),EOMONTH(B22,1),""))</f>
        <v>34730</v>
      </c>
      <c r="C23" s="14">
        <f>INDEX(MutualFunds!$C$6:$O$244,MATCH(FFWork!B23,MutualFunds!$B$6:$B$244,0),MATCH(Front!$C$2,MutualFunds!$C$4:$O$4,0))</f>
        <v>2.5517241379310412E-2</v>
      </c>
      <c r="D23" s="14">
        <f>INDEX(FamaFrench!$C$6:$F$244,MATCH(FFWork!$B23,FamaFrench!$B$6:$B$244,0),MATCH(FamaFrench!C$5,FFWork!$D$10:$F$10,0))</f>
        <v>1.8000000000000002E-2</v>
      </c>
      <c r="E23" s="14">
        <f>INDEX(FamaFrench!$C$6:$F$244,MATCH(FFWork!$B23,FamaFrench!$B$6:$B$244,0),MATCH(FamaFrench!D$5,FFWork!$D$10:$F$10,0))</f>
        <v>-2.9600000000000001E-2</v>
      </c>
      <c r="F23" s="14">
        <f>INDEX(FamaFrench!$C$6:$F$244,MATCH(FFWork!$B23,FamaFrench!$B$6:$B$244,0),MATCH(FamaFrench!E$5,FFWork!$D$10:$G$10,0))</f>
        <v>1.6399999999999998E-2</v>
      </c>
      <c r="G23" s="14">
        <f>INDEX(FamaFrench!$C$6:$F$244,MATCH(FFWork!$B23,FamaFrench!$B$6:$B$244,0),MATCH(FamaFrench!F$5,FFWork!$D$10:$G$10,0))</f>
        <v>-1.83E-2</v>
      </c>
      <c r="I23" s="34"/>
    </row>
    <row r="24" spans="1:18" x14ac:dyDescent="0.2">
      <c r="A24">
        <v>14</v>
      </c>
      <c r="B24" s="33">
        <f>IF(B23="","",IF(EOMONTH(B23,1)&lt;=EOMONTH(Front!$C$4,0),EOMONTH(B23,1),""))</f>
        <v>34758</v>
      </c>
      <c r="C24" s="14">
        <f>INDEX(MutualFunds!$C$6:$O$244,MATCH(FFWork!B24,MutualFunds!$B$6:$B$244,0),MATCH(Front!$C$2,MutualFunds!$C$4:$O$4,0))</f>
        <v>3.7659717552118388E-2</v>
      </c>
      <c r="D24" s="14">
        <f>INDEX(FamaFrench!$C$6:$F$244,MATCH(FFWork!$B24,FamaFrench!$B$6:$B$244,0),MATCH(FamaFrench!C$5,FFWork!$D$10:$F$10,0))</f>
        <v>3.6299999999999999E-2</v>
      </c>
      <c r="E24" s="14">
        <f>INDEX(FamaFrench!$C$6:$F$244,MATCH(FFWork!$B24,FamaFrench!$B$6:$B$244,0),MATCH(FamaFrench!D$5,FFWork!$D$10:$F$10,0))</f>
        <v>-3.3E-3</v>
      </c>
      <c r="F24" s="14">
        <f>INDEX(FamaFrench!$C$6:$F$244,MATCH(FFWork!$B24,FamaFrench!$B$6:$B$244,0),MATCH(FamaFrench!E$5,FFWork!$D$10:$G$10,0))</f>
        <v>3.8E-3</v>
      </c>
      <c r="G24" s="14">
        <f>INDEX(FamaFrench!$C$6:$F$244,MATCH(FFWork!$B24,FamaFrench!$B$6:$B$244,0),MATCH(FamaFrench!F$5,FFWork!$D$10:$G$10,0))</f>
        <v>-3.4000000000000002E-3</v>
      </c>
      <c r="I24" s="34"/>
    </row>
    <row r="25" spans="1:18" x14ac:dyDescent="0.2">
      <c r="A25">
        <v>15</v>
      </c>
      <c r="B25" s="33">
        <f>IF(B24="","",IF(EOMONTH(B24,1)&lt;=EOMONTH(Front!$C$4,0),EOMONTH(B24,1),""))</f>
        <v>34789</v>
      </c>
      <c r="C25" s="14">
        <f>INDEX(MutualFunds!$C$6:$O$244,MATCH(FFWork!B25,MutualFunds!$B$6:$B$244,0),MATCH(Front!$C$2,MutualFunds!$C$4:$O$4,0))</f>
        <v>2.5275437459494409E-2</v>
      </c>
      <c r="D25" s="14">
        <f>INDEX(FamaFrench!$C$6:$F$244,MATCH(FFWork!$B25,FamaFrench!$B$6:$B$244,0),MATCH(FamaFrench!C$5,FFWork!$D$10:$F$10,0))</f>
        <v>2.18E-2</v>
      </c>
      <c r="E25" s="14">
        <f>INDEX(FamaFrench!$C$6:$F$244,MATCH(FFWork!$B25,FamaFrench!$B$6:$B$244,0),MATCH(FamaFrench!D$5,FFWork!$D$10:$F$10,0))</f>
        <v>-3.7000000000000002E-3</v>
      </c>
      <c r="F25" s="14">
        <f>INDEX(FamaFrench!$C$6:$F$244,MATCH(FFWork!$B25,FamaFrench!$B$6:$B$244,0),MATCH(FamaFrench!E$5,FFWork!$D$10:$G$10,0))</f>
        <v>-2.06E-2</v>
      </c>
      <c r="G25" s="14">
        <f>INDEX(FamaFrench!$C$6:$F$244,MATCH(FFWork!$B25,FamaFrench!$B$6:$B$244,0),MATCH(FamaFrench!F$5,FFWork!$D$10:$G$10,0))</f>
        <v>3.5999999999999999E-3</v>
      </c>
      <c r="I25" s="34"/>
    </row>
    <row r="26" spans="1:18" x14ac:dyDescent="0.2">
      <c r="A26">
        <v>16</v>
      </c>
      <c r="B26" s="33">
        <f>IF(B25="","",IF(EOMONTH(B25,1)&lt;=EOMONTH(Front!$C$4,0),EOMONTH(B25,1),""))</f>
        <v>34819</v>
      </c>
      <c r="C26" s="14">
        <f>INDEX(MutualFunds!$C$6:$O$244,MATCH(FFWork!B26,MutualFunds!$B$6:$B$244,0),MATCH(Front!$C$2,MutualFunds!$C$4:$O$4,0))</f>
        <v>3.4766118836915341E-2</v>
      </c>
      <c r="D26" s="14">
        <f>INDEX(FamaFrench!$C$6:$F$244,MATCH(FFWork!$B26,FamaFrench!$B$6:$B$244,0),MATCH(FamaFrench!C$5,FFWork!$D$10:$F$10,0))</f>
        <v>2.1099999999999997E-2</v>
      </c>
      <c r="E26" s="14">
        <f>INDEX(FamaFrench!$C$6:$F$244,MATCH(FFWork!$B26,FamaFrench!$B$6:$B$244,0),MATCH(FamaFrench!D$5,FFWork!$D$10:$F$10,0))</f>
        <v>-4.0999999999999995E-3</v>
      </c>
      <c r="F26" s="14">
        <f>INDEX(FamaFrench!$C$6:$F$244,MATCH(FFWork!$B26,FamaFrench!$B$6:$B$244,0),MATCH(FamaFrench!E$5,FFWork!$D$10:$G$10,0))</f>
        <v>1.7000000000000001E-2</v>
      </c>
      <c r="G26" s="14">
        <f>INDEX(FamaFrench!$C$6:$F$244,MATCH(FFWork!$B26,FamaFrench!$B$6:$B$244,0),MATCH(FamaFrench!F$5,FFWork!$D$10:$G$10,0))</f>
        <v>1.8200000000000001E-2</v>
      </c>
      <c r="I26" s="34"/>
    </row>
    <row r="27" spans="1:18" x14ac:dyDescent="0.2">
      <c r="A27">
        <v>17</v>
      </c>
      <c r="B27" s="33">
        <f>IF(B26="","",IF(EOMONTH(B26,1)&lt;=EOMONTH(Front!$C$4,0),EOMONTH(B26,1),""))</f>
        <v>34850</v>
      </c>
      <c r="C27" s="14">
        <f>INDEX(MutualFunds!$C$6:$O$244,MATCH(FFWork!B27,MutualFunds!$B$6:$B$244,0),MATCH(Front!$C$2,MutualFunds!$C$4:$O$4,0))</f>
        <v>2.6878436163714187E-2</v>
      </c>
      <c r="D27" s="14">
        <f>INDEX(FamaFrench!$C$6:$F$244,MATCH(FFWork!$B27,FamaFrench!$B$6:$B$244,0),MATCH(FamaFrench!C$5,FFWork!$D$10:$F$10,0))</f>
        <v>2.8999999999999998E-2</v>
      </c>
      <c r="E27" s="14">
        <f>INDEX(FamaFrench!$C$6:$F$244,MATCH(FFWork!$B27,FamaFrench!$B$6:$B$244,0),MATCH(FamaFrench!D$5,FFWork!$D$10:$F$10,0))</f>
        <v>-2.23E-2</v>
      </c>
      <c r="F27" s="14">
        <f>INDEX(FamaFrench!$C$6:$F$244,MATCH(FFWork!$B27,FamaFrench!$B$6:$B$244,0),MATCH(FamaFrench!E$5,FFWork!$D$10:$G$10,0))</f>
        <v>1.9099999999999999E-2</v>
      </c>
      <c r="G27" s="14">
        <f>INDEX(FamaFrench!$C$6:$F$244,MATCH(FFWork!$B27,FamaFrench!$B$6:$B$244,0),MATCH(FamaFrench!F$5,FFWork!$D$10:$G$10,0))</f>
        <v>-4.4000000000000003E-3</v>
      </c>
    </row>
    <row r="28" spans="1:18" x14ac:dyDescent="0.2">
      <c r="A28">
        <v>18</v>
      </c>
      <c r="B28" s="33">
        <f>IF(B27="","",IF(EOMONTH(B27,1)&lt;=EOMONTH(Front!$C$4,0),EOMONTH(B27,1),""))</f>
        <v>34880</v>
      </c>
      <c r="C28" s="14">
        <f>INDEX(MutualFunds!$C$6:$O$244,MATCH(FFWork!B28,MutualFunds!$B$6:$B$244,0),MATCH(Front!$C$2,MutualFunds!$C$4:$O$4,0))</f>
        <v>4.1641879833432642E-3</v>
      </c>
      <c r="D28" s="14">
        <f>INDEX(FamaFrench!$C$6:$F$244,MATCH(FFWork!$B28,FamaFrench!$B$6:$B$244,0),MATCH(FamaFrench!C$5,FFWork!$D$10:$F$10,0))</f>
        <v>2.7200000000000002E-2</v>
      </c>
      <c r="E28" s="14">
        <f>INDEX(FamaFrench!$C$6:$F$244,MATCH(FFWork!$B28,FamaFrench!$B$6:$B$244,0),MATCH(FamaFrench!D$5,FFWork!$D$10:$F$10,0))</f>
        <v>3.0600000000000002E-2</v>
      </c>
      <c r="F28" s="14">
        <f>INDEX(FamaFrench!$C$6:$F$244,MATCH(FFWork!$B28,FamaFrench!$B$6:$B$244,0),MATCH(FamaFrench!E$5,FFWork!$D$10:$G$10,0))</f>
        <v>-2.98E-2</v>
      </c>
      <c r="G28" s="14">
        <f>INDEX(FamaFrench!$C$6:$F$244,MATCH(FFWork!$B28,FamaFrench!$B$6:$B$244,0),MATCH(FamaFrench!F$5,FFWork!$D$10:$G$10,0))</f>
        <v>2.8999999999999998E-2</v>
      </c>
    </row>
    <row r="29" spans="1:18" x14ac:dyDescent="0.2">
      <c r="A29">
        <v>19</v>
      </c>
      <c r="B29" s="33">
        <f>IF(B28="","",IF(EOMONTH(B28,1)&lt;=EOMONTH(Front!$C$4,0),EOMONTH(B28,1),""))</f>
        <v>34911</v>
      </c>
      <c r="C29" s="14">
        <f>INDEX(MutualFunds!$C$6:$O$244,MATCH(FFWork!B29,MutualFunds!$B$6:$B$244,0),MATCH(Front!$C$2,MutualFunds!$C$4:$O$4,0))</f>
        <v>4.2061611374407414E-2</v>
      </c>
      <c r="D29" s="14">
        <f>INDEX(FamaFrench!$C$6:$F$244,MATCH(FFWork!$B29,FamaFrench!$B$6:$B$244,0),MATCH(FamaFrench!C$5,FFWork!$D$10:$F$10,0))</f>
        <v>3.7200000000000004E-2</v>
      </c>
      <c r="E29" s="14">
        <f>INDEX(FamaFrench!$C$6:$F$244,MATCH(FFWork!$B29,FamaFrench!$B$6:$B$244,0),MATCH(FamaFrench!D$5,FFWork!$D$10:$F$10,0))</f>
        <v>2.2099999999999998E-2</v>
      </c>
      <c r="F29" s="14">
        <f>INDEX(FamaFrench!$C$6:$F$244,MATCH(FFWork!$B29,FamaFrench!$B$6:$B$244,0),MATCH(FamaFrench!E$5,FFWork!$D$10:$G$10,0))</f>
        <v>-2.2099999999999998E-2</v>
      </c>
      <c r="G29" s="14">
        <f>INDEX(FamaFrench!$C$6:$F$244,MATCH(FFWork!$B29,FamaFrench!$B$6:$B$244,0),MATCH(FamaFrench!F$5,FFWork!$D$10:$G$10,0))</f>
        <v>2.5499999999999998E-2</v>
      </c>
    </row>
    <row r="30" spans="1:18" x14ac:dyDescent="0.2">
      <c r="A30">
        <v>20</v>
      </c>
      <c r="B30" s="33">
        <f>IF(B29="","",IF(EOMONTH(B29,1)&lt;=EOMONTH(Front!$C$4,0),EOMONTH(B29,1),""))</f>
        <v>34942</v>
      </c>
      <c r="C30" s="14">
        <f>INDEX(MutualFunds!$C$6:$O$244,MATCH(FFWork!B30,MutualFunds!$B$6:$B$244,0),MATCH(Front!$C$2,MutualFunds!$C$4:$O$4,0))</f>
        <v>1.4781125639568026E-2</v>
      </c>
      <c r="D30" s="14">
        <f>INDEX(FamaFrench!$C$6:$F$244,MATCH(FFWork!$B30,FamaFrench!$B$6:$B$244,0),MATCH(FamaFrench!C$5,FFWork!$D$10:$F$10,0))</f>
        <v>5.5000000000000005E-3</v>
      </c>
      <c r="E30" s="14">
        <f>INDEX(FamaFrench!$C$6:$F$244,MATCH(FFWork!$B30,FamaFrench!$B$6:$B$244,0),MATCH(FamaFrench!D$5,FFWork!$D$10:$F$10,0))</f>
        <v>1.84E-2</v>
      </c>
      <c r="F30" s="14">
        <f>INDEX(FamaFrench!$C$6:$F$244,MATCH(FFWork!$B30,FamaFrench!$B$6:$B$244,0),MATCH(FamaFrench!E$5,FFWork!$D$10:$G$10,0))</f>
        <v>1.9199999999999998E-2</v>
      </c>
      <c r="G30" s="14">
        <f>INDEX(FamaFrench!$C$6:$F$244,MATCH(FFWork!$B30,FamaFrench!$B$6:$B$244,0),MATCH(FamaFrench!F$5,FFWork!$D$10:$G$10,0))</f>
        <v>8.0000000000000004E-4</v>
      </c>
    </row>
    <row r="31" spans="1:18" x14ac:dyDescent="0.2">
      <c r="A31">
        <v>21</v>
      </c>
      <c r="B31" s="33">
        <f>IF(B30="","",IF(EOMONTH(B30,1)&lt;=EOMONTH(Front!$C$4,0),EOMONTH(B30,1),""))</f>
        <v>34972</v>
      </c>
      <c r="C31" s="14">
        <f>INDEX(MutualFunds!$C$6:$O$244,MATCH(FFWork!B31,MutualFunds!$B$6:$B$244,0),MATCH(Front!$C$2,MutualFunds!$C$4:$O$4,0))</f>
        <v>2.9691876750700341E-2</v>
      </c>
      <c r="D31" s="14">
        <f>INDEX(FamaFrench!$C$6:$F$244,MATCH(FFWork!$B31,FamaFrench!$B$6:$B$244,0),MATCH(FamaFrench!C$5,FFWork!$D$10:$F$10,0))</f>
        <v>3.3500000000000002E-2</v>
      </c>
      <c r="E31" s="14">
        <f>INDEX(FamaFrench!$C$6:$F$244,MATCH(FFWork!$B31,FamaFrench!$B$6:$B$244,0),MATCH(FamaFrench!D$5,FFWork!$D$10:$F$10,0))</f>
        <v>-2.07E-2</v>
      </c>
      <c r="F31" s="14">
        <f>INDEX(FamaFrench!$C$6:$F$244,MATCH(FFWork!$B31,FamaFrench!$B$6:$B$244,0),MATCH(FamaFrench!E$5,FFWork!$D$10:$G$10,0))</f>
        <v>-9.3999999999999986E-3</v>
      </c>
      <c r="G31" s="14">
        <f>INDEX(FamaFrench!$C$6:$F$244,MATCH(FFWork!$B31,FamaFrench!$B$6:$B$244,0),MATCH(FamaFrench!F$5,FFWork!$D$10:$G$10,0))</f>
        <v>2.7300000000000001E-2</v>
      </c>
    </row>
    <row r="32" spans="1:18" x14ac:dyDescent="0.2">
      <c r="A32">
        <v>22</v>
      </c>
      <c r="B32" s="33">
        <f>IF(B31="","",IF(EOMONTH(B31,1)&lt;=EOMONTH(Front!$C$4,0),EOMONTH(B31,1),""))</f>
        <v>35003</v>
      </c>
      <c r="C32" s="14">
        <f>INDEX(MutualFunds!$C$6:$O$244,MATCH(FFWork!B32,MutualFunds!$B$6:$B$244,0),MATCH(Front!$C$2,MutualFunds!$C$4:$O$4,0))</f>
        <v>-3.2644178454842292E-2</v>
      </c>
      <c r="D32" s="14">
        <f>INDEX(FamaFrench!$C$6:$F$244,MATCH(FFWork!$B32,FamaFrench!$B$6:$B$244,0),MATCH(FamaFrench!C$5,FFWork!$D$10:$F$10,0))</f>
        <v>-1.52E-2</v>
      </c>
      <c r="E32" s="14">
        <f>INDEX(FamaFrench!$C$6:$F$244,MATCH(FFWork!$B32,FamaFrench!$B$6:$B$244,0),MATCH(FamaFrench!D$5,FFWork!$D$10:$F$10,0))</f>
        <v>-3.9399999999999998E-2</v>
      </c>
      <c r="F32" s="14">
        <f>INDEX(FamaFrench!$C$6:$F$244,MATCH(FFWork!$B32,FamaFrench!$B$6:$B$244,0),MATCH(FamaFrench!E$5,FFWork!$D$10:$G$10,0))</f>
        <v>-1.1000000000000001E-3</v>
      </c>
      <c r="G32" s="14">
        <f>INDEX(FamaFrench!$C$6:$F$244,MATCH(FFWork!$B32,FamaFrench!$B$6:$B$244,0),MATCH(FamaFrench!F$5,FFWork!$D$10:$G$10,0))</f>
        <v>4.1399999999999999E-2</v>
      </c>
    </row>
    <row r="33" spans="1:7" x14ac:dyDescent="0.2">
      <c r="A33">
        <v>23</v>
      </c>
      <c r="B33" s="33">
        <f>IF(B32="","",IF(EOMONTH(B32,1)&lt;=EOMONTH(Front!$C$4,0),EOMONTH(B32,1),""))</f>
        <v>35033</v>
      </c>
      <c r="C33" s="14">
        <f>INDEX(MutualFunds!$C$6:$O$244,MATCH(FFWork!B33,MutualFunds!$B$6:$B$244,0),MATCH(Front!$C$2,MutualFunds!$C$4:$O$4,0))</f>
        <v>6.0742407199100013E-2</v>
      </c>
      <c r="D33" s="14">
        <f>INDEX(FamaFrench!$C$6:$F$244,MATCH(FFWork!$B33,FamaFrench!$B$6:$B$244,0),MATCH(FamaFrench!C$5,FFWork!$D$10:$F$10,0))</f>
        <v>3.95E-2</v>
      </c>
      <c r="E33" s="14">
        <f>INDEX(FamaFrench!$C$6:$F$244,MATCH(FFWork!$B33,FamaFrench!$B$6:$B$244,0),MATCH(FamaFrench!D$5,FFWork!$D$10:$F$10,0))</f>
        <v>-8.199999999999999E-3</v>
      </c>
      <c r="F33" s="14">
        <f>INDEX(FamaFrench!$C$6:$F$244,MATCH(FFWork!$B33,FamaFrench!$B$6:$B$244,0),MATCH(FamaFrench!E$5,FFWork!$D$10:$G$10,0))</f>
        <v>3.3E-3</v>
      </c>
      <c r="G33" s="14">
        <f>INDEX(FamaFrench!$C$6:$F$244,MATCH(FFWork!$B33,FamaFrench!$B$6:$B$244,0),MATCH(FamaFrench!F$5,FFWork!$D$10:$G$10,0))</f>
        <v>-6.0999999999999995E-3</v>
      </c>
    </row>
    <row r="34" spans="1:7" x14ac:dyDescent="0.2">
      <c r="A34">
        <v>24</v>
      </c>
      <c r="B34" s="33">
        <f>IF(B33="","",IF(EOMONTH(B33,1)&lt;=EOMONTH(Front!$C$4,0),EOMONTH(B33,1),""))</f>
        <v>35064</v>
      </c>
      <c r="C34" s="14">
        <f>INDEX(MutualFunds!$C$6:$O$244,MATCH(FFWork!B34,MutualFunds!$B$6:$B$244,0),MATCH(Front!$C$2,MutualFunds!$C$4:$O$4,0))</f>
        <v>-2.2269353128313796E-2</v>
      </c>
      <c r="D34" s="14">
        <f>INDEX(FamaFrench!$C$6:$F$244,MATCH(FFWork!$B34,FamaFrench!$B$6:$B$244,0),MATCH(FamaFrench!C$5,FFWork!$D$10:$F$10,0))</f>
        <v>1.03E-2</v>
      </c>
      <c r="E34" s="14">
        <f>INDEX(FamaFrench!$C$6:$F$244,MATCH(FFWork!$B34,FamaFrench!$B$6:$B$244,0),MATCH(FamaFrench!D$5,FFWork!$D$10:$F$10,0))</f>
        <v>3.7000000000000002E-3</v>
      </c>
      <c r="F34" s="14">
        <f>INDEX(FamaFrench!$C$6:$F$244,MATCH(FFWork!$B34,FamaFrench!$B$6:$B$244,0),MATCH(FamaFrench!E$5,FFWork!$D$10:$G$10,0))</f>
        <v>1.41E-2</v>
      </c>
      <c r="G34" s="14">
        <f>INDEX(FamaFrench!$C$6:$F$244,MATCH(FFWork!$B34,FamaFrench!$B$6:$B$244,0),MATCH(FamaFrench!F$5,FFWork!$D$10:$G$10,0))</f>
        <v>2.5600000000000001E-2</v>
      </c>
    </row>
    <row r="35" spans="1:7" x14ac:dyDescent="0.2">
      <c r="A35">
        <v>25</v>
      </c>
      <c r="B35" s="33">
        <f>IF(B34="","",IF(EOMONTH(B34,1)&lt;=EOMONTH(Front!$C$4,0),EOMONTH(B34,1),""))</f>
        <v>35095</v>
      </c>
      <c r="C35" s="14">
        <f>INDEX(MutualFunds!$C$6:$O$244,MATCH(FFWork!B35,MutualFunds!$B$6:$B$244,0),MATCH(Front!$C$2,MutualFunds!$C$4:$O$4,0))</f>
        <v>1.9522776572668082E-2</v>
      </c>
      <c r="D35" s="14">
        <f>INDEX(FamaFrench!$C$6:$F$244,MATCH(FFWork!$B35,FamaFrench!$B$6:$B$244,0),MATCH(FamaFrench!C$5,FFWork!$D$10:$F$10,0))</f>
        <v>2.2599999999999999E-2</v>
      </c>
      <c r="E35" s="14">
        <f>INDEX(FamaFrench!$C$6:$F$244,MATCH(FFWork!$B35,FamaFrench!$B$6:$B$244,0),MATCH(FamaFrench!D$5,FFWork!$D$10:$F$10,0))</f>
        <v>-2.4799999999999999E-2</v>
      </c>
      <c r="F35" s="14">
        <f>INDEX(FamaFrench!$C$6:$F$244,MATCH(FFWork!$B35,FamaFrench!$B$6:$B$244,0),MATCH(FamaFrench!E$5,FFWork!$D$10:$G$10,0))</f>
        <v>4.0000000000000001E-3</v>
      </c>
      <c r="G35" s="14">
        <f>INDEX(FamaFrench!$C$6:$F$244,MATCH(FFWork!$B35,FamaFrench!$B$6:$B$244,0),MATCH(FamaFrench!F$5,FFWork!$D$10:$G$10,0))</f>
        <v>5.6000000000000008E-3</v>
      </c>
    </row>
    <row r="36" spans="1:7" x14ac:dyDescent="0.2">
      <c r="A36">
        <v>26</v>
      </c>
      <c r="B36" s="33">
        <f>IF(B35="","",IF(EOMONTH(B35,1)&lt;=EOMONTH(Front!$C$4,0),EOMONTH(B35,1),""))</f>
        <v>35124</v>
      </c>
      <c r="C36" s="14">
        <f>INDEX(MutualFunds!$C$6:$O$244,MATCH(FFWork!B36,MutualFunds!$B$6:$B$244,0),MATCH(Front!$C$2,MutualFunds!$C$4:$O$4,0))</f>
        <v>1.4361702127659552E-2</v>
      </c>
      <c r="D36" s="14">
        <f>INDEX(FamaFrench!$C$6:$F$244,MATCH(FFWork!$B36,FamaFrench!$B$6:$B$244,0),MATCH(FamaFrench!C$5,FFWork!$D$10:$F$10,0))</f>
        <v>1.3300000000000001E-2</v>
      </c>
      <c r="E36" s="14">
        <f>INDEX(FamaFrench!$C$6:$F$244,MATCH(FFWork!$B36,FamaFrench!$B$6:$B$244,0),MATCH(FamaFrench!D$5,FFWork!$D$10:$F$10,0))</f>
        <v>2.0499999999999997E-2</v>
      </c>
      <c r="F36" s="14">
        <f>INDEX(FamaFrench!$C$6:$F$244,MATCH(FFWork!$B36,FamaFrench!$B$6:$B$244,0),MATCH(FamaFrench!E$5,FFWork!$D$10:$G$10,0))</f>
        <v>-2.3300000000000001E-2</v>
      </c>
      <c r="G36" s="14">
        <f>INDEX(FamaFrench!$C$6:$F$244,MATCH(FFWork!$B36,FamaFrench!$B$6:$B$244,0),MATCH(FamaFrench!F$5,FFWork!$D$10:$G$10,0))</f>
        <v>5.7999999999999996E-3</v>
      </c>
    </row>
    <row r="37" spans="1:7" x14ac:dyDescent="0.2">
      <c r="A37">
        <v>27</v>
      </c>
      <c r="B37" s="33">
        <f>IF(B36="","",IF(EOMONTH(B36,1)&lt;=EOMONTH(Front!$C$4,0),EOMONTH(B36,1),""))</f>
        <v>35155</v>
      </c>
      <c r="C37" s="14">
        <f>INDEX(MutualFunds!$C$6:$O$244,MATCH(FFWork!B37,MutualFunds!$B$6:$B$244,0),MATCH(Front!$C$2,MutualFunds!$C$4:$O$4,0))</f>
        <v>2.7267960146827454E-2</v>
      </c>
      <c r="D37" s="14">
        <f>INDEX(FamaFrench!$C$6:$F$244,MATCH(FFWork!$B37,FamaFrench!$B$6:$B$244,0),MATCH(FamaFrench!C$5,FFWork!$D$10:$F$10,0))</f>
        <v>7.3000000000000001E-3</v>
      </c>
      <c r="E37" s="14">
        <f>INDEX(FamaFrench!$C$6:$F$244,MATCH(FFWork!$B37,FamaFrench!$B$6:$B$244,0),MATCH(FamaFrench!D$5,FFWork!$D$10:$F$10,0))</f>
        <v>1.3000000000000001E-2</v>
      </c>
      <c r="F37" s="14">
        <f>INDEX(FamaFrench!$C$6:$F$244,MATCH(FFWork!$B37,FamaFrench!$B$6:$B$244,0),MATCH(FamaFrench!E$5,FFWork!$D$10:$G$10,0))</f>
        <v>1.2800000000000001E-2</v>
      </c>
      <c r="G37" s="14">
        <f>INDEX(FamaFrench!$C$6:$F$244,MATCH(FFWork!$B37,FamaFrench!$B$6:$B$244,0),MATCH(FamaFrench!F$5,FFWork!$D$10:$G$10,0))</f>
        <v>-1.89E-2</v>
      </c>
    </row>
    <row r="38" spans="1:7" x14ac:dyDescent="0.2">
      <c r="A38">
        <v>28</v>
      </c>
      <c r="B38" s="33">
        <f>IF(B37="","",IF(EOMONTH(B37,1)&lt;=EOMONTH(Front!$C$4,0),EOMONTH(B37,1),""))</f>
        <v>35185</v>
      </c>
      <c r="C38" s="14">
        <f>INDEX(MutualFunds!$C$6:$O$244,MATCH(FFWork!B38,MutualFunds!$B$6:$B$244,0),MATCH(Front!$C$2,MutualFunds!$C$4:$O$4,0))</f>
        <v>2.7565084226646386E-2</v>
      </c>
      <c r="D38" s="14">
        <f>INDEX(FamaFrench!$C$6:$F$244,MATCH(FFWork!$B38,FamaFrench!$B$6:$B$244,0),MATCH(FamaFrench!C$5,FFWork!$D$10:$F$10,0))</f>
        <v>2.06E-2</v>
      </c>
      <c r="E38" s="14">
        <f>INDEX(FamaFrench!$C$6:$F$244,MATCH(FFWork!$B38,FamaFrench!$B$6:$B$244,0),MATCH(FamaFrench!D$5,FFWork!$D$10:$F$10,0))</f>
        <v>4.8899999999999999E-2</v>
      </c>
      <c r="F38" s="14">
        <f>INDEX(FamaFrench!$C$6:$F$244,MATCH(FFWork!$B38,FamaFrench!$B$6:$B$244,0),MATCH(FamaFrench!E$5,FFWork!$D$10:$G$10,0))</f>
        <v>-4.0500000000000001E-2</v>
      </c>
      <c r="G38" s="14">
        <f>INDEX(FamaFrench!$C$6:$F$244,MATCH(FFWork!$B38,FamaFrench!$B$6:$B$244,0),MATCH(FamaFrench!F$5,FFWork!$D$10:$G$10,0))</f>
        <v>-9.1999999999999998E-3</v>
      </c>
    </row>
    <row r="39" spans="1:7" x14ac:dyDescent="0.2">
      <c r="A39">
        <v>29</v>
      </c>
      <c r="B39" s="33">
        <f>IF(B38="","",IF(EOMONTH(B38,1)&lt;=EOMONTH(Front!$C$4,0),EOMONTH(B38,1),""))</f>
        <v>35216</v>
      </c>
      <c r="C39" s="14">
        <f>INDEX(MutualFunds!$C$6:$O$244,MATCH(FFWork!B39,MutualFunds!$B$6:$B$244,0),MATCH(Front!$C$2,MutualFunds!$C$4:$O$4,0))</f>
        <v>-4.9677098857434489E-4</v>
      </c>
      <c r="D39" s="14">
        <f>INDEX(FamaFrench!$C$6:$F$244,MATCH(FFWork!$B39,FamaFrench!$B$6:$B$244,0),MATCH(FamaFrench!C$5,FFWork!$D$10:$F$10,0))</f>
        <v>2.3599999999999999E-2</v>
      </c>
      <c r="E39" s="14">
        <f>INDEX(FamaFrench!$C$6:$F$244,MATCH(FFWork!$B39,FamaFrench!$B$6:$B$244,0),MATCH(FamaFrench!D$5,FFWork!$D$10:$F$10,0))</f>
        <v>3.1600000000000003E-2</v>
      </c>
      <c r="F39" s="14">
        <f>INDEX(FamaFrench!$C$6:$F$244,MATCH(FFWork!$B39,FamaFrench!$B$6:$B$244,0),MATCH(FamaFrench!E$5,FFWork!$D$10:$G$10,0))</f>
        <v>-1.3999999999999999E-2</v>
      </c>
      <c r="G39" s="14">
        <f>INDEX(FamaFrench!$C$6:$F$244,MATCH(FFWork!$B39,FamaFrench!$B$6:$B$244,0),MATCH(FamaFrench!F$5,FFWork!$D$10:$G$10,0))</f>
        <v>1.6E-2</v>
      </c>
    </row>
    <row r="40" spans="1:7" x14ac:dyDescent="0.2">
      <c r="A40">
        <v>30</v>
      </c>
      <c r="B40" s="33">
        <f>IF(B39="","",IF(EOMONTH(B39,1)&lt;=EOMONTH(Front!$C$4,0),EOMONTH(B39,1),""))</f>
        <v>35246</v>
      </c>
      <c r="C40" s="14">
        <f>INDEX(MutualFunds!$C$6:$O$244,MATCH(FFWork!B40,MutualFunds!$B$6:$B$244,0),MATCH(Front!$C$2,MutualFunds!$C$4:$O$4,0))</f>
        <v>-1.043737574552688E-2</v>
      </c>
      <c r="D40" s="14">
        <f>INDEX(FamaFrench!$C$6:$F$244,MATCH(FFWork!$B40,FamaFrench!$B$6:$B$244,0),MATCH(FamaFrench!C$5,FFWork!$D$10:$F$10,0))</f>
        <v>-1.1399999999999999E-2</v>
      </c>
      <c r="E40" s="14">
        <f>INDEX(FamaFrench!$C$6:$F$244,MATCH(FFWork!$B40,FamaFrench!$B$6:$B$244,0),MATCH(FamaFrench!D$5,FFWork!$D$10:$F$10,0))</f>
        <v>-3.6400000000000002E-2</v>
      </c>
      <c r="F40" s="14">
        <f>INDEX(FamaFrench!$C$6:$F$244,MATCH(FFWork!$B40,FamaFrench!$B$6:$B$244,0),MATCH(FamaFrench!E$5,FFWork!$D$10:$G$10,0))</f>
        <v>1.9199999999999998E-2</v>
      </c>
      <c r="G40" s="14">
        <f>INDEX(FamaFrench!$C$6:$F$244,MATCH(FFWork!$B40,FamaFrench!$B$6:$B$244,0),MATCH(FamaFrench!F$5,FFWork!$D$10:$G$10,0))</f>
        <v>9.5999999999999992E-3</v>
      </c>
    </row>
    <row r="41" spans="1:7" x14ac:dyDescent="0.2">
      <c r="A41">
        <v>31</v>
      </c>
      <c r="B41" s="33">
        <f>IF(B40="","",IF(EOMONTH(B40,1)&lt;=EOMONTH(Front!$C$4,0),EOMONTH(B40,1),""))</f>
        <v>35277</v>
      </c>
      <c r="C41" s="14">
        <f>INDEX(MutualFunds!$C$6:$O$244,MATCH(FFWork!B41,MutualFunds!$B$6:$B$244,0),MATCH(Front!$C$2,MutualFunds!$C$4:$O$4,0))</f>
        <v>-5.0728277247614161E-2</v>
      </c>
      <c r="D41" s="14">
        <f>INDEX(FamaFrench!$C$6:$F$244,MATCH(FFWork!$B41,FamaFrench!$B$6:$B$244,0),MATCH(FamaFrench!C$5,FFWork!$D$10:$F$10,0))</f>
        <v>-5.9699999999999996E-2</v>
      </c>
      <c r="E41" s="14">
        <f>INDEX(FamaFrench!$C$6:$F$244,MATCH(FFWork!$B41,FamaFrench!$B$6:$B$244,0),MATCH(FamaFrench!D$5,FFWork!$D$10:$F$10,0))</f>
        <v>-3.5900000000000001E-2</v>
      </c>
      <c r="F41" s="14">
        <f>INDEX(FamaFrench!$C$6:$F$244,MATCH(FFWork!$B41,FamaFrench!$B$6:$B$244,0),MATCH(FamaFrench!E$5,FFWork!$D$10:$G$10,0))</f>
        <v>4.3799999999999999E-2</v>
      </c>
      <c r="G41" s="14">
        <f>INDEX(FamaFrench!$C$6:$F$244,MATCH(FFWork!$B41,FamaFrench!$B$6:$B$244,0),MATCH(FamaFrench!F$5,FFWork!$D$10:$G$10,0))</f>
        <v>-1.4000000000000002E-3</v>
      </c>
    </row>
    <row r="42" spans="1:7" x14ac:dyDescent="0.2">
      <c r="A42">
        <v>32</v>
      </c>
      <c r="B42" s="33">
        <f>IF(B41="","",IF(EOMONTH(B41,1)&lt;=EOMONTH(Front!$C$4,0),EOMONTH(B41,1),""))</f>
        <v>35308</v>
      </c>
      <c r="C42" s="14">
        <f>INDEX(MutualFunds!$C$6:$O$244,MATCH(FFWork!B42,MutualFunds!$B$6:$B$244,0),MATCH(Front!$C$2,MutualFunds!$C$4:$O$4,0))</f>
        <v>3.8624338624338644E-2</v>
      </c>
      <c r="D42" s="14">
        <f>INDEX(FamaFrench!$C$6:$F$244,MATCH(FFWork!$B42,FamaFrench!$B$6:$B$244,0),MATCH(FamaFrench!C$5,FFWork!$D$10:$F$10,0))</f>
        <v>2.76E-2</v>
      </c>
      <c r="E42" s="14">
        <f>INDEX(FamaFrench!$C$6:$F$244,MATCH(FFWork!$B42,FamaFrench!$B$6:$B$244,0),MATCH(FamaFrench!D$5,FFWork!$D$10:$F$10,0))</f>
        <v>2.3E-2</v>
      </c>
      <c r="F42" s="14">
        <f>INDEX(FamaFrench!$C$6:$F$244,MATCH(FFWork!$B42,FamaFrench!$B$6:$B$244,0),MATCH(FamaFrench!E$5,FFWork!$D$10:$G$10,0))</f>
        <v>-5.6999999999999993E-3</v>
      </c>
      <c r="G42" s="14">
        <f>INDEX(FamaFrench!$C$6:$F$244,MATCH(FFWork!$B42,FamaFrench!$B$6:$B$244,0),MATCH(FamaFrench!F$5,FFWork!$D$10:$G$10,0))</f>
        <v>-1.1999999999999999E-3</v>
      </c>
    </row>
    <row r="43" spans="1:7" x14ac:dyDescent="0.2">
      <c r="A43">
        <v>33</v>
      </c>
      <c r="B43" s="33">
        <f>IF(B42="","",IF(EOMONTH(B42,1)&lt;=EOMONTH(Front!$C$4,0),EOMONTH(B42,1),""))</f>
        <v>35338</v>
      </c>
      <c r="C43" s="14">
        <f>INDEX(MutualFunds!$C$6:$O$244,MATCH(FFWork!B43,MutualFunds!$B$6:$B$244,0),MATCH(Front!$C$2,MutualFunds!$C$4:$O$4,0))</f>
        <v>4.2791645440652053E-2</v>
      </c>
      <c r="D43" s="14">
        <f>INDEX(FamaFrench!$C$6:$F$244,MATCH(FFWork!$B43,FamaFrench!$B$6:$B$244,0),MATCH(FamaFrench!C$5,FFWork!$D$10:$F$10,0))</f>
        <v>5.0099999999999999E-2</v>
      </c>
      <c r="E43" s="14">
        <f>INDEX(FamaFrench!$C$6:$F$244,MATCH(FFWork!$B43,FamaFrench!$B$6:$B$244,0),MATCH(FamaFrench!D$5,FFWork!$D$10:$F$10,0))</f>
        <v>-8.199999999999999E-3</v>
      </c>
      <c r="F43" s="14">
        <f>INDEX(FamaFrench!$C$6:$F$244,MATCH(FFWork!$B43,FamaFrench!$B$6:$B$244,0),MATCH(FamaFrench!E$5,FFWork!$D$10:$G$10,0))</f>
        <v>-3.7599999999999995E-2</v>
      </c>
      <c r="G43" s="14">
        <f>INDEX(FamaFrench!$C$6:$F$244,MATCH(FFWork!$B43,FamaFrench!$B$6:$B$244,0),MATCH(FamaFrench!F$5,FFWork!$D$10:$G$10,0))</f>
        <v>2.69E-2</v>
      </c>
    </row>
    <row r="44" spans="1:7" x14ac:dyDescent="0.2">
      <c r="A44">
        <v>34</v>
      </c>
      <c r="B44" s="33">
        <f>IF(B43="","",IF(EOMONTH(B43,1)&lt;=EOMONTH(Front!$C$4,0),EOMONTH(B43,1),""))</f>
        <v>35369</v>
      </c>
      <c r="C44" s="14">
        <f>INDEX(MutualFunds!$C$6:$O$244,MATCH(FFWork!B44,MutualFunds!$B$6:$B$244,0),MATCH(Front!$C$2,MutualFunds!$C$4:$O$4,0))</f>
        <v>1.563263312164144E-2</v>
      </c>
      <c r="D44" s="14">
        <f>INDEX(FamaFrench!$C$6:$F$244,MATCH(FFWork!$B44,FamaFrench!$B$6:$B$244,0),MATCH(FamaFrench!C$5,FFWork!$D$10:$F$10,0))</f>
        <v>8.6E-3</v>
      </c>
      <c r="E44" s="14">
        <f>INDEX(FamaFrench!$C$6:$F$244,MATCH(FFWork!$B44,FamaFrench!$B$6:$B$244,0),MATCH(FamaFrench!D$5,FFWork!$D$10:$F$10,0))</f>
        <v>-4.1100000000000005E-2</v>
      </c>
      <c r="F44" s="14">
        <f>INDEX(FamaFrench!$C$6:$F$244,MATCH(FFWork!$B44,FamaFrench!$B$6:$B$244,0),MATCH(FamaFrench!E$5,FFWork!$D$10:$G$10,0))</f>
        <v>4.82E-2</v>
      </c>
      <c r="G44" s="14">
        <f>INDEX(FamaFrench!$C$6:$F$244,MATCH(FFWork!$B44,FamaFrench!$B$6:$B$244,0),MATCH(FamaFrench!F$5,FFWork!$D$10:$G$10,0))</f>
        <v>3.9E-2</v>
      </c>
    </row>
    <row r="45" spans="1:7" x14ac:dyDescent="0.2">
      <c r="A45">
        <v>35</v>
      </c>
      <c r="B45" s="33">
        <f>IF(B44="","",IF(EOMONTH(B44,1)&lt;=EOMONTH(Front!$C$4,0),EOMONTH(B44,1),""))</f>
        <v>35399</v>
      </c>
      <c r="C45" s="14">
        <f>INDEX(MutualFunds!$C$6:$O$244,MATCH(FFWork!B45,MutualFunds!$B$6:$B$244,0),MATCH(Front!$C$2,MutualFunds!$C$4:$O$4,0))</f>
        <v>5.3872053872053745E-2</v>
      </c>
      <c r="D45" s="14">
        <f>INDEX(FamaFrench!$C$6:$F$244,MATCH(FFWork!$B45,FamaFrench!$B$6:$B$244,0),MATCH(FamaFrench!C$5,FFWork!$D$10:$F$10,0))</f>
        <v>6.25E-2</v>
      </c>
      <c r="E45" s="14">
        <f>INDEX(FamaFrench!$C$6:$F$244,MATCH(FFWork!$B45,FamaFrench!$B$6:$B$244,0),MATCH(FamaFrench!D$5,FFWork!$D$10:$F$10,0))</f>
        <v>-3.6000000000000004E-2</v>
      </c>
      <c r="F45" s="14">
        <f>INDEX(FamaFrench!$C$6:$F$244,MATCH(FFWork!$B45,FamaFrench!$B$6:$B$244,0),MATCH(FamaFrench!E$5,FFWork!$D$10:$G$10,0))</f>
        <v>1.6000000000000001E-3</v>
      </c>
      <c r="G45" s="14">
        <f>INDEX(FamaFrench!$C$6:$F$244,MATCH(FFWork!$B45,FamaFrench!$B$6:$B$244,0),MATCH(FamaFrench!F$5,FFWork!$D$10:$G$10,0))</f>
        <v>-2.23E-2</v>
      </c>
    </row>
    <row r="46" spans="1:7" x14ac:dyDescent="0.2">
      <c r="A46">
        <v>36</v>
      </c>
      <c r="B46" s="33">
        <f>IF(B45="","",IF(EOMONTH(B45,1)&lt;=EOMONTH(Front!$C$4,0),EOMONTH(B45,1),""))</f>
        <v>35430</v>
      </c>
      <c r="C46" s="14">
        <f>INDEX(MutualFunds!$C$6:$O$244,MATCH(FFWork!B46,MutualFunds!$B$6:$B$244,0),MATCH(Front!$C$2,MutualFunds!$C$4:$O$4,0))</f>
        <v>-4.1989958922866187E-2</v>
      </c>
      <c r="D46" s="14">
        <f>INDEX(FamaFrench!$C$6:$F$244,MATCH(FFWork!$B46,FamaFrench!$B$6:$B$244,0),MATCH(FamaFrench!C$5,FFWork!$D$10:$F$10,0))</f>
        <v>-1.7000000000000001E-2</v>
      </c>
      <c r="E46" s="14">
        <f>INDEX(FamaFrench!$C$6:$F$244,MATCH(FFWork!$B46,FamaFrench!$B$6:$B$244,0),MATCH(FamaFrench!D$5,FFWork!$D$10:$F$10,0))</f>
        <v>3.0800000000000001E-2</v>
      </c>
      <c r="F46" s="14">
        <f>INDEX(FamaFrench!$C$6:$F$244,MATCH(FFWork!$B46,FamaFrench!$B$6:$B$244,0),MATCH(FamaFrench!E$5,FFWork!$D$10:$G$10,0))</f>
        <v>9.8999999999999991E-3</v>
      </c>
      <c r="G46" s="14">
        <f>INDEX(FamaFrench!$C$6:$F$244,MATCH(FFWork!$B46,FamaFrench!$B$6:$B$244,0),MATCH(FamaFrench!F$5,FFWork!$D$10:$G$10,0))</f>
        <v>5.8999999999999999E-3</v>
      </c>
    </row>
    <row r="47" spans="1:7" x14ac:dyDescent="0.2">
      <c r="A47">
        <v>37</v>
      </c>
      <c r="B47" s="33">
        <f>IF(B46="","",IF(EOMONTH(B46,1)&lt;=EOMONTH(Front!$C$4,0),EOMONTH(B46,1),""))</f>
        <v>35461</v>
      </c>
      <c r="C47" s="14">
        <f>INDEX(MutualFunds!$C$6:$O$244,MATCH(FFWork!B47,MutualFunds!$B$6:$B$244,0),MATCH(Front!$C$2,MutualFunds!$C$4:$O$4,0))</f>
        <v>2.6679371129109036E-2</v>
      </c>
      <c r="D47" s="14">
        <f>INDEX(FamaFrench!$C$6:$F$244,MATCH(FFWork!$B47,FamaFrench!$B$6:$B$244,0),MATCH(FamaFrench!C$5,FFWork!$D$10:$F$10,0))</f>
        <v>4.99E-2</v>
      </c>
      <c r="E47" s="14">
        <f>INDEX(FamaFrench!$C$6:$F$244,MATCH(FFWork!$B47,FamaFrench!$B$6:$B$244,0),MATCH(FamaFrench!D$5,FFWork!$D$10:$F$10,0))</f>
        <v>-1.52E-2</v>
      </c>
      <c r="F47" s="14">
        <f>INDEX(FamaFrench!$C$6:$F$244,MATCH(FFWork!$B47,FamaFrench!$B$6:$B$244,0),MATCH(FamaFrench!E$5,FFWork!$D$10:$G$10,0))</f>
        <v>-2.3300000000000001E-2</v>
      </c>
      <c r="G47" s="14">
        <f>INDEX(FamaFrench!$C$6:$F$244,MATCH(FFWork!$B47,FamaFrench!$B$6:$B$244,0),MATCH(FamaFrench!F$5,FFWork!$D$10:$G$10,0))</f>
        <v>1.9400000000000001E-2</v>
      </c>
    </row>
    <row r="48" spans="1:7" x14ac:dyDescent="0.2">
      <c r="A48">
        <v>38</v>
      </c>
      <c r="B48" s="33">
        <f>IF(B47="","",IF(EOMONTH(B47,1)&lt;=EOMONTH(Front!$C$4,0),EOMONTH(B47,1),""))</f>
        <v>35489</v>
      </c>
      <c r="C48" s="14">
        <f>INDEX(MutualFunds!$C$6:$O$244,MATCH(FFWork!B48,MutualFunds!$B$6:$B$244,0),MATCH(Front!$C$2,MutualFunds!$C$4:$O$4,0))</f>
        <v>1.7633410672853782E-2</v>
      </c>
      <c r="D48" s="14">
        <f>INDEX(FamaFrench!$C$6:$F$244,MATCH(FFWork!$B48,FamaFrench!$B$6:$B$244,0),MATCH(FamaFrench!C$5,FFWork!$D$10:$F$10,0))</f>
        <v>-4.8999999999999998E-3</v>
      </c>
      <c r="E48" s="14">
        <f>INDEX(FamaFrench!$C$6:$F$244,MATCH(FFWork!$B48,FamaFrench!$B$6:$B$244,0),MATCH(FamaFrench!D$5,FFWork!$D$10:$F$10,0))</f>
        <v>-2.6099999999999998E-2</v>
      </c>
      <c r="F48" s="14">
        <f>INDEX(FamaFrench!$C$6:$F$244,MATCH(FFWork!$B48,FamaFrench!$B$6:$B$244,0),MATCH(FamaFrench!E$5,FFWork!$D$10:$G$10,0))</f>
        <v>4.6900000000000004E-2</v>
      </c>
      <c r="G48" s="14">
        <f>INDEX(FamaFrench!$C$6:$F$244,MATCH(FFWork!$B48,FamaFrench!$B$6:$B$244,0),MATCH(FamaFrench!F$5,FFWork!$D$10:$G$10,0))</f>
        <v>-2.0400000000000001E-2</v>
      </c>
    </row>
    <row r="49" spans="1:7" x14ac:dyDescent="0.2">
      <c r="A49">
        <v>39</v>
      </c>
      <c r="B49" s="33">
        <f>IF(B48="","",IF(EOMONTH(B48,1)&lt;=EOMONTH(Front!$C$4,0),EOMONTH(B48,1),""))</f>
        <v>35520</v>
      </c>
      <c r="C49" s="14">
        <f>INDEX(MutualFunds!$C$6:$O$244,MATCH(FFWork!B49,MutualFunds!$B$6:$B$244,0),MATCH(Front!$C$2,MutualFunds!$C$4:$O$4,0))</f>
        <v>-1.3679890560875384E-2</v>
      </c>
      <c r="D49" s="14">
        <f>INDEX(FamaFrench!$C$6:$F$244,MATCH(FFWork!$B49,FamaFrench!$B$6:$B$244,0),MATCH(FamaFrench!C$5,FFWork!$D$10:$F$10,0))</f>
        <v>-5.0300000000000004E-2</v>
      </c>
      <c r="E49" s="14">
        <f>INDEX(FamaFrench!$C$6:$F$244,MATCH(FFWork!$B49,FamaFrench!$B$6:$B$244,0),MATCH(FamaFrench!D$5,FFWork!$D$10:$F$10,0))</f>
        <v>-3.2000000000000002E-3</v>
      </c>
      <c r="F49" s="14">
        <f>INDEX(FamaFrench!$C$6:$F$244,MATCH(FFWork!$B49,FamaFrench!$B$6:$B$244,0),MATCH(FamaFrench!E$5,FFWork!$D$10:$G$10,0))</f>
        <v>3.8599999999999995E-2</v>
      </c>
      <c r="G49" s="14">
        <f>INDEX(FamaFrench!$C$6:$F$244,MATCH(FFWork!$B49,FamaFrench!$B$6:$B$244,0),MATCH(FamaFrench!F$5,FFWork!$D$10:$G$10,0))</f>
        <v>9.7999999999999997E-3</v>
      </c>
    </row>
    <row r="50" spans="1:7" x14ac:dyDescent="0.2">
      <c r="A50">
        <v>40</v>
      </c>
      <c r="B50" s="33">
        <f>IF(B49="","",IF(EOMONTH(B49,1)&lt;=EOMONTH(Front!$C$4,0),EOMONTH(B49,1),""))</f>
        <v>35550</v>
      </c>
      <c r="C50" s="14">
        <f>INDEX(MutualFunds!$C$6:$O$244,MATCH(FFWork!B50,MutualFunds!$B$6:$B$244,0),MATCH(Front!$C$2,MutualFunds!$C$4:$O$4,0))</f>
        <v>3.698566805362908E-2</v>
      </c>
      <c r="D50" s="14">
        <f>INDEX(FamaFrench!$C$6:$F$244,MATCH(FFWork!$B50,FamaFrench!$B$6:$B$244,0),MATCH(FamaFrench!C$5,FFWork!$D$10:$F$10,0))</f>
        <v>4.0399999999999998E-2</v>
      </c>
      <c r="E50" s="14">
        <f>INDEX(FamaFrench!$C$6:$F$244,MATCH(FFWork!$B50,FamaFrench!$B$6:$B$244,0),MATCH(FamaFrench!D$5,FFWork!$D$10:$F$10,0))</f>
        <v>-5.1900000000000002E-2</v>
      </c>
      <c r="F50" s="14">
        <f>INDEX(FamaFrench!$C$6:$F$244,MATCH(FFWork!$B50,FamaFrench!$B$6:$B$244,0),MATCH(FamaFrench!E$5,FFWork!$D$10:$G$10,0))</f>
        <v>-1.0200000000000001E-2</v>
      </c>
      <c r="G50" s="14">
        <f>INDEX(FamaFrench!$C$6:$F$244,MATCH(FFWork!$B50,FamaFrench!$B$6:$B$244,0),MATCH(FamaFrench!F$5,FFWork!$D$10:$G$10,0))</f>
        <v>4.8899999999999999E-2</v>
      </c>
    </row>
    <row r="51" spans="1:7" x14ac:dyDescent="0.2">
      <c r="A51">
        <v>41</v>
      </c>
      <c r="B51" s="33">
        <f>IF(B50="","",IF(EOMONTH(B50,1)&lt;=EOMONTH(Front!$C$4,0),EOMONTH(B50,1),""))</f>
        <v>35581</v>
      </c>
      <c r="C51" s="14">
        <f>INDEX(MutualFunds!$C$6:$O$244,MATCH(FFWork!B51,MutualFunds!$B$6:$B$244,0),MATCH(Front!$C$2,MutualFunds!$C$4:$O$4,0))</f>
        <v>5.6620597414177583E-2</v>
      </c>
      <c r="D51" s="14">
        <f>INDEX(FamaFrench!$C$6:$F$244,MATCH(FFWork!$B51,FamaFrench!$B$6:$B$244,0),MATCH(FamaFrench!C$5,FFWork!$D$10:$F$10,0))</f>
        <v>6.7400000000000002E-2</v>
      </c>
      <c r="E51" s="14">
        <f>INDEX(FamaFrench!$C$6:$F$244,MATCH(FFWork!$B51,FamaFrench!$B$6:$B$244,0),MATCH(FamaFrench!D$5,FFWork!$D$10:$F$10,0))</f>
        <v>4.8300000000000003E-2</v>
      </c>
      <c r="F51" s="14">
        <f>INDEX(FamaFrench!$C$6:$F$244,MATCH(FFWork!$B51,FamaFrench!$B$6:$B$244,0),MATCH(FamaFrench!E$5,FFWork!$D$10:$G$10,0))</f>
        <v>-4.3799999999999999E-2</v>
      </c>
      <c r="G51" s="14">
        <f>INDEX(FamaFrench!$C$6:$F$244,MATCH(FFWork!$B51,FamaFrench!$B$6:$B$244,0),MATCH(FamaFrench!F$5,FFWork!$D$10:$G$10,0))</f>
        <v>-5.1900000000000002E-2</v>
      </c>
    </row>
    <row r="52" spans="1:7" x14ac:dyDescent="0.2">
      <c r="A52">
        <v>42</v>
      </c>
      <c r="B52" s="33">
        <f>IF(B51="","",IF(EOMONTH(B51,1)&lt;=EOMONTH(Front!$C$4,0),EOMONTH(B51,1),""))</f>
        <v>35611</v>
      </c>
      <c r="C52" s="14">
        <f>INDEX(MutualFunds!$C$6:$O$244,MATCH(FFWork!B52,MutualFunds!$B$6:$B$244,0),MATCH(Front!$C$2,MutualFunds!$C$4:$O$4,0))</f>
        <v>2.7848101265822638E-2</v>
      </c>
      <c r="D52" s="14">
        <f>INDEX(FamaFrench!$C$6:$F$244,MATCH(FFWork!$B52,FamaFrench!$B$6:$B$244,0),MATCH(FamaFrench!C$5,FFWork!$D$10:$F$10,0))</f>
        <v>4.0999999999999995E-2</v>
      </c>
      <c r="E52" s="14">
        <f>INDEX(FamaFrench!$C$6:$F$244,MATCH(FFWork!$B52,FamaFrench!$B$6:$B$244,0),MATCH(FamaFrench!D$5,FFWork!$D$10:$F$10,0))</f>
        <v>1.4999999999999999E-2</v>
      </c>
      <c r="F52" s="14">
        <f>INDEX(FamaFrench!$C$6:$F$244,MATCH(FFWork!$B52,FamaFrench!$B$6:$B$244,0),MATCH(FamaFrench!E$5,FFWork!$D$10:$G$10,0))</f>
        <v>7.1999999999999998E-3</v>
      </c>
      <c r="G52" s="14">
        <f>INDEX(FamaFrench!$C$6:$F$244,MATCH(FFWork!$B52,FamaFrench!$B$6:$B$244,0),MATCH(FamaFrench!F$5,FFWork!$D$10:$G$10,0))</f>
        <v>2.5899999999999999E-2</v>
      </c>
    </row>
    <row r="53" spans="1:7" x14ac:dyDescent="0.2">
      <c r="A53">
        <v>43</v>
      </c>
      <c r="B53" s="33">
        <f>IF(B52="","",IF(EOMONTH(B52,1)&lt;=EOMONTH(Front!$C$4,0),EOMONTH(B52,1),""))</f>
        <v>35642</v>
      </c>
      <c r="C53" s="14">
        <f>INDEX(MutualFunds!$C$6:$O$244,MATCH(FFWork!B53,MutualFunds!$B$6:$B$244,0),MATCH(Front!$C$2,MutualFunds!$C$4:$O$4,0))</f>
        <v>7.1428571428571508E-2</v>
      </c>
      <c r="D53" s="14">
        <f>INDEX(FamaFrench!$C$6:$F$244,MATCH(FFWork!$B53,FamaFrench!$B$6:$B$244,0),MATCH(FamaFrench!C$5,FFWork!$D$10:$F$10,0))</f>
        <v>7.3300000000000004E-2</v>
      </c>
      <c r="E53" s="14">
        <f>INDEX(FamaFrench!$C$6:$F$244,MATCH(FFWork!$B53,FamaFrench!$B$6:$B$244,0),MATCH(FamaFrench!D$5,FFWork!$D$10:$F$10,0))</f>
        <v>-2.52E-2</v>
      </c>
      <c r="F53" s="14">
        <f>INDEX(FamaFrench!$C$6:$F$244,MATCH(FFWork!$B53,FamaFrench!$B$6:$B$244,0),MATCH(FamaFrench!E$5,FFWork!$D$10:$G$10,0))</f>
        <v>-1.2999999999999999E-3</v>
      </c>
      <c r="G53" s="14">
        <f>INDEX(FamaFrench!$C$6:$F$244,MATCH(FFWork!$B53,FamaFrench!$B$6:$B$244,0),MATCH(FamaFrench!F$5,FFWork!$D$10:$G$10,0))</f>
        <v>3.8399999999999997E-2</v>
      </c>
    </row>
    <row r="54" spans="1:7" x14ac:dyDescent="0.2">
      <c r="A54">
        <v>44</v>
      </c>
      <c r="B54" s="33">
        <f>IF(B53="","",IF(EOMONTH(B53,1)&lt;=EOMONTH(Front!$C$4,0),EOMONTH(B53,1),""))</f>
        <v>35673</v>
      </c>
      <c r="C54" s="14">
        <f>INDEX(MutualFunds!$C$6:$O$244,MATCH(FFWork!B54,MutualFunds!$B$6:$B$244,0),MATCH(Front!$C$2,MutualFunds!$C$4:$O$4,0))</f>
        <v>-1.7624521072796967E-2</v>
      </c>
      <c r="D54" s="14">
        <f>INDEX(FamaFrench!$C$6:$F$244,MATCH(FFWork!$B54,FamaFrench!$B$6:$B$244,0),MATCH(FamaFrench!C$5,FFWork!$D$10:$F$10,0))</f>
        <v>-4.1500000000000002E-2</v>
      </c>
      <c r="E54" s="14">
        <f>INDEX(FamaFrench!$C$6:$F$244,MATCH(FFWork!$B54,FamaFrench!$B$6:$B$244,0),MATCH(FamaFrench!D$5,FFWork!$D$10:$F$10,0))</f>
        <v>7.3399999999999993E-2</v>
      </c>
      <c r="F54" s="14">
        <f>INDEX(FamaFrench!$C$6:$F$244,MATCH(FFWork!$B54,FamaFrench!$B$6:$B$244,0),MATCH(FamaFrench!E$5,FFWork!$D$10:$G$10,0))</f>
        <v>1.37E-2</v>
      </c>
      <c r="G54" s="14">
        <f>INDEX(FamaFrench!$C$6:$F$244,MATCH(FFWork!$B54,FamaFrench!$B$6:$B$244,0),MATCH(FamaFrench!F$5,FFWork!$D$10:$G$10,0))</f>
        <v>-2.52E-2</v>
      </c>
    </row>
    <row r="55" spans="1:7" x14ac:dyDescent="0.2">
      <c r="A55">
        <v>45</v>
      </c>
      <c r="B55" s="33">
        <f>IF(B54="","",IF(EOMONTH(B54,1)&lt;=EOMONTH(Front!$C$4,0),EOMONTH(B54,1),""))</f>
        <v>35703</v>
      </c>
      <c r="C55" s="14">
        <f>INDEX(MutualFunds!$C$6:$O$244,MATCH(FFWork!B55,MutualFunds!$B$6:$B$244,0),MATCH(Front!$C$2,MutualFunds!$C$4:$O$4,0))</f>
        <v>4.1731669266770681E-2</v>
      </c>
      <c r="D55" s="14">
        <f>INDEX(FamaFrench!$C$6:$F$244,MATCH(FFWork!$B55,FamaFrench!$B$6:$B$244,0),MATCH(FamaFrench!C$5,FFWork!$D$10:$F$10,0))</f>
        <v>5.3499999999999999E-2</v>
      </c>
      <c r="E55" s="14">
        <f>INDEX(FamaFrench!$C$6:$F$244,MATCH(FFWork!$B55,FamaFrench!$B$6:$B$244,0),MATCH(FamaFrench!D$5,FFWork!$D$10:$F$10,0))</f>
        <v>2.6800000000000001E-2</v>
      </c>
      <c r="F55" s="14">
        <f>INDEX(FamaFrench!$C$6:$F$244,MATCH(FFWork!$B55,FamaFrench!$B$6:$B$244,0),MATCH(FamaFrench!E$5,FFWork!$D$10:$G$10,0))</f>
        <v>-2.5000000000000001E-3</v>
      </c>
      <c r="G55" s="14">
        <f>INDEX(FamaFrench!$C$6:$F$244,MATCH(FFWork!$B55,FamaFrench!$B$6:$B$244,0),MATCH(FamaFrench!F$5,FFWork!$D$10:$G$10,0))</f>
        <v>1.4499999999999999E-2</v>
      </c>
    </row>
    <row r="56" spans="1:7" x14ac:dyDescent="0.2">
      <c r="A56">
        <v>46</v>
      </c>
      <c r="B56" s="33">
        <f>IF(B55="","",IF(EOMONTH(B55,1)&lt;=EOMONTH(Front!$C$4,0),EOMONTH(B55,1),""))</f>
        <v>35734</v>
      </c>
      <c r="C56" s="14">
        <f>INDEX(MutualFunds!$C$6:$O$244,MATCH(FFWork!B56,MutualFunds!$B$6:$B$244,0),MATCH(Front!$C$2,MutualFunds!$C$4:$O$4,0))</f>
        <v>-4.3055035567203241E-2</v>
      </c>
      <c r="D56" s="14">
        <f>INDEX(FamaFrench!$C$6:$F$244,MATCH(FFWork!$B56,FamaFrench!$B$6:$B$244,0),MATCH(FamaFrench!C$5,FFWork!$D$10:$F$10,0))</f>
        <v>-3.7999999999999999E-2</v>
      </c>
      <c r="E56" s="14">
        <f>INDEX(FamaFrench!$C$6:$F$244,MATCH(FFWork!$B56,FamaFrench!$B$6:$B$244,0),MATCH(FamaFrench!D$5,FFWork!$D$10:$F$10,0))</f>
        <v>-7.9000000000000008E-3</v>
      </c>
      <c r="F56" s="14">
        <f>INDEX(FamaFrench!$C$6:$F$244,MATCH(FFWork!$B56,FamaFrench!$B$6:$B$244,0),MATCH(FamaFrench!E$5,FFWork!$D$10:$G$10,0))</f>
        <v>2.2099999999999998E-2</v>
      </c>
      <c r="G56" s="14">
        <f>INDEX(FamaFrench!$C$6:$F$244,MATCH(FFWork!$B56,FamaFrench!$B$6:$B$244,0),MATCH(FamaFrench!F$5,FFWork!$D$10:$G$10,0))</f>
        <v>-4.3E-3</v>
      </c>
    </row>
    <row r="57" spans="1:7" x14ac:dyDescent="0.2">
      <c r="A57">
        <v>47</v>
      </c>
      <c r="B57" s="33">
        <f>IF(B56="","",IF(EOMONTH(B56,1)&lt;=EOMONTH(Front!$C$4,0),EOMONTH(B56,1),""))</f>
        <v>35764</v>
      </c>
      <c r="C57" s="14">
        <f>INDEX(MutualFunds!$C$6:$O$244,MATCH(FFWork!B57,MutualFunds!$B$6:$B$244,0),MATCH(Front!$C$2,MutualFunds!$C$4:$O$4,0))</f>
        <v>2.1517996870109572E-2</v>
      </c>
      <c r="D57" s="14">
        <f>INDEX(FamaFrench!$C$6:$F$244,MATCH(FFWork!$B57,FamaFrench!$B$6:$B$244,0),MATCH(FamaFrench!C$5,FFWork!$D$10:$F$10,0))</f>
        <v>2.98E-2</v>
      </c>
      <c r="E57" s="14">
        <f>INDEX(FamaFrench!$C$6:$F$244,MATCH(FFWork!$B57,FamaFrench!$B$6:$B$244,0),MATCH(FamaFrench!D$5,FFWork!$D$10:$F$10,0))</f>
        <v>-5.0700000000000002E-2</v>
      </c>
      <c r="F57" s="14">
        <f>INDEX(FamaFrench!$C$6:$F$244,MATCH(FFWork!$B57,FamaFrench!$B$6:$B$244,0),MATCH(FamaFrench!E$5,FFWork!$D$10:$G$10,0))</f>
        <v>1.01E-2</v>
      </c>
      <c r="G57" s="14">
        <f>INDEX(FamaFrench!$C$6:$F$244,MATCH(FFWork!$B57,FamaFrench!$B$6:$B$244,0),MATCH(FamaFrench!F$5,FFWork!$D$10:$G$10,0))</f>
        <v>2.8000000000000004E-3</v>
      </c>
    </row>
    <row r="58" spans="1:7" x14ac:dyDescent="0.2">
      <c r="A58">
        <v>48</v>
      </c>
      <c r="B58" s="33">
        <f>IF(B57="","",IF(EOMONTH(B57,1)&lt;=EOMONTH(Front!$C$4,0),EOMONTH(B57,1),""))</f>
        <v>35795</v>
      </c>
      <c r="C58" s="14">
        <f>INDEX(MutualFunds!$C$6:$O$244,MATCH(FFWork!B58,MutualFunds!$B$6:$B$244,0),MATCH(Front!$C$2,MutualFunds!$C$4:$O$4,0))</f>
        <v>-2.3362696284948407E-2</v>
      </c>
      <c r="D58" s="14">
        <f>INDEX(FamaFrench!$C$6:$F$244,MATCH(FFWork!$B58,FamaFrench!$B$6:$B$244,0),MATCH(FamaFrench!C$5,FFWork!$D$10:$F$10,0))</f>
        <v>1.32E-2</v>
      </c>
      <c r="E58" s="14">
        <f>INDEX(FamaFrench!$C$6:$F$244,MATCH(FFWork!$B58,FamaFrench!$B$6:$B$244,0),MATCH(FamaFrench!D$5,FFWork!$D$10:$F$10,0))</f>
        <v>-2.4E-2</v>
      </c>
      <c r="F58" s="14">
        <f>INDEX(FamaFrench!$C$6:$F$244,MATCH(FFWork!$B58,FamaFrench!$B$6:$B$244,0),MATCH(FamaFrench!E$5,FFWork!$D$10:$G$10,0))</f>
        <v>3.8399999999999997E-2</v>
      </c>
      <c r="G58" s="14">
        <f>INDEX(FamaFrench!$C$6:$F$244,MATCH(FFWork!$B58,FamaFrench!$B$6:$B$244,0),MATCH(FamaFrench!F$5,FFWork!$D$10:$G$10,0))</f>
        <v>3.85E-2</v>
      </c>
    </row>
    <row r="59" spans="1:7" x14ac:dyDescent="0.2">
      <c r="A59">
        <v>49</v>
      </c>
      <c r="B59" s="33">
        <f>IF(B58="","",IF(EOMONTH(B58,1)&lt;=EOMONTH(Front!$C$4,0),EOMONTH(B58,1),""))</f>
        <v>35826</v>
      </c>
      <c r="C59" s="14">
        <f>INDEX(MutualFunds!$C$6:$O$244,MATCH(FFWork!B59,MutualFunds!$B$6:$B$244,0),MATCH(Front!$C$2,MutualFunds!$C$4:$O$4,0))</f>
        <v>6.2745098039215744E-3</v>
      </c>
      <c r="D59" s="14">
        <f>INDEX(FamaFrench!$C$6:$F$244,MATCH(FFWork!$B59,FamaFrench!$B$6:$B$244,0),MATCH(FamaFrench!C$5,FFWork!$D$10:$F$10,0))</f>
        <v>1.5E-3</v>
      </c>
      <c r="E59" s="14">
        <f>INDEX(FamaFrench!$C$6:$F$244,MATCH(FFWork!$B59,FamaFrench!$B$6:$B$244,0),MATCH(FamaFrench!D$5,FFWork!$D$10:$F$10,0))</f>
        <v>-9.3999999999999986E-3</v>
      </c>
      <c r="F59" s="14">
        <f>INDEX(FamaFrench!$C$6:$F$244,MATCH(FFWork!$B59,FamaFrench!$B$6:$B$244,0),MATCH(FamaFrench!E$5,FFWork!$D$10:$G$10,0))</f>
        <v>-2.07E-2</v>
      </c>
      <c r="G59" s="14">
        <f>INDEX(FamaFrench!$C$6:$F$244,MATCH(FFWork!$B59,FamaFrench!$B$6:$B$244,0),MATCH(FamaFrench!F$5,FFWork!$D$10:$G$10,0))</f>
        <v>1E-3</v>
      </c>
    </row>
    <row r="60" spans="1:7" x14ac:dyDescent="0.2">
      <c r="A60">
        <v>50</v>
      </c>
      <c r="B60" s="33">
        <f>IF(B59="","",IF(EOMONTH(B59,1)&lt;=EOMONTH(Front!$C$4,0),EOMONTH(B59,1),""))</f>
        <v>35854</v>
      </c>
      <c r="C60" s="14">
        <f>INDEX(MutualFunds!$C$6:$O$244,MATCH(FFWork!B60,MutualFunds!$B$6:$B$244,0),MATCH(Front!$C$2,MutualFunds!$C$4:$O$4,0))</f>
        <v>6.5081839438815348E-2</v>
      </c>
      <c r="D60" s="14">
        <f>INDEX(FamaFrench!$C$6:$F$244,MATCH(FFWork!$B60,FamaFrench!$B$6:$B$244,0),MATCH(FamaFrench!C$5,FFWork!$D$10:$F$10,0))</f>
        <v>7.0300000000000001E-2</v>
      </c>
      <c r="E60" s="14">
        <f>INDEX(FamaFrench!$C$6:$F$244,MATCH(FFWork!$B60,FamaFrench!$B$6:$B$244,0),MATCH(FamaFrench!D$5,FFWork!$D$10:$F$10,0))</f>
        <v>3.2000000000000002E-3</v>
      </c>
      <c r="F60" s="14">
        <f>INDEX(FamaFrench!$C$6:$F$244,MATCH(FFWork!$B60,FamaFrench!$B$6:$B$244,0),MATCH(FamaFrench!E$5,FFWork!$D$10:$G$10,0))</f>
        <v>-8.6E-3</v>
      </c>
      <c r="G60" s="14">
        <f>INDEX(FamaFrench!$C$6:$F$244,MATCH(FFWork!$B60,FamaFrench!$B$6:$B$244,0),MATCH(FamaFrench!F$5,FFWork!$D$10:$G$10,0))</f>
        <v>-1.1000000000000001E-2</v>
      </c>
    </row>
    <row r="61" spans="1:7" x14ac:dyDescent="0.2">
      <c r="A61">
        <v>51</v>
      </c>
      <c r="B61" s="33">
        <f>IF(B60="","",IF(EOMONTH(B60,1)&lt;=EOMONTH(Front!$C$4,0),EOMONTH(B60,1),""))</f>
        <v>35885</v>
      </c>
      <c r="C61" s="14">
        <f>INDEX(MutualFunds!$C$6:$O$244,MATCH(FFWork!B61,MutualFunds!$B$6:$B$244,0),MATCH(Front!$C$2,MutualFunds!$C$4:$O$4,0))</f>
        <v>3.402854006586168E-2</v>
      </c>
      <c r="D61" s="14">
        <f>INDEX(FamaFrench!$C$6:$F$244,MATCH(FFWork!$B61,FamaFrench!$B$6:$B$244,0),MATCH(FamaFrench!C$5,FFWork!$D$10:$F$10,0))</f>
        <v>4.7599999999999996E-2</v>
      </c>
      <c r="E61" s="14">
        <f>INDEX(FamaFrench!$C$6:$F$244,MATCH(FFWork!$B61,FamaFrench!$B$6:$B$244,0),MATCH(FamaFrench!D$5,FFWork!$D$10:$F$10,0))</f>
        <v>-9.8999999999999991E-3</v>
      </c>
      <c r="F61" s="14">
        <f>INDEX(FamaFrench!$C$6:$F$244,MATCH(FFWork!$B61,FamaFrench!$B$6:$B$244,0),MATCH(FamaFrench!E$5,FFWork!$D$10:$G$10,0))</f>
        <v>1.23E-2</v>
      </c>
      <c r="G61" s="14">
        <f>INDEX(FamaFrench!$C$6:$F$244,MATCH(FFWork!$B61,FamaFrench!$B$6:$B$244,0),MATCH(FamaFrench!F$5,FFWork!$D$10:$G$10,0))</f>
        <v>2.1400000000000002E-2</v>
      </c>
    </row>
    <row r="62" spans="1:7" x14ac:dyDescent="0.2">
      <c r="A62">
        <v>52</v>
      </c>
      <c r="B62" s="33">
        <f>IF(B61="","",IF(EOMONTH(B61,1)&lt;=EOMONTH(Front!$C$4,0),EOMONTH(B61,1),""))</f>
        <v>35915</v>
      </c>
      <c r="C62" s="14">
        <f>INDEX(MutualFunds!$C$6:$O$244,MATCH(FFWork!B62,MutualFunds!$B$6:$B$244,0),MATCH(Front!$C$2,MutualFunds!$C$4:$O$4,0))</f>
        <v>1.2031139419674446E-2</v>
      </c>
      <c r="D62" s="14">
        <f>INDEX(FamaFrench!$C$6:$F$244,MATCH(FFWork!$B62,FamaFrench!$B$6:$B$244,0),MATCH(FamaFrench!C$5,FFWork!$D$10:$F$10,0))</f>
        <v>7.3000000000000001E-3</v>
      </c>
      <c r="E62" s="14">
        <f>INDEX(FamaFrench!$C$6:$F$244,MATCH(FFWork!$B62,FamaFrench!$B$6:$B$244,0),MATCH(FamaFrench!D$5,FFWork!$D$10:$F$10,0))</f>
        <v>4.7999999999999996E-3</v>
      </c>
      <c r="F62" s="14">
        <f>INDEX(FamaFrench!$C$6:$F$244,MATCH(FFWork!$B62,FamaFrench!$B$6:$B$244,0),MATCH(FamaFrench!E$5,FFWork!$D$10:$G$10,0))</f>
        <v>2.7000000000000001E-3</v>
      </c>
      <c r="G62" s="14">
        <f>INDEX(FamaFrench!$C$6:$F$244,MATCH(FFWork!$B62,FamaFrench!$B$6:$B$244,0),MATCH(FamaFrench!F$5,FFWork!$D$10:$G$10,0))</f>
        <v>7.8000000000000005E-3</v>
      </c>
    </row>
    <row r="63" spans="1:7" x14ac:dyDescent="0.2">
      <c r="A63">
        <v>53</v>
      </c>
      <c r="B63" s="33">
        <f>IF(B62="","",IF(EOMONTH(B62,1)&lt;=EOMONTH(Front!$C$4,0),EOMONTH(B62,1),""))</f>
        <v>35946</v>
      </c>
      <c r="C63" s="14">
        <f>INDEX(MutualFunds!$C$6:$O$244,MATCH(FFWork!B63,MutualFunds!$B$6:$B$244,0),MATCH(Front!$C$2,MutualFunds!$C$4:$O$4,0))</f>
        <v>-1.9930069930069939E-2</v>
      </c>
      <c r="D63" s="14">
        <f>INDEX(FamaFrench!$C$6:$F$244,MATCH(FFWork!$B63,FamaFrench!$B$6:$B$244,0),MATCH(FamaFrench!C$5,FFWork!$D$10:$F$10,0))</f>
        <v>-3.0699999999999998E-2</v>
      </c>
      <c r="E63" s="14">
        <f>INDEX(FamaFrench!$C$6:$F$244,MATCH(FFWork!$B63,FamaFrench!$B$6:$B$244,0),MATCH(FamaFrench!D$5,FFWork!$D$10:$F$10,0))</f>
        <v>-3.5400000000000001E-2</v>
      </c>
      <c r="F63" s="14">
        <f>INDEX(FamaFrench!$C$6:$F$244,MATCH(FFWork!$B63,FamaFrench!$B$6:$B$244,0),MATCH(FamaFrench!E$5,FFWork!$D$10:$G$10,0))</f>
        <v>4.1200000000000001E-2</v>
      </c>
      <c r="G63" s="14">
        <f>INDEX(FamaFrench!$C$6:$F$244,MATCH(FFWork!$B63,FamaFrench!$B$6:$B$244,0),MATCH(FamaFrench!F$5,FFWork!$D$10:$G$10,0))</f>
        <v>1.89E-2</v>
      </c>
    </row>
    <row r="64" spans="1:7" x14ac:dyDescent="0.2">
      <c r="A64">
        <v>54</v>
      </c>
      <c r="B64" s="33">
        <f>IF(B63="","",IF(EOMONTH(B63,1)&lt;=EOMONTH(Front!$C$4,0),EOMONTH(B63,1),""))</f>
        <v>35976</v>
      </c>
      <c r="C64" s="14">
        <f>INDEX(MutualFunds!$C$6:$O$244,MATCH(FFWork!B64,MutualFunds!$B$6:$B$244,0),MATCH(Front!$C$2,MutualFunds!$C$4:$O$4,0))</f>
        <v>-1.1416339636104184E-2</v>
      </c>
      <c r="D64" s="14">
        <f>INDEX(FamaFrench!$C$6:$F$244,MATCH(FFWork!$B64,FamaFrench!$B$6:$B$244,0),MATCH(FamaFrench!C$5,FFWork!$D$10:$F$10,0))</f>
        <v>3.1800000000000002E-2</v>
      </c>
      <c r="E64" s="14">
        <f>INDEX(FamaFrench!$C$6:$F$244,MATCH(FFWork!$B64,FamaFrench!$B$6:$B$244,0),MATCH(FamaFrench!D$5,FFWork!$D$10:$F$10,0))</f>
        <v>-3.15E-2</v>
      </c>
      <c r="F64" s="14">
        <f>INDEX(FamaFrench!$C$6:$F$244,MATCH(FFWork!$B64,FamaFrench!$B$6:$B$244,0),MATCH(FamaFrench!E$5,FFWork!$D$10:$G$10,0))</f>
        <v>-2.2200000000000001E-2</v>
      </c>
      <c r="G64" s="14">
        <f>INDEX(FamaFrench!$C$6:$F$244,MATCH(FFWork!$B64,FamaFrench!$B$6:$B$244,0),MATCH(FamaFrench!F$5,FFWork!$D$10:$G$10,0))</f>
        <v>7.2599999999999998E-2</v>
      </c>
    </row>
    <row r="65" spans="1:7" x14ac:dyDescent="0.2">
      <c r="A65">
        <v>55</v>
      </c>
      <c r="B65" s="33">
        <f>IF(B64="","",IF(EOMONTH(B64,1)&lt;=EOMONTH(Front!$C$4,0),EOMONTH(B64,1),""))</f>
        <v>36007</v>
      </c>
      <c r="C65" s="14">
        <f>INDEX(MutualFunds!$C$6:$O$244,MATCH(FFWork!B65,MutualFunds!$B$6:$B$244,0),MATCH(Front!$C$2,MutualFunds!$C$4:$O$4,0))</f>
        <v>-2.9592204980151578E-2</v>
      </c>
      <c r="D65" s="14">
        <f>INDEX(FamaFrench!$C$6:$F$244,MATCH(FFWork!$B65,FamaFrench!$B$6:$B$244,0),MATCH(FamaFrench!C$5,FFWork!$D$10:$F$10,0))</f>
        <v>-2.46E-2</v>
      </c>
      <c r="E65" s="14">
        <f>INDEX(FamaFrench!$C$6:$F$244,MATCH(FFWork!$B65,FamaFrench!$B$6:$B$244,0),MATCH(FamaFrench!D$5,FFWork!$D$10:$F$10,0))</f>
        <v>-4.9200000000000001E-2</v>
      </c>
      <c r="F65" s="14">
        <f>INDEX(FamaFrench!$C$6:$F$244,MATCH(FFWork!$B65,FamaFrench!$B$6:$B$244,0),MATCH(FamaFrench!E$5,FFWork!$D$10:$G$10,0))</f>
        <v>-1.15E-2</v>
      </c>
      <c r="G65" s="14">
        <f>INDEX(FamaFrench!$C$6:$F$244,MATCH(FFWork!$B65,FamaFrench!$B$6:$B$244,0),MATCH(FamaFrench!F$5,FFWork!$D$10:$G$10,0))</f>
        <v>3.7100000000000001E-2</v>
      </c>
    </row>
    <row r="66" spans="1:7" x14ac:dyDescent="0.2">
      <c r="A66">
        <v>56</v>
      </c>
      <c r="B66" s="33">
        <f>IF(B65="","",IF(EOMONTH(B65,1)&lt;=EOMONTH(Front!$C$4,0),EOMONTH(B65,1),""))</f>
        <v>36038</v>
      </c>
      <c r="C66" s="14">
        <f>INDEX(MutualFunds!$C$6:$O$244,MATCH(FFWork!B66,MutualFunds!$B$6:$B$244,0),MATCH(Front!$C$2,MutualFunds!$C$4:$O$4,0))</f>
        <v>-0.12123465972480468</v>
      </c>
      <c r="D66" s="14">
        <f>INDEX(FamaFrench!$C$6:$F$244,MATCH(FFWork!$B66,FamaFrench!$B$6:$B$244,0),MATCH(FamaFrench!C$5,FFWork!$D$10:$F$10,0))</f>
        <v>-0.16079999999999997</v>
      </c>
      <c r="E66" s="14">
        <f>INDEX(FamaFrench!$C$6:$F$244,MATCH(FFWork!$B66,FamaFrench!$B$6:$B$244,0),MATCH(FamaFrench!D$5,FFWork!$D$10:$F$10,0))</f>
        <v>-5.7500000000000002E-2</v>
      </c>
      <c r="F66" s="14">
        <f>INDEX(FamaFrench!$C$6:$F$244,MATCH(FFWork!$B66,FamaFrench!$B$6:$B$244,0),MATCH(FamaFrench!E$5,FFWork!$D$10:$G$10,0))</f>
        <v>5.2400000000000002E-2</v>
      </c>
      <c r="G66" s="14">
        <f>INDEX(FamaFrench!$C$6:$F$244,MATCH(FFWork!$B66,FamaFrench!$B$6:$B$244,0),MATCH(FamaFrench!F$5,FFWork!$D$10:$G$10,0))</f>
        <v>1.8799999999999997E-2</v>
      </c>
    </row>
    <row r="67" spans="1:7" x14ac:dyDescent="0.2">
      <c r="A67">
        <v>57</v>
      </c>
      <c r="B67" s="33">
        <f>IF(B66="","",IF(EOMONTH(B66,1)&lt;=EOMONTH(Front!$C$4,0),EOMONTH(B66,1),""))</f>
        <v>36068</v>
      </c>
      <c r="C67" s="14">
        <f>INDEX(MutualFunds!$C$6:$O$244,MATCH(FFWork!B67,MutualFunds!$B$6:$B$244,0),MATCH(Front!$C$2,MutualFunds!$C$4:$O$4,0))</f>
        <v>3.5971223021582642E-2</v>
      </c>
      <c r="D67" s="14">
        <f>INDEX(FamaFrench!$C$6:$F$244,MATCH(FFWork!$B67,FamaFrench!$B$6:$B$244,0),MATCH(FamaFrench!C$5,FFWork!$D$10:$F$10,0))</f>
        <v>6.1500000000000006E-2</v>
      </c>
      <c r="E67" s="14">
        <f>INDEX(FamaFrench!$C$6:$F$244,MATCH(FFWork!$B67,FamaFrench!$B$6:$B$244,0),MATCH(FamaFrench!D$5,FFWork!$D$10:$F$10,0))</f>
        <v>-1.5E-3</v>
      </c>
      <c r="F67" s="14">
        <f>INDEX(FamaFrench!$C$6:$F$244,MATCH(FFWork!$B67,FamaFrench!$B$6:$B$244,0),MATCH(FamaFrench!E$5,FFWork!$D$10:$G$10,0))</f>
        <v>-3.8800000000000001E-2</v>
      </c>
      <c r="G67" s="14">
        <f>INDEX(FamaFrench!$C$6:$F$244,MATCH(FFWork!$B67,FamaFrench!$B$6:$B$244,0),MATCH(FamaFrench!F$5,FFWork!$D$10:$G$10,0))</f>
        <v>-5.7999999999999996E-3</v>
      </c>
    </row>
    <row r="68" spans="1:7" x14ac:dyDescent="0.2">
      <c r="A68">
        <v>58</v>
      </c>
      <c r="B68" s="33">
        <f>IF(B67="","",IF(EOMONTH(B67,1)&lt;=EOMONTH(Front!$C$4,0),EOMONTH(B67,1),""))</f>
        <v>36099</v>
      </c>
      <c r="C68" s="14">
        <f>INDEX(MutualFunds!$C$6:$O$244,MATCH(FFWork!B68,MutualFunds!$B$6:$B$244,0),MATCH(Front!$C$2,MutualFunds!$C$4:$O$4,0))</f>
        <v>6.4542483660130795E-2</v>
      </c>
      <c r="D68" s="14">
        <f>INDEX(FamaFrench!$C$6:$F$244,MATCH(FFWork!$B68,FamaFrench!$B$6:$B$244,0),MATCH(FamaFrench!C$5,FFWork!$D$10:$F$10,0))</f>
        <v>7.1300000000000002E-2</v>
      </c>
      <c r="E68" s="14">
        <f>INDEX(FamaFrench!$C$6:$F$244,MATCH(FFWork!$B68,FamaFrench!$B$6:$B$244,0),MATCH(FamaFrench!D$5,FFWork!$D$10:$F$10,0))</f>
        <v>-3.2000000000000001E-2</v>
      </c>
      <c r="F68" s="14">
        <f>INDEX(FamaFrench!$C$6:$F$244,MATCH(FFWork!$B68,FamaFrench!$B$6:$B$244,0),MATCH(FamaFrench!E$5,FFWork!$D$10:$G$10,0))</f>
        <v>-2.7699999999999999E-2</v>
      </c>
      <c r="G68" s="14">
        <f>INDEX(FamaFrench!$C$6:$F$244,MATCH(FFWork!$B68,FamaFrench!$B$6:$B$244,0),MATCH(FamaFrench!F$5,FFWork!$D$10:$G$10,0))</f>
        <v>-5.3499999999999999E-2</v>
      </c>
    </row>
    <row r="69" spans="1:7" x14ac:dyDescent="0.2">
      <c r="A69">
        <v>59</v>
      </c>
      <c r="B69" s="33">
        <f>IF(B68="","",IF(EOMONTH(B68,1)&lt;=EOMONTH(Front!$C$4,0),EOMONTH(B68,1),""))</f>
        <v>36129</v>
      </c>
      <c r="C69" s="14">
        <f>INDEX(MutualFunds!$C$6:$O$244,MATCH(FFWork!B69,MutualFunds!$B$6:$B$244,0),MATCH(Front!$C$2,MutualFunds!$C$4:$O$4,0))</f>
        <v>4.1059094397544134E-2</v>
      </c>
      <c r="D69" s="14">
        <f>INDEX(FamaFrench!$C$6:$F$244,MATCH(FFWork!$B69,FamaFrench!$B$6:$B$244,0),MATCH(FamaFrench!C$5,FFWork!$D$10:$F$10,0))</f>
        <v>6.0999999999999999E-2</v>
      </c>
      <c r="E69" s="14">
        <f>INDEX(FamaFrench!$C$6:$F$244,MATCH(FFWork!$B69,FamaFrench!$B$6:$B$244,0),MATCH(FamaFrench!D$5,FFWork!$D$10:$F$10,0))</f>
        <v>1.1399999999999999E-2</v>
      </c>
      <c r="F69" s="14">
        <f>INDEX(FamaFrench!$C$6:$F$244,MATCH(FFWork!$B69,FamaFrench!$B$6:$B$244,0),MATCH(FamaFrench!E$5,FFWork!$D$10:$G$10,0))</f>
        <v>-3.4300000000000004E-2</v>
      </c>
      <c r="G69" s="14">
        <f>INDEX(FamaFrench!$C$6:$F$244,MATCH(FFWork!$B69,FamaFrench!$B$6:$B$244,0),MATCH(FamaFrench!F$5,FFWork!$D$10:$G$10,0))</f>
        <v>1.18E-2</v>
      </c>
    </row>
    <row r="70" spans="1:7" x14ac:dyDescent="0.2">
      <c r="A70">
        <v>60</v>
      </c>
      <c r="B70" s="33">
        <f>IF(B69="","",IF(EOMONTH(B69,1)&lt;=EOMONTH(Front!$C$4,0),EOMONTH(B69,1),""))</f>
        <v>36160</v>
      </c>
      <c r="C70" s="14">
        <f>INDEX(MutualFunds!$C$6:$O$244,MATCH(FFWork!B70,MutualFunds!$B$6:$B$244,0),MATCH(Front!$C$2,MutualFunds!$C$4:$O$4,0))</f>
        <v>-2.3221525985993457E-2</v>
      </c>
      <c r="D70" s="14">
        <f>INDEX(FamaFrench!$C$6:$F$244,MATCH(FFWork!$B70,FamaFrench!$B$6:$B$244,0),MATCH(FamaFrench!C$5,FFWork!$D$10:$F$10,0))</f>
        <v>6.1600000000000002E-2</v>
      </c>
      <c r="E70" s="14">
        <f>INDEX(FamaFrench!$C$6:$F$244,MATCH(FFWork!$B70,FamaFrench!$B$6:$B$244,0),MATCH(FamaFrench!D$5,FFWork!$D$10:$F$10,0))</f>
        <v>-3.0000000000000001E-3</v>
      </c>
      <c r="F70" s="14">
        <f>INDEX(FamaFrench!$C$6:$F$244,MATCH(FFWork!$B70,FamaFrench!$B$6:$B$244,0),MATCH(FamaFrench!E$5,FFWork!$D$10:$G$10,0))</f>
        <v>-4.7E-2</v>
      </c>
      <c r="G70" s="14">
        <f>INDEX(FamaFrench!$C$6:$F$244,MATCH(FFWork!$B70,FamaFrench!$B$6:$B$244,0),MATCH(FamaFrench!F$5,FFWork!$D$10:$G$10,0))</f>
        <v>9.0399999999999994E-2</v>
      </c>
    </row>
    <row r="71" spans="1:7" x14ac:dyDescent="0.2">
      <c r="A71">
        <v>61</v>
      </c>
      <c r="B71" s="33">
        <f>IF(B70="","",IF(EOMONTH(B70,1)&lt;=EOMONTH(Front!$C$4,0),EOMONTH(B70,1),""))</f>
        <v>36191</v>
      </c>
      <c r="C71" s="14">
        <f>INDEX(MutualFunds!$C$6:$O$244,MATCH(FFWork!B71,MutualFunds!$B$6:$B$244,0),MATCH(Front!$C$2,MutualFunds!$C$4:$O$4,0))</f>
        <v>-2.0754716981131967E-2</v>
      </c>
      <c r="D71" s="14">
        <f>INDEX(FamaFrench!$C$6:$F$244,MATCH(FFWork!$B71,FamaFrench!$B$6:$B$244,0),MATCH(FamaFrench!C$5,FFWork!$D$10:$F$10,0))</f>
        <v>3.5000000000000003E-2</v>
      </c>
      <c r="E71" s="14">
        <f>INDEX(FamaFrench!$C$6:$F$244,MATCH(FFWork!$B71,FamaFrench!$B$6:$B$244,0),MATCH(FamaFrench!D$5,FFWork!$D$10:$F$10,0))</f>
        <v>8.6E-3</v>
      </c>
      <c r="F71" s="14">
        <f>INDEX(FamaFrench!$C$6:$F$244,MATCH(FFWork!$B71,FamaFrench!$B$6:$B$244,0),MATCH(FamaFrench!E$5,FFWork!$D$10:$G$10,0))</f>
        <v>-5.5599999999999997E-2</v>
      </c>
      <c r="G71" s="14">
        <f>INDEX(FamaFrench!$C$6:$F$244,MATCH(FFWork!$B71,FamaFrench!$B$6:$B$244,0),MATCH(FamaFrench!F$5,FFWork!$D$10:$G$10,0))</f>
        <v>3.0499999999999999E-2</v>
      </c>
    </row>
    <row r="72" spans="1:7" x14ac:dyDescent="0.2">
      <c r="A72">
        <v>62</v>
      </c>
      <c r="B72" s="33">
        <f>IF(B71="","",IF(EOMONTH(B71,1)&lt;=EOMONTH(Front!$C$4,0),EOMONTH(B71,1),""))</f>
        <v>36219</v>
      </c>
      <c r="C72" s="14">
        <f>INDEX(MutualFunds!$C$6:$O$244,MATCH(FFWork!B72,MutualFunds!$B$6:$B$244,0),MATCH(Front!$C$2,MutualFunds!$C$4:$O$4,0))</f>
        <v>1.3102119460500956E-2</v>
      </c>
      <c r="D72" s="14">
        <f>INDEX(FamaFrench!$C$6:$F$244,MATCH(FFWork!$B72,FamaFrench!$B$6:$B$244,0),MATCH(FamaFrench!C$5,FFWork!$D$10:$F$10,0))</f>
        <v>-4.0800000000000003E-2</v>
      </c>
      <c r="E72" s="14">
        <f>INDEX(FamaFrench!$C$6:$F$244,MATCH(FFWork!$B72,FamaFrench!$B$6:$B$244,0),MATCH(FamaFrench!D$5,FFWork!$D$10:$F$10,0))</f>
        <v>-5.5500000000000001E-2</v>
      </c>
      <c r="F72" s="14">
        <f>INDEX(FamaFrench!$C$6:$F$244,MATCH(FFWork!$B72,FamaFrench!$B$6:$B$244,0),MATCH(FamaFrench!E$5,FFWork!$D$10:$G$10,0))</f>
        <v>1.5600000000000001E-2</v>
      </c>
      <c r="G72" s="14">
        <f>INDEX(FamaFrench!$C$6:$F$244,MATCH(FFWork!$B72,FamaFrench!$B$6:$B$244,0),MATCH(FamaFrench!F$5,FFWork!$D$10:$G$10,0))</f>
        <v>-1.2999999999999999E-3</v>
      </c>
    </row>
    <row r="73" spans="1:7" x14ac:dyDescent="0.2">
      <c r="A73">
        <v>63</v>
      </c>
      <c r="B73" s="33">
        <f>IF(B72="","",IF(EOMONTH(B72,1)&lt;=EOMONTH(Front!$C$4,0),EOMONTH(B72,1),""))</f>
        <v>36250</v>
      </c>
      <c r="C73" s="14">
        <f>INDEX(MutualFunds!$C$6:$O$244,MATCH(FFWork!B73,MutualFunds!$B$6:$B$244,0),MATCH(Front!$C$2,MutualFunds!$C$4:$O$4,0))</f>
        <v>1.2932674020540123E-2</v>
      </c>
      <c r="D73" s="14">
        <f>INDEX(FamaFrench!$C$6:$F$244,MATCH(FFWork!$B73,FamaFrench!$B$6:$B$244,0),MATCH(FamaFrench!C$5,FFWork!$D$10:$F$10,0))</f>
        <v>3.4500000000000003E-2</v>
      </c>
      <c r="E73" s="14">
        <f>INDEX(FamaFrench!$C$6:$F$244,MATCH(FFWork!$B73,FamaFrench!$B$6:$B$244,0),MATCH(FamaFrench!D$5,FFWork!$D$10:$F$10,0))</f>
        <v>-3.8399999999999997E-2</v>
      </c>
      <c r="F73" s="14">
        <f>INDEX(FamaFrench!$C$6:$F$244,MATCH(FFWork!$B73,FamaFrench!$B$6:$B$244,0),MATCH(FamaFrench!E$5,FFWork!$D$10:$G$10,0))</f>
        <v>-2.9300000000000003E-2</v>
      </c>
      <c r="G73" s="14">
        <f>INDEX(FamaFrench!$C$6:$F$244,MATCH(FFWork!$B73,FamaFrench!$B$6:$B$244,0),MATCH(FamaFrench!F$5,FFWork!$D$10:$G$10,0))</f>
        <v>-1.3500000000000002E-2</v>
      </c>
    </row>
    <row r="74" spans="1:7" x14ac:dyDescent="0.2">
      <c r="A74">
        <v>64</v>
      </c>
      <c r="B74" s="33">
        <f>IF(B73="","",IF(EOMONTH(B73,1)&lt;=EOMONTH(Front!$C$4,0),EOMONTH(B73,1),""))</f>
        <v>36280</v>
      </c>
      <c r="C74" s="14">
        <f>INDEX(MutualFunds!$C$6:$O$244,MATCH(FFWork!B74,MutualFunds!$B$6:$B$244,0),MATCH(Front!$C$2,MutualFunds!$C$4:$O$4,0))</f>
        <v>9.0499436725497553E-2</v>
      </c>
      <c r="D74" s="14">
        <f>INDEX(FamaFrench!$C$6:$F$244,MATCH(FFWork!$B74,FamaFrench!$B$6:$B$244,0),MATCH(FamaFrench!C$5,FFWork!$D$10:$F$10,0))</f>
        <v>4.3299999999999998E-2</v>
      </c>
      <c r="E74" s="14">
        <f>INDEX(FamaFrench!$C$6:$F$244,MATCH(FFWork!$B74,FamaFrench!$B$6:$B$244,0),MATCH(FamaFrench!D$5,FFWork!$D$10:$F$10,0))</f>
        <v>3.1800000000000002E-2</v>
      </c>
      <c r="F74" s="14">
        <f>INDEX(FamaFrench!$C$6:$F$244,MATCH(FFWork!$B74,FamaFrench!$B$6:$B$244,0),MATCH(FamaFrench!E$5,FFWork!$D$10:$G$10,0))</f>
        <v>2.4500000000000001E-2</v>
      </c>
      <c r="G74" s="14">
        <f>INDEX(FamaFrench!$C$6:$F$244,MATCH(FFWork!$B74,FamaFrench!$B$6:$B$244,0),MATCH(FamaFrench!F$5,FFWork!$D$10:$G$10,0))</f>
        <v>-9.1300000000000006E-2</v>
      </c>
    </row>
    <row r="75" spans="1:7" x14ac:dyDescent="0.2">
      <c r="A75">
        <v>65</v>
      </c>
      <c r="B75" s="33">
        <f>IF(B74="","",IF(EOMONTH(B74,1)&lt;=EOMONTH(Front!$C$4,0),EOMONTH(B74,1),""))</f>
        <v>36311</v>
      </c>
      <c r="C75" s="14">
        <f>INDEX(MutualFunds!$C$6:$O$244,MATCH(FFWork!B75,MutualFunds!$B$6:$B$244,0),MATCH(Front!$C$2,MutualFunds!$C$4:$O$4,0))</f>
        <v>6.8870523415977712E-3</v>
      </c>
      <c r="D75" s="14">
        <f>INDEX(FamaFrench!$C$6:$F$244,MATCH(FFWork!$B75,FamaFrench!$B$6:$B$244,0),MATCH(FamaFrench!C$5,FFWork!$D$10:$F$10,0))</f>
        <v>-2.46E-2</v>
      </c>
      <c r="E75" s="14">
        <f>INDEX(FamaFrench!$C$6:$F$244,MATCH(FFWork!$B75,FamaFrench!$B$6:$B$244,0),MATCH(FamaFrench!D$5,FFWork!$D$10:$F$10,0))</f>
        <v>3.6400000000000002E-2</v>
      </c>
      <c r="F75" s="14">
        <f>INDEX(FamaFrench!$C$6:$F$244,MATCH(FFWork!$B75,FamaFrench!$B$6:$B$244,0),MATCH(FamaFrench!E$5,FFWork!$D$10:$G$10,0))</f>
        <v>2.69E-2</v>
      </c>
      <c r="G75" s="14">
        <f>INDEX(FamaFrench!$C$6:$F$244,MATCH(FFWork!$B75,FamaFrench!$B$6:$B$244,0),MATCH(FamaFrench!F$5,FFWork!$D$10:$G$10,0))</f>
        <v>-5.2499999999999998E-2</v>
      </c>
    </row>
    <row r="76" spans="1:7" x14ac:dyDescent="0.2">
      <c r="A76">
        <v>66</v>
      </c>
      <c r="B76" s="33">
        <f>IF(B75="","",IF(EOMONTH(B75,1)&lt;=EOMONTH(Front!$C$4,0),EOMONTH(B75,1),""))</f>
        <v>36341</v>
      </c>
      <c r="C76" s="14">
        <f>INDEX(MutualFunds!$C$6:$O$244,MATCH(FFWork!B76,MutualFunds!$B$6:$B$244,0),MATCH(Front!$C$2,MutualFunds!$C$4:$O$4,0))</f>
        <v>3.7961696306429524E-2</v>
      </c>
      <c r="D76" s="14">
        <f>INDEX(FamaFrench!$C$6:$F$244,MATCH(FFWork!$B76,FamaFrench!$B$6:$B$244,0),MATCH(FamaFrench!C$5,FFWork!$D$10:$F$10,0))</f>
        <v>4.7699999999999992E-2</v>
      </c>
      <c r="E76" s="14">
        <f>INDEX(FamaFrench!$C$6:$F$244,MATCH(FFWork!$B76,FamaFrench!$B$6:$B$244,0),MATCH(FamaFrench!D$5,FFWork!$D$10:$F$10,0))</f>
        <v>3.4500000000000003E-2</v>
      </c>
      <c r="F76" s="14">
        <f>INDEX(FamaFrench!$C$6:$F$244,MATCH(FFWork!$B76,FamaFrench!$B$6:$B$244,0),MATCH(FamaFrench!E$5,FFWork!$D$10:$G$10,0))</f>
        <v>-4.1900000000000007E-2</v>
      </c>
      <c r="G76" s="14">
        <f>INDEX(FamaFrench!$C$6:$F$244,MATCH(FFWork!$B76,FamaFrench!$B$6:$B$244,0),MATCH(FamaFrench!F$5,FFWork!$D$10:$G$10,0))</f>
        <v>4.9400000000000006E-2</v>
      </c>
    </row>
    <row r="77" spans="1:7" x14ac:dyDescent="0.2">
      <c r="A77">
        <v>67</v>
      </c>
      <c r="B77" s="33">
        <f>IF(B76="","",IF(EOMONTH(B76,1)&lt;=EOMONTH(Front!$C$4,0),EOMONTH(B76,1),""))</f>
        <v>36372</v>
      </c>
      <c r="C77" s="14">
        <f>INDEX(MutualFunds!$C$6:$O$244,MATCH(FFWork!B77,MutualFunds!$B$6:$B$244,0),MATCH(Front!$C$2,MutualFunds!$C$4:$O$4,0))</f>
        <v>-3.657331136738054E-2</v>
      </c>
      <c r="D77" s="14">
        <f>INDEX(FamaFrench!$C$6:$F$244,MATCH(FFWork!$B77,FamaFrench!$B$6:$B$244,0),MATCH(FamaFrench!C$5,FFWork!$D$10:$F$10,0))</f>
        <v>-3.4700000000000002E-2</v>
      </c>
      <c r="E77" s="14">
        <f>INDEX(FamaFrench!$C$6:$F$244,MATCH(FFWork!$B77,FamaFrench!$B$6:$B$244,0),MATCH(FamaFrench!D$5,FFWork!$D$10:$F$10,0))</f>
        <v>2.2499999999999999E-2</v>
      </c>
      <c r="F77" s="14">
        <f>INDEX(FamaFrench!$C$6:$F$244,MATCH(FFWork!$B77,FamaFrench!$B$6:$B$244,0),MATCH(FamaFrench!E$5,FFWork!$D$10:$G$10,0))</f>
        <v>5.1000000000000004E-3</v>
      </c>
      <c r="G77" s="14">
        <f>INDEX(FamaFrench!$C$6:$F$244,MATCH(FFWork!$B77,FamaFrench!$B$6:$B$244,0),MATCH(FamaFrench!F$5,FFWork!$D$10:$G$10,0))</f>
        <v>1.5900000000000001E-2</v>
      </c>
    </row>
    <row r="78" spans="1:7" x14ac:dyDescent="0.2">
      <c r="A78">
        <v>68</v>
      </c>
      <c r="B78" s="33">
        <f>IF(B77="","",IF(EOMONTH(B77,1)&lt;=EOMONTH(Front!$C$4,0),EOMONTH(B77,1),""))</f>
        <v>36403</v>
      </c>
      <c r="C78" s="14">
        <f>INDEX(MutualFunds!$C$6:$O$244,MATCH(FFWork!B78,MutualFunds!$B$6:$B$244,0),MATCH(Front!$C$2,MutualFunds!$C$4:$O$4,0))</f>
        <v>-5.5745554035567677E-2</v>
      </c>
      <c r="D78" s="14">
        <f>INDEX(FamaFrench!$C$6:$F$244,MATCH(FFWork!$B78,FamaFrench!$B$6:$B$244,0),MATCH(FamaFrench!C$5,FFWork!$D$10:$F$10,0))</f>
        <v>-1.38E-2</v>
      </c>
      <c r="E78" s="14">
        <f>INDEX(FamaFrench!$C$6:$F$244,MATCH(FFWork!$B78,FamaFrench!$B$6:$B$244,0),MATCH(FamaFrench!D$5,FFWork!$D$10:$F$10,0))</f>
        <v>-1.32E-2</v>
      </c>
      <c r="F78" s="14">
        <f>INDEX(FamaFrench!$C$6:$F$244,MATCH(FFWork!$B78,FamaFrench!$B$6:$B$244,0),MATCH(FamaFrench!E$5,FFWork!$D$10:$G$10,0))</f>
        <v>-9.4999999999999998E-3</v>
      </c>
      <c r="G78" s="14">
        <f>INDEX(FamaFrench!$C$6:$F$244,MATCH(FFWork!$B78,FamaFrench!$B$6:$B$244,0),MATCH(FamaFrench!F$5,FFWork!$D$10:$G$10,0))</f>
        <v>3.0099999999999998E-2</v>
      </c>
    </row>
    <row r="79" spans="1:7" x14ac:dyDescent="0.2">
      <c r="A79">
        <v>69</v>
      </c>
      <c r="B79" s="33">
        <f>IF(B78="","",IF(EOMONTH(B78,1)&lt;=EOMONTH(Front!$C$4,0),EOMONTH(B78,1),""))</f>
        <v>36433</v>
      </c>
      <c r="C79" s="14">
        <f>INDEX(MutualFunds!$C$6:$O$244,MATCH(FFWork!B79,MutualFunds!$B$6:$B$244,0),MATCH(Front!$C$2,MutualFunds!$C$4:$O$4,0))</f>
        <v>-6.1934081854400601E-2</v>
      </c>
      <c r="D79" s="14">
        <f>INDEX(FamaFrench!$C$6:$F$244,MATCH(FFWork!$B79,FamaFrench!$B$6:$B$244,0),MATCH(FamaFrench!C$5,FFWork!$D$10:$F$10,0))</f>
        <v>-2.81E-2</v>
      </c>
      <c r="E79" s="14">
        <f>INDEX(FamaFrench!$C$6:$F$244,MATCH(FFWork!$B79,FamaFrench!$B$6:$B$244,0),MATCH(FamaFrench!D$5,FFWork!$D$10:$F$10,0))</f>
        <v>3.1600000000000003E-2</v>
      </c>
      <c r="F79" s="14">
        <f>INDEX(FamaFrench!$C$6:$F$244,MATCH(FFWork!$B79,FamaFrench!$B$6:$B$244,0),MATCH(FamaFrench!E$5,FFWork!$D$10:$G$10,0))</f>
        <v>-2.98E-2</v>
      </c>
      <c r="G79" s="14">
        <f>INDEX(FamaFrench!$C$6:$F$244,MATCH(FFWork!$B79,FamaFrench!$B$6:$B$244,0),MATCH(FamaFrench!F$5,FFWork!$D$10:$G$10,0))</f>
        <v>6.4899999999999999E-2</v>
      </c>
    </row>
    <row r="80" spans="1:7" x14ac:dyDescent="0.2">
      <c r="A80">
        <v>70</v>
      </c>
      <c r="B80" s="33">
        <f>IF(B79="","",IF(EOMONTH(B79,1)&lt;=EOMONTH(Front!$C$4,0),EOMONTH(B79,1),""))</f>
        <v>36464</v>
      </c>
      <c r="C80" s="14">
        <f>INDEX(MutualFunds!$C$6:$O$244,MATCH(FFWork!B80,MutualFunds!$B$6:$B$244,0),MATCH(Front!$C$2,MutualFunds!$C$4:$O$4,0))</f>
        <v>1.5830115830115836E-2</v>
      </c>
      <c r="D80" s="14">
        <f>INDEX(FamaFrench!$C$6:$F$244,MATCH(FFWork!$B80,FamaFrench!$B$6:$B$244,0),MATCH(FamaFrench!C$5,FFWork!$D$10:$F$10,0))</f>
        <v>6.13E-2</v>
      </c>
      <c r="E80" s="14">
        <f>INDEX(FamaFrench!$C$6:$F$244,MATCH(FFWork!$B80,FamaFrench!$B$6:$B$244,0),MATCH(FamaFrench!D$5,FFWork!$D$10:$F$10,0))</f>
        <v>-6.7799999999999999E-2</v>
      </c>
      <c r="F80" s="14">
        <f>INDEX(FamaFrench!$C$6:$F$244,MATCH(FFWork!$B80,FamaFrench!$B$6:$B$244,0),MATCH(FamaFrench!E$5,FFWork!$D$10:$G$10,0))</f>
        <v>-3.2400000000000005E-2</v>
      </c>
      <c r="G80" s="14">
        <f>INDEX(FamaFrench!$C$6:$F$244,MATCH(FFWork!$B80,FamaFrench!$B$6:$B$244,0),MATCH(FamaFrench!F$5,FFWork!$D$10:$G$10,0))</f>
        <v>5.4699999999999999E-2</v>
      </c>
    </row>
    <row r="81" spans="1:7" x14ac:dyDescent="0.2">
      <c r="A81">
        <v>71</v>
      </c>
      <c r="B81" s="33">
        <f>IF(B80="","",IF(EOMONTH(B80,1)&lt;=EOMONTH(Front!$C$4,0),EOMONTH(B80,1),""))</f>
        <v>36494</v>
      </c>
      <c r="C81" s="14">
        <f>INDEX(MutualFunds!$C$6:$O$244,MATCH(FFWork!B81,MutualFunds!$B$6:$B$244,0),MATCH(Front!$C$2,MutualFunds!$C$4:$O$4,0))</f>
        <v>-2.4705435195743142E-2</v>
      </c>
      <c r="D81" s="14">
        <f>INDEX(FamaFrench!$C$6:$F$244,MATCH(FFWork!$B81,FamaFrench!$B$6:$B$244,0),MATCH(FamaFrench!C$5,FFWork!$D$10:$F$10,0))</f>
        <v>3.3700000000000001E-2</v>
      </c>
      <c r="E81" s="14">
        <f>INDEX(FamaFrench!$C$6:$F$244,MATCH(FFWork!$B81,FamaFrench!$B$6:$B$244,0),MATCH(FamaFrench!D$5,FFWork!$D$10:$F$10,0))</f>
        <v>7.7800000000000008E-2</v>
      </c>
      <c r="F81" s="14">
        <f>INDEX(FamaFrench!$C$6:$F$244,MATCH(FFWork!$B81,FamaFrench!$B$6:$B$244,0),MATCH(FamaFrench!E$5,FFWork!$D$10:$G$10,0))</f>
        <v>-8.0199999999999994E-2</v>
      </c>
      <c r="G81" s="14">
        <f>INDEX(FamaFrench!$C$6:$F$244,MATCH(FFWork!$B81,FamaFrench!$B$6:$B$244,0),MATCH(FamaFrench!F$5,FFWork!$D$10:$G$10,0))</f>
        <v>5.6600000000000004E-2</v>
      </c>
    </row>
    <row r="82" spans="1:7" x14ac:dyDescent="0.2">
      <c r="A82">
        <v>72</v>
      </c>
      <c r="B82" s="33">
        <f>IF(B81="","",IF(EOMONTH(B81,1)&lt;=EOMONTH(Front!$C$4,0),EOMONTH(B81,1),""))</f>
        <v>36525</v>
      </c>
      <c r="C82" s="14">
        <f>INDEX(MutualFunds!$C$6:$O$244,MATCH(FFWork!B82,MutualFunds!$B$6:$B$244,0),MATCH(Front!$C$2,MutualFunds!$C$4:$O$4,0))</f>
        <v>-8.3008573655494897E-2</v>
      </c>
      <c r="D82" s="14">
        <f>INDEX(FamaFrench!$C$6:$F$244,MATCH(FFWork!$B82,FamaFrench!$B$6:$B$244,0),MATCH(FamaFrench!C$5,FFWork!$D$10:$F$10,0))</f>
        <v>7.7199999999999991E-2</v>
      </c>
      <c r="E82" s="14">
        <f>INDEX(FamaFrench!$C$6:$F$244,MATCH(FFWork!$B82,FamaFrench!$B$6:$B$244,0),MATCH(FamaFrench!D$5,FFWork!$D$10:$F$10,0))</f>
        <v>7.0099999999999996E-2</v>
      </c>
      <c r="F82" s="14">
        <f>INDEX(FamaFrench!$C$6:$F$244,MATCH(FFWork!$B82,FamaFrench!$B$6:$B$244,0),MATCH(FamaFrench!E$5,FFWork!$D$10:$G$10,0))</f>
        <v>-9.1999999999999998E-2</v>
      </c>
      <c r="G82" s="14">
        <f>INDEX(FamaFrench!$C$6:$F$244,MATCH(FFWork!$B82,FamaFrench!$B$6:$B$244,0),MATCH(FamaFrench!F$5,FFWork!$D$10:$G$10,0))</f>
        <v>0.13200000000000001</v>
      </c>
    </row>
    <row r="83" spans="1:7" x14ac:dyDescent="0.2">
      <c r="A83">
        <v>73</v>
      </c>
      <c r="B83" s="33">
        <f>IF(B82="","",IF(EOMONTH(B82,1)&lt;=EOMONTH(Front!$C$4,0),EOMONTH(B82,1),""))</f>
        <v>36556</v>
      </c>
      <c r="C83" s="14">
        <f>INDEX(MutualFunds!$C$6:$O$244,MATCH(FFWork!B83,MutualFunds!$B$6:$B$244,0),MATCH(Front!$C$2,MutualFunds!$C$4:$O$4,0))</f>
        <v>-5.7373565660858536E-2</v>
      </c>
      <c r="D83" s="14">
        <f>INDEX(FamaFrench!$C$6:$F$244,MATCH(FFWork!$B83,FamaFrench!$B$6:$B$244,0),MATCH(FamaFrench!C$5,FFWork!$D$10:$F$10,0))</f>
        <v>-4.7400000000000005E-2</v>
      </c>
      <c r="E83" s="14">
        <f>INDEX(FamaFrench!$C$6:$F$244,MATCH(FFWork!$B83,FamaFrench!$B$6:$B$244,0),MATCH(FamaFrench!D$5,FFWork!$D$10:$F$10,0))</f>
        <v>4.3700000000000003E-2</v>
      </c>
      <c r="F83" s="14">
        <f>INDEX(FamaFrench!$C$6:$F$244,MATCH(FFWork!$B83,FamaFrench!$B$6:$B$244,0),MATCH(FamaFrench!E$5,FFWork!$D$10:$G$10,0))</f>
        <v>2.3999999999999998E-3</v>
      </c>
      <c r="G83" s="14">
        <f>INDEX(FamaFrench!$C$6:$F$244,MATCH(FFWork!$B83,FamaFrench!$B$6:$B$244,0),MATCH(FamaFrench!F$5,FFWork!$D$10:$G$10,0))</f>
        <v>1.9E-2</v>
      </c>
    </row>
    <row r="84" spans="1:7" x14ac:dyDescent="0.2">
      <c r="A84">
        <v>74</v>
      </c>
      <c r="B84" s="33">
        <f>IF(B83="","",IF(EOMONTH(B83,1)&lt;=EOMONTH(Front!$C$4,0),EOMONTH(B83,1),""))</f>
        <v>36585</v>
      </c>
      <c r="C84" s="14">
        <f>INDEX(MutualFunds!$C$6:$O$244,MATCH(FFWork!B84,MutualFunds!$B$6:$B$244,0),MATCH(Front!$C$2,MutualFunds!$C$4:$O$4,0))</f>
        <v>-6.8981064021641003E-2</v>
      </c>
      <c r="D84" s="14">
        <f>INDEX(FamaFrench!$C$6:$F$244,MATCH(FFWork!$B84,FamaFrench!$B$6:$B$244,0),MATCH(FamaFrench!C$5,FFWork!$D$10:$F$10,0))</f>
        <v>2.4500000000000001E-2</v>
      </c>
      <c r="E84" s="14">
        <f>INDEX(FamaFrench!$C$6:$F$244,MATCH(FFWork!$B84,FamaFrench!$B$6:$B$244,0),MATCH(FamaFrench!D$5,FFWork!$D$10:$F$10,0))</f>
        <v>-0.22020000000000001</v>
      </c>
      <c r="F84" s="14">
        <f>INDEX(FamaFrench!$C$6:$F$244,MATCH(FFWork!$B84,FamaFrench!$B$6:$B$244,0),MATCH(FamaFrench!E$5,FFWork!$D$10:$G$10,0))</f>
        <v>0.1268</v>
      </c>
      <c r="G84" s="14">
        <f>INDEX(FamaFrench!$C$6:$F$244,MATCH(FFWork!$B84,FamaFrench!$B$6:$B$244,0),MATCH(FamaFrench!F$5,FFWork!$D$10:$G$10,0))</f>
        <v>0.18390000000000001</v>
      </c>
    </row>
    <row r="85" spans="1:7" x14ac:dyDescent="0.2">
      <c r="A85">
        <v>75</v>
      </c>
      <c r="B85" s="33">
        <f>IF(B84="","",IF(EOMONTH(B84,1)&lt;=EOMONTH(Front!$C$4,0),EOMONTH(B84,1),""))</f>
        <v>36616</v>
      </c>
      <c r="C85" s="14">
        <f>INDEX(MutualFunds!$C$6:$O$244,MATCH(FFWork!B85,MutualFunds!$B$6:$B$244,0),MATCH(Front!$C$2,MutualFunds!$C$4:$O$4,0))</f>
        <v>0.12929782082324445</v>
      </c>
      <c r="D85" s="14">
        <f>INDEX(FamaFrench!$C$6:$F$244,MATCH(FFWork!$B85,FamaFrench!$B$6:$B$244,0),MATCH(FamaFrench!C$5,FFWork!$D$10:$F$10,0))</f>
        <v>-5.21E-2</v>
      </c>
      <c r="E85" s="14">
        <f>INDEX(FamaFrench!$C$6:$F$244,MATCH(FFWork!$B85,FamaFrench!$B$6:$B$244,0),MATCH(FamaFrench!D$5,FFWork!$D$10:$F$10,0))</f>
        <v>0.16390000000000002</v>
      </c>
      <c r="F85" s="14">
        <f>INDEX(FamaFrench!$C$6:$F$244,MATCH(FFWork!$B85,FamaFrench!$B$6:$B$244,0),MATCH(FamaFrench!E$5,FFWork!$D$10:$G$10,0))</f>
        <v>7.6700000000000004E-2</v>
      </c>
      <c r="G85" s="14">
        <f>INDEX(FamaFrench!$C$6:$F$244,MATCH(FFWork!$B85,FamaFrench!$B$6:$B$244,0),MATCH(FamaFrench!F$5,FFWork!$D$10:$G$10,0))</f>
        <v>-6.8499999999999991E-2</v>
      </c>
    </row>
    <row r="86" spans="1:7" x14ac:dyDescent="0.2">
      <c r="A86">
        <v>76</v>
      </c>
      <c r="B86" s="33">
        <f>IF(B85="","",IF(EOMONTH(B85,1)&lt;=EOMONTH(Front!$C$4,0),EOMONTH(B85,1),""))</f>
        <v>36646</v>
      </c>
      <c r="C86" s="14">
        <f>INDEX(MutualFunds!$C$6:$O$244,MATCH(FFWork!B86,MutualFunds!$B$6:$B$244,0),MATCH(Front!$C$2,MutualFunds!$C$4:$O$4,0))</f>
        <v>-1.7152658662092258E-3</v>
      </c>
      <c r="D86" s="14">
        <f>INDEX(FamaFrench!$C$6:$F$244,MATCH(FFWork!$B86,FamaFrench!$B$6:$B$244,0),MATCH(FamaFrench!C$5,FFWork!$D$10:$F$10,0))</f>
        <v>-6.4000000000000001E-2</v>
      </c>
      <c r="E86" s="14">
        <f>INDEX(FamaFrench!$C$6:$F$244,MATCH(FFWork!$B86,FamaFrench!$B$6:$B$244,0),MATCH(FamaFrench!D$5,FFWork!$D$10:$F$10,0))</f>
        <v>-7.7300000000000008E-2</v>
      </c>
      <c r="F86" s="14">
        <f>INDEX(FamaFrench!$C$6:$F$244,MATCH(FFWork!$B86,FamaFrench!$B$6:$B$244,0),MATCH(FamaFrench!E$5,FFWork!$D$10:$G$10,0))</f>
        <v>9.1300000000000006E-2</v>
      </c>
      <c r="G86" s="14">
        <f>INDEX(FamaFrench!$C$6:$F$244,MATCH(FFWork!$B86,FamaFrench!$B$6:$B$244,0),MATCH(FamaFrench!F$5,FFWork!$D$10:$G$10,0))</f>
        <v>-8.4600000000000009E-2</v>
      </c>
    </row>
    <row r="87" spans="1:7" x14ac:dyDescent="0.2">
      <c r="A87">
        <v>77</v>
      </c>
      <c r="B87" s="33">
        <f>IF(B86="","",IF(EOMONTH(B86,1)&lt;=EOMONTH(Front!$C$4,0),EOMONTH(B86,1),""))</f>
        <v>36677</v>
      </c>
      <c r="C87" s="14">
        <f>INDEX(MutualFunds!$C$6:$O$244,MATCH(FFWork!B87,MutualFunds!$B$6:$B$244,0),MATCH(Front!$C$2,MutualFunds!$C$4:$O$4,0))</f>
        <v>3.0927835051546341E-2</v>
      </c>
      <c r="D87" s="14">
        <f>INDEX(FamaFrench!$C$6:$F$244,MATCH(FFWork!$B87,FamaFrench!$B$6:$B$244,0),MATCH(FamaFrench!C$5,FFWork!$D$10:$F$10,0))</f>
        <v>-4.4299999999999999E-2</v>
      </c>
      <c r="E87" s="14">
        <f>INDEX(FamaFrench!$C$6:$F$244,MATCH(FFWork!$B87,FamaFrench!$B$6:$B$244,0),MATCH(FamaFrench!D$5,FFWork!$D$10:$F$10,0))</f>
        <v>-4.8499999999999995E-2</v>
      </c>
      <c r="F87" s="14">
        <f>INDEX(FamaFrench!$C$6:$F$244,MATCH(FFWork!$B87,FamaFrench!$B$6:$B$244,0),MATCH(FamaFrench!E$5,FFWork!$D$10:$G$10,0))</f>
        <v>3.7200000000000004E-2</v>
      </c>
      <c r="G87" s="14">
        <f>INDEX(FamaFrench!$C$6:$F$244,MATCH(FFWork!$B87,FamaFrench!$B$6:$B$244,0),MATCH(FamaFrench!F$5,FFWork!$D$10:$G$10,0))</f>
        <v>-9.0899999999999995E-2</v>
      </c>
    </row>
    <row r="88" spans="1:7" x14ac:dyDescent="0.2">
      <c r="A88">
        <v>78</v>
      </c>
      <c r="B88" s="33">
        <f>IF(B87="","",IF(EOMONTH(B87,1)&lt;=EOMONTH(Front!$C$4,0),EOMONTH(B87,1),""))</f>
        <v>36707</v>
      </c>
      <c r="C88" s="14">
        <f>INDEX(MutualFunds!$C$6:$O$244,MATCH(FFWork!B88,MutualFunds!$B$6:$B$244,0),MATCH(Front!$C$2,MutualFunds!$C$4:$O$4,0))</f>
        <v>-7.8333333333333297E-2</v>
      </c>
      <c r="D88" s="14">
        <f>INDEX(FamaFrench!$C$6:$F$244,MATCH(FFWork!$B88,FamaFrench!$B$6:$B$244,0),MATCH(FamaFrench!C$5,FFWork!$D$10:$F$10,0))</f>
        <v>4.6399999999999997E-2</v>
      </c>
      <c r="E88" s="14">
        <f>INDEX(FamaFrench!$C$6:$F$244,MATCH(FFWork!$B88,FamaFrench!$B$6:$B$244,0),MATCH(FamaFrench!D$5,FFWork!$D$10:$F$10,0))</f>
        <v>-0.13699999999999998</v>
      </c>
      <c r="F88" s="14">
        <f>INDEX(FamaFrench!$C$6:$F$244,MATCH(FFWork!$B88,FamaFrench!$B$6:$B$244,0),MATCH(FamaFrench!E$5,FFWork!$D$10:$G$10,0))</f>
        <v>0.10050000000000001</v>
      </c>
      <c r="G88" s="14">
        <f>INDEX(FamaFrench!$C$6:$F$244,MATCH(FFWork!$B88,FamaFrench!$B$6:$B$244,0),MATCH(FamaFrench!F$5,FFWork!$D$10:$G$10,0))</f>
        <v>0.1653</v>
      </c>
    </row>
    <row r="89" spans="1:7" x14ac:dyDescent="0.2">
      <c r="A89">
        <v>79</v>
      </c>
      <c r="B89" s="33">
        <f>IF(B88="","",IF(EOMONTH(B88,1)&lt;=EOMONTH(Front!$C$4,0),EOMONTH(B88,1),""))</f>
        <v>36738</v>
      </c>
      <c r="C89" s="14">
        <f>INDEX(MutualFunds!$C$6:$O$244,MATCH(FFWork!B89,MutualFunds!$B$6:$B$244,0),MATCH(Front!$C$2,MutualFunds!$C$4:$O$4,0))</f>
        <v>1.4466546112115744E-2</v>
      </c>
      <c r="D89" s="14">
        <f>INDEX(FamaFrench!$C$6:$F$244,MATCH(FFWork!$B89,FamaFrench!$B$6:$B$244,0),MATCH(FamaFrench!C$5,FFWork!$D$10:$F$10,0))</f>
        <v>-2.4500000000000001E-2</v>
      </c>
      <c r="E89" s="14">
        <f>INDEX(FamaFrench!$C$6:$F$244,MATCH(FFWork!$B89,FamaFrench!$B$6:$B$244,0),MATCH(FamaFrench!D$5,FFWork!$D$10:$F$10,0))</f>
        <v>-2.81E-2</v>
      </c>
      <c r="F89" s="14">
        <f>INDEX(FamaFrench!$C$6:$F$244,MATCH(FFWork!$B89,FamaFrench!$B$6:$B$244,0),MATCH(FamaFrench!E$5,FFWork!$D$10:$G$10,0))</f>
        <v>8.5099999999999995E-2</v>
      </c>
      <c r="G89" s="14">
        <f>INDEX(FamaFrench!$C$6:$F$244,MATCH(FFWork!$B89,FamaFrench!$B$6:$B$244,0),MATCH(FamaFrench!F$5,FFWork!$D$10:$G$10,0))</f>
        <v>-7.000000000000001E-4</v>
      </c>
    </row>
    <row r="90" spans="1:7" x14ac:dyDescent="0.2">
      <c r="A90">
        <v>80</v>
      </c>
      <c r="B90" s="33">
        <f>IF(B89="","",IF(EOMONTH(B89,1)&lt;=EOMONTH(Front!$C$4,0),EOMONTH(B89,1),""))</f>
        <v>36769</v>
      </c>
      <c r="C90" s="14">
        <f>INDEX(MutualFunds!$C$6:$O$244,MATCH(FFWork!B90,MutualFunds!$B$6:$B$244,0),MATCH(Front!$C$2,MutualFunds!$C$4:$O$4,0))</f>
        <v>5.6595365418894809E-2</v>
      </c>
      <c r="D90" s="14">
        <f>INDEX(FamaFrench!$C$6:$F$244,MATCH(FFWork!$B90,FamaFrench!$B$6:$B$244,0),MATCH(FamaFrench!C$5,FFWork!$D$10:$F$10,0))</f>
        <v>7.1300000000000002E-2</v>
      </c>
      <c r="E90" s="14">
        <f>INDEX(FamaFrench!$C$6:$F$244,MATCH(FFWork!$B90,FamaFrench!$B$6:$B$244,0),MATCH(FamaFrench!D$5,FFWork!$D$10:$F$10,0))</f>
        <v>-8.8999999999999999E-3</v>
      </c>
      <c r="F90" s="14">
        <f>INDEX(FamaFrench!$C$6:$F$244,MATCH(FFWork!$B90,FamaFrench!$B$6:$B$244,0),MATCH(FamaFrench!E$5,FFWork!$D$10:$G$10,0))</f>
        <v>-1.2800000000000001E-2</v>
      </c>
      <c r="G90" s="14">
        <f>INDEX(FamaFrench!$C$6:$F$244,MATCH(FFWork!$B90,FamaFrench!$B$6:$B$244,0),MATCH(FamaFrench!F$5,FFWork!$D$10:$G$10,0))</f>
        <v>5.7699999999999994E-2</v>
      </c>
    </row>
    <row r="91" spans="1:7" x14ac:dyDescent="0.2">
      <c r="A91">
        <v>81</v>
      </c>
      <c r="B91" s="33">
        <f>IF(B90="","",IF(EOMONTH(B90,1)&lt;=EOMONTH(Front!$C$4,0),EOMONTH(B90,1),""))</f>
        <v>36799</v>
      </c>
      <c r="C91" s="14">
        <f>INDEX(MutualFunds!$C$6:$O$244,MATCH(FFWork!B91,MutualFunds!$B$6:$B$244,0),MATCH(Front!$C$2,MutualFunds!$C$4:$O$4,0))</f>
        <v>-1.2652889076339126E-2</v>
      </c>
      <c r="D91" s="14">
        <f>INDEX(FamaFrench!$C$6:$F$244,MATCH(FFWork!$B91,FamaFrench!$B$6:$B$244,0),MATCH(FamaFrench!C$5,FFWork!$D$10:$F$10,0))</f>
        <v>-5.4400000000000004E-2</v>
      </c>
      <c r="E91" s="14">
        <f>INDEX(FamaFrench!$C$6:$F$244,MATCH(FFWork!$B91,FamaFrench!$B$6:$B$244,0),MATCH(FamaFrench!D$5,FFWork!$D$10:$F$10,0))</f>
        <v>-1.8700000000000001E-2</v>
      </c>
      <c r="F91" s="14">
        <f>INDEX(FamaFrench!$C$6:$F$244,MATCH(FFWork!$B91,FamaFrench!$B$6:$B$244,0),MATCH(FamaFrench!E$5,FFWork!$D$10:$G$10,0))</f>
        <v>6.8499999999999991E-2</v>
      </c>
      <c r="G91" s="14">
        <f>INDEX(FamaFrench!$C$6:$F$244,MATCH(FFWork!$B91,FamaFrench!$B$6:$B$244,0),MATCH(FamaFrench!F$5,FFWork!$D$10:$G$10,0))</f>
        <v>2.2200000000000001E-2</v>
      </c>
    </row>
    <row r="92" spans="1:7" x14ac:dyDescent="0.2">
      <c r="A92">
        <v>82</v>
      </c>
      <c r="B92" s="33">
        <f>IF(B91="","",IF(EOMONTH(B91,1)&lt;=EOMONTH(Front!$C$4,0),EOMONTH(B91,1),""))</f>
        <v>36830</v>
      </c>
      <c r="C92" s="14">
        <f>INDEX(MutualFunds!$C$6:$O$244,MATCH(FFWork!B92,MutualFunds!$B$6:$B$244,0),MATCH(Front!$C$2,MutualFunds!$C$4:$O$4,0))</f>
        <v>1.2815036309269574E-2</v>
      </c>
      <c r="D92" s="14">
        <f>INDEX(FamaFrench!$C$6:$F$244,MATCH(FFWork!$B92,FamaFrench!$B$6:$B$244,0),MATCH(FamaFrench!C$5,FFWork!$D$10:$F$10,0))</f>
        <v>-2.7699999999999999E-2</v>
      </c>
      <c r="E92" s="14">
        <f>INDEX(FamaFrench!$C$6:$F$244,MATCH(FFWork!$B92,FamaFrench!$B$6:$B$244,0),MATCH(FamaFrench!D$5,FFWork!$D$10:$F$10,0))</f>
        <v>-3.6600000000000001E-2</v>
      </c>
      <c r="F92" s="14">
        <f>INDEX(FamaFrench!$C$6:$F$244,MATCH(FFWork!$B92,FamaFrench!$B$6:$B$244,0),MATCH(FamaFrench!E$5,FFWork!$D$10:$G$10,0))</f>
        <v>4.7899999999999998E-2</v>
      </c>
      <c r="G92" s="14">
        <f>INDEX(FamaFrench!$C$6:$F$244,MATCH(FFWork!$B92,FamaFrench!$B$6:$B$244,0),MATCH(FamaFrench!F$5,FFWork!$D$10:$G$10,0))</f>
        <v>-4.6799999999999994E-2</v>
      </c>
    </row>
    <row r="93" spans="1:7" x14ac:dyDescent="0.2">
      <c r="A93">
        <v>83</v>
      </c>
      <c r="B93" s="33">
        <f>IF(B92="","",IF(EOMONTH(B92,1)&lt;=EOMONTH(Front!$C$4,0),EOMONTH(B92,1),""))</f>
        <v>36860</v>
      </c>
      <c r="C93" s="14">
        <f>INDEX(MutualFunds!$C$6:$O$244,MATCH(FFWork!B93,MutualFunds!$B$6:$B$244,0),MATCH(Front!$C$2,MutualFunds!$C$4:$O$4,0))</f>
        <v>-1.1387600168705169E-2</v>
      </c>
      <c r="D93" s="14">
        <f>INDEX(FamaFrench!$C$6:$F$244,MATCH(FFWork!$B93,FamaFrench!$B$6:$B$244,0),MATCH(FamaFrench!C$5,FFWork!$D$10:$F$10,0))</f>
        <v>-0.10730000000000001</v>
      </c>
      <c r="E93" s="14">
        <f>INDEX(FamaFrench!$C$6:$F$244,MATCH(FFWork!$B93,FamaFrench!$B$6:$B$244,0),MATCH(FamaFrench!D$5,FFWork!$D$10:$F$10,0))</f>
        <v>-3.1E-2</v>
      </c>
      <c r="F93" s="14">
        <f>INDEX(FamaFrench!$C$6:$F$244,MATCH(FFWork!$B93,FamaFrench!$B$6:$B$244,0),MATCH(FamaFrench!E$5,FFWork!$D$10:$G$10,0))</f>
        <v>0.1242</v>
      </c>
      <c r="G93" s="14">
        <f>INDEX(FamaFrench!$C$6:$F$244,MATCH(FFWork!$B93,FamaFrench!$B$6:$B$244,0),MATCH(FamaFrench!F$5,FFWork!$D$10:$G$10,0))</f>
        <v>-2.5000000000000001E-2</v>
      </c>
    </row>
    <row r="94" spans="1:7" x14ac:dyDescent="0.2">
      <c r="A94">
        <v>84</v>
      </c>
      <c r="B94" s="33">
        <f>IF(B93="","",IF(EOMONTH(B93,1)&lt;=EOMONTH(Front!$C$4,0),EOMONTH(B93,1),""))</f>
        <v>36891</v>
      </c>
      <c r="C94" s="14">
        <f>INDEX(MutualFunds!$C$6:$O$244,MATCH(FFWork!B94,MutualFunds!$B$6:$B$244,0),MATCH(Front!$C$2,MutualFunds!$C$4:$O$4,0))</f>
        <v>8.2764505119453977E-2</v>
      </c>
      <c r="D94" s="14">
        <f>INDEX(FamaFrench!$C$6:$F$244,MATCH(FFWork!$B94,FamaFrench!$B$6:$B$244,0),MATCH(FamaFrench!C$5,FFWork!$D$10:$F$10,0))</f>
        <v>1.1899999999999999E-2</v>
      </c>
      <c r="E94" s="14">
        <f>INDEX(FamaFrench!$C$6:$F$244,MATCH(FFWork!$B94,FamaFrench!$B$6:$B$244,0),MATCH(FamaFrench!D$5,FFWork!$D$10:$F$10,0))</f>
        <v>1.55E-2</v>
      </c>
      <c r="F94" s="14">
        <f>INDEX(FamaFrench!$C$6:$F$244,MATCH(FFWork!$B94,FamaFrench!$B$6:$B$244,0),MATCH(FamaFrench!E$5,FFWork!$D$10:$G$10,0))</f>
        <v>6.13E-2</v>
      </c>
      <c r="G94" s="14">
        <f>INDEX(FamaFrench!$C$6:$F$244,MATCH(FFWork!$B94,FamaFrench!$B$6:$B$244,0),MATCH(FamaFrench!F$5,FFWork!$D$10:$G$10,0))</f>
        <v>6.8099999999999994E-2</v>
      </c>
    </row>
    <row r="95" spans="1:7" x14ac:dyDescent="0.2">
      <c r="A95">
        <v>85</v>
      </c>
      <c r="B95" s="33">
        <f>IF(B94="","",IF(EOMONTH(B94,1)&lt;=EOMONTH(Front!$C$4,0),EOMONTH(B94,1),""))</f>
        <v>36922</v>
      </c>
      <c r="C95" s="14">
        <f>INDEX(MutualFunds!$C$6:$O$244,MATCH(FFWork!B95,MutualFunds!$B$6:$B$244,0),MATCH(Front!$C$2,MutualFunds!$C$4:$O$4,0))</f>
        <v>7.0921985815602714E-3</v>
      </c>
      <c r="D95" s="14">
        <f>INDEX(FamaFrench!$C$6:$F$244,MATCH(FFWork!$B95,FamaFrench!$B$6:$B$244,0),MATCH(FamaFrench!C$5,FFWork!$D$10:$F$10,0))</f>
        <v>3.1200000000000002E-2</v>
      </c>
      <c r="E95" s="14">
        <f>INDEX(FamaFrench!$C$6:$F$244,MATCH(FFWork!$B95,FamaFrench!$B$6:$B$244,0),MATCH(FamaFrench!D$5,FFWork!$D$10:$F$10,0))</f>
        <v>7.0300000000000001E-2</v>
      </c>
      <c r="F95" s="14">
        <f>INDEX(FamaFrench!$C$6:$F$244,MATCH(FFWork!$B95,FamaFrench!$B$6:$B$244,0),MATCH(FamaFrench!E$5,FFWork!$D$10:$G$10,0))</f>
        <v>-5.7000000000000002E-2</v>
      </c>
      <c r="G95" s="14">
        <f>INDEX(FamaFrench!$C$6:$F$244,MATCH(FFWork!$B95,FamaFrench!$B$6:$B$244,0),MATCH(FamaFrench!F$5,FFWork!$D$10:$G$10,0))</f>
        <v>-0.24969999999999998</v>
      </c>
    </row>
    <row r="96" spans="1:7" x14ac:dyDescent="0.2">
      <c r="A96">
        <v>86</v>
      </c>
      <c r="B96" s="33">
        <f>IF(B95="","",IF(EOMONTH(B95,1)&lt;=EOMONTH(Front!$C$4,0),EOMONTH(B95,1),""))</f>
        <v>36950</v>
      </c>
      <c r="C96" s="14">
        <f>INDEX(MutualFunds!$C$6:$O$244,MATCH(FFWork!B96,MutualFunds!$B$6:$B$244,0),MATCH(Front!$C$2,MutualFunds!$C$4:$O$4,0))</f>
        <v>6.6510172143974229E-3</v>
      </c>
      <c r="D96" s="14">
        <f>INDEX(FamaFrench!$C$6:$F$244,MATCH(FFWork!$B96,FamaFrench!$B$6:$B$244,0),MATCH(FamaFrench!C$5,FFWork!$D$10:$F$10,0))</f>
        <v>-0.1007</v>
      </c>
      <c r="E96" s="14">
        <f>INDEX(FamaFrench!$C$6:$F$244,MATCH(FFWork!$B96,FamaFrench!$B$6:$B$244,0),MATCH(FamaFrench!D$5,FFWork!$D$10:$F$10,0))</f>
        <v>-1.15E-2</v>
      </c>
      <c r="F96" s="14">
        <f>INDEX(FamaFrench!$C$6:$F$244,MATCH(FFWork!$B96,FamaFrench!$B$6:$B$244,0),MATCH(FamaFrench!E$5,FFWork!$D$10:$G$10,0))</f>
        <v>0.13869999999999999</v>
      </c>
      <c r="G96" s="14">
        <f>INDEX(FamaFrench!$C$6:$F$244,MATCH(FFWork!$B96,FamaFrench!$B$6:$B$244,0),MATCH(FamaFrench!F$5,FFWork!$D$10:$G$10,0))</f>
        <v>0.12590000000000001</v>
      </c>
    </row>
    <row r="97" spans="1:7" x14ac:dyDescent="0.2">
      <c r="A97">
        <v>87</v>
      </c>
      <c r="B97" s="33">
        <f>IF(B96="","",IF(EOMONTH(B96,1)&lt;=EOMONTH(Front!$C$4,0),EOMONTH(B96,1),""))</f>
        <v>36981</v>
      </c>
      <c r="C97" s="14">
        <f>INDEX(MutualFunds!$C$6:$O$244,MATCH(FFWork!B97,MutualFunds!$B$6:$B$244,0),MATCH(Front!$C$2,MutualFunds!$C$4:$O$4,0))</f>
        <v>-2.6428293820443052E-2</v>
      </c>
      <c r="D97" s="14">
        <f>INDEX(FamaFrench!$C$6:$F$244,MATCH(FFWork!$B97,FamaFrench!$B$6:$B$244,0),MATCH(FamaFrench!C$5,FFWork!$D$10:$F$10,0))</f>
        <v>-7.2499999999999995E-2</v>
      </c>
      <c r="E97" s="14">
        <f>INDEX(FamaFrench!$C$6:$F$244,MATCH(FFWork!$B97,FamaFrench!$B$6:$B$244,0),MATCH(FamaFrench!D$5,FFWork!$D$10:$F$10,0))</f>
        <v>5.5000000000000005E-3</v>
      </c>
      <c r="F97" s="14">
        <f>INDEX(FamaFrench!$C$6:$F$244,MATCH(FFWork!$B97,FamaFrench!$B$6:$B$244,0),MATCH(FamaFrench!E$5,FFWork!$D$10:$G$10,0))</f>
        <v>6.3600000000000004E-2</v>
      </c>
      <c r="G97" s="14">
        <f>INDEX(FamaFrench!$C$6:$F$244,MATCH(FFWork!$B97,FamaFrench!$B$6:$B$244,0),MATCH(FamaFrench!F$5,FFWork!$D$10:$G$10,0))</f>
        <v>8.3800000000000013E-2</v>
      </c>
    </row>
    <row r="98" spans="1:7" x14ac:dyDescent="0.2">
      <c r="A98">
        <v>88</v>
      </c>
      <c r="B98" s="33">
        <f>IF(B97="","",IF(EOMONTH(B97,1)&lt;=EOMONTH(Front!$C$4,0),EOMONTH(B97,1),""))</f>
        <v>37011</v>
      </c>
      <c r="C98" s="14">
        <f>INDEX(MutualFunds!$C$6:$O$244,MATCH(FFWork!B98,MutualFunds!$B$6:$B$244,0),MATCH(Front!$C$2,MutualFunds!$C$4:$O$4,0))</f>
        <v>5.9081836327345323E-2</v>
      </c>
      <c r="D98" s="14">
        <f>INDEX(FamaFrench!$C$6:$F$244,MATCH(FFWork!$B98,FamaFrench!$B$6:$B$244,0),MATCH(FamaFrench!C$5,FFWork!$D$10:$F$10,0))</f>
        <v>7.9500000000000001E-2</v>
      </c>
      <c r="E98" s="14">
        <f>INDEX(FamaFrench!$C$6:$F$244,MATCH(FFWork!$B98,FamaFrench!$B$6:$B$244,0),MATCH(FamaFrench!D$5,FFWork!$D$10:$F$10,0))</f>
        <v>2.7000000000000001E-3</v>
      </c>
      <c r="F98" s="14">
        <f>INDEX(FamaFrench!$C$6:$F$244,MATCH(FFWork!$B98,FamaFrench!$B$6:$B$244,0),MATCH(FamaFrench!E$5,FFWork!$D$10:$G$10,0))</f>
        <v>-4.36E-2</v>
      </c>
      <c r="G98" s="14">
        <f>INDEX(FamaFrench!$C$6:$F$244,MATCH(FFWork!$B98,FamaFrench!$B$6:$B$244,0),MATCH(FamaFrench!F$5,FFWork!$D$10:$G$10,0))</f>
        <v>-8.1500000000000003E-2</v>
      </c>
    </row>
    <row r="99" spans="1:7" x14ac:dyDescent="0.2">
      <c r="A99">
        <v>89</v>
      </c>
      <c r="B99" s="33">
        <f>IF(B98="","",IF(EOMONTH(B98,1)&lt;=EOMONTH(Front!$C$4,0),EOMONTH(B98,1),""))</f>
        <v>37042</v>
      </c>
      <c r="C99" s="14">
        <f>INDEX(MutualFunds!$C$6:$O$244,MATCH(FFWork!B99,MutualFunds!$B$6:$B$244,0),MATCH(Front!$C$2,MutualFunds!$C$4:$O$4,0))</f>
        <v>3.0531473803241563E-2</v>
      </c>
      <c r="D99" s="14">
        <f>INDEX(FamaFrench!$C$6:$F$244,MATCH(FFWork!$B99,FamaFrench!$B$6:$B$244,0),MATCH(FamaFrench!C$5,FFWork!$D$10:$F$10,0))</f>
        <v>7.3000000000000001E-3</v>
      </c>
      <c r="E99" s="14">
        <f>INDEX(FamaFrench!$C$6:$F$244,MATCH(FFWork!$B99,FamaFrench!$B$6:$B$244,0),MATCH(FamaFrench!D$5,FFWork!$D$10:$F$10,0))</f>
        <v>2.9900000000000003E-2</v>
      </c>
      <c r="F99" s="14">
        <f>INDEX(FamaFrench!$C$6:$F$244,MATCH(FFWork!$B99,FamaFrench!$B$6:$B$244,0),MATCH(FamaFrench!E$5,FFWork!$D$10:$G$10,0))</f>
        <v>2.7699999999999999E-2</v>
      </c>
      <c r="G99" s="14">
        <f>INDEX(FamaFrench!$C$6:$F$244,MATCH(FFWork!$B99,FamaFrench!$B$6:$B$244,0),MATCH(FamaFrench!F$5,FFWork!$D$10:$G$10,0))</f>
        <v>2.1299999999999999E-2</v>
      </c>
    </row>
    <row r="100" spans="1:7" x14ac:dyDescent="0.2">
      <c r="A100">
        <v>90</v>
      </c>
      <c r="B100" s="33">
        <f>IF(B99="","",IF(EOMONTH(B99,1)&lt;=EOMONTH(Front!$C$4,0),EOMONTH(B99,1),""))</f>
        <v>37072</v>
      </c>
      <c r="C100" s="14">
        <f>INDEX(MutualFunds!$C$6:$O$244,MATCH(FFWork!B100,MutualFunds!$B$6:$B$244,0),MATCH(Front!$C$2,MutualFunds!$C$4:$O$4,0))</f>
        <v>-3.2187271397220156E-2</v>
      </c>
      <c r="D100" s="14">
        <f>INDEX(FamaFrench!$C$6:$F$244,MATCH(FFWork!$B100,FamaFrench!$B$6:$B$244,0),MATCH(FamaFrench!C$5,FFWork!$D$10:$F$10,0))</f>
        <v>-1.9299999999999998E-2</v>
      </c>
      <c r="E100" s="14">
        <f>INDEX(FamaFrench!$C$6:$F$244,MATCH(FFWork!$B100,FamaFrench!$B$6:$B$244,0),MATCH(FamaFrench!D$5,FFWork!$D$10:$F$10,0))</f>
        <v>6.3799999999999996E-2</v>
      </c>
      <c r="F100" s="14">
        <f>INDEX(FamaFrench!$C$6:$F$244,MATCH(FFWork!$B100,FamaFrench!$B$6:$B$244,0),MATCH(FamaFrench!E$5,FFWork!$D$10:$G$10,0))</f>
        <v>-2.1400000000000002E-2</v>
      </c>
      <c r="G100" s="14">
        <f>INDEX(FamaFrench!$C$6:$F$244,MATCH(FFWork!$B100,FamaFrench!$B$6:$B$244,0),MATCH(FamaFrench!F$5,FFWork!$D$10:$G$10,0))</f>
        <v>2.8000000000000004E-3</v>
      </c>
    </row>
    <row r="101" spans="1:7" x14ac:dyDescent="0.2">
      <c r="A101">
        <v>91</v>
      </c>
      <c r="B101" s="33">
        <f>IF(B100="","",IF(EOMONTH(B100,1)&lt;=EOMONTH(Front!$C$4,0),EOMONTH(B100,1),""))</f>
        <v>37103</v>
      </c>
      <c r="C101" s="14">
        <f>INDEX(MutualFunds!$C$6:$O$244,MATCH(FFWork!B101,MutualFunds!$B$6:$B$244,0),MATCH(Front!$C$2,MutualFunds!$C$4:$O$4,0))</f>
        <v>3.4013605442176817E-3</v>
      </c>
      <c r="D101" s="14">
        <f>INDEX(FamaFrench!$C$6:$F$244,MATCH(FFWork!$B101,FamaFrench!$B$6:$B$244,0),MATCH(FamaFrench!C$5,FFWork!$D$10:$F$10,0))</f>
        <v>-2.1299999999999999E-2</v>
      </c>
      <c r="E101" s="14">
        <f>INDEX(FamaFrench!$C$6:$F$244,MATCH(FFWork!$B101,FamaFrench!$B$6:$B$244,0),MATCH(FamaFrench!D$5,FFWork!$D$10:$F$10,0))</f>
        <v>-4.2199999999999994E-2</v>
      </c>
      <c r="F101" s="14">
        <f>INDEX(FamaFrench!$C$6:$F$244,MATCH(FFWork!$B101,FamaFrench!$B$6:$B$244,0),MATCH(FamaFrench!E$5,FFWork!$D$10:$G$10,0))</f>
        <v>5.62E-2</v>
      </c>
      <c r="G101" s="14">
        <f>INDEX(FamaFrench!$C$6:$F$244,MATCH(FFWork!$B101,FamaFrench!$B$6:$B$244,0),MATCH(FamaFrench!F$5,FFWork!$D$10:$G$10,0))</f>
        <v>5.5500000000000001E-2</v>
      </c>
    </row>
    <row r="102" spans="1:7" x14ac:dyDescent="0.2">
      <c r="A102">
        <v>92</v>
      </c>
      <c r="B102" s="33">
        <f>IF(B101="","",IF(EOMONTH(B101,1)&lt;=EOMONTH(Front!$C$4,0),EOMONTH(B101,1),""))</f>
        <v>37134</v>
      </c>
      <c r="C102" s="14">
        <f>INDEX(MutualFunds!$C$6:$O$244,MATCH(FFWork!B102,MutualFunds!$B$6:$B$244,0),MATCH(Front!$C$2,MutualFunds!$C$4:$O$4,0))</f>
        <v>-1.6572504708097843E-2</v>
      </c>
      <c r="D102" s="14">
        <f>INDEX(FamaFrench!$C$6:$F$244,MATCH(FFWork!$B102,FamaFrench!$B$6:$B$244,0),MATCH(FamaFrench!C$5,FFWork!$D$10:$F$10,0))</f>
        <v>-6.4600000000000005E-2</v>
      </c>
      <c r="E102" s="14">
        <f>INDEX(FamaFrench!$C$6:$F$244,MATCH(FFWork!$B102,FamaFrench!$B$6:$B$244,0),MATCH(FamaFrench!D$5,FFWork!$D$10:$F$10,0))</f>
        <v>2.1299999999999999E-2</v>
      </c>
      <c r="F102" s="14">
        <f>INDEX(FamaFrench!$C$6:$F$244,MATCH(FFWork!$B102,FamaFrench!$B$6:$B$244,0),MATCH(FamaFrench!E$5,FFWork!$D$10:$G$10,0))</f>
        <v>3.3700000000000001E-2</v>
      </c>
      <c r="G102" s="14">
        <f>INDEX(FamaFrench!$C$6:$F$244,MATCH(FFWork!$B102,FamaFrench!$B$6:$B$244,0),MATCH(FamaFrench!F$5,FFWork!$D$10:$G$10,0))</f>
        <v>5.57E-2</v>
      </c>
    </row>
    <row r="103" spans="1:7" x14ac:dyDescent="0.2">
      <c r="A103">
        <v>93</v>
      </c>
      <c r="B103" s="33">
        <f>IF(B102="","",IF(EOMONTH(B102,1)&lt;=EOMONTH(Front!$C$4,0),EOMONTH(B102,1),""))</f>
        <v>37164</v>
      </c>
      <c r="C103" s="14">
        <f>INDEX(MutualFunds!$C$6:$O$244,MATCH(FFWork!B103,MutualFunds!$B$6:$B$244,0),MATCH(Front!$C$2,MutualFunds!$C$4:$O$4,0))</f>
        <v>-7.6981999234010015E-2</v>
      </c>
      <c r="D103" s="14">
        <f>INDEX(FamaFrench!$C$6:$F$244,MATCH(FFWork!$B103,FamaFrench!$B$6:$B$244,0),MATCH(FamaFrench!C$5,FFWork!$D$10:$F$10,0))</f>
        <v>-9.2499999999999999E-2</v>
      </c>
      <c r="E103" s="14">
        <f>INDEX(FamaFrench!$C$6:$F$244,MATCH(FFWork!$B103,FamaFrench!$B$6:$B$244,0),MATCH(FamaFrench!D$5,FFWork!$D$10:$F$10,0))</f>
        <v>-6.6100000000000006E-2</v>
      </c>
      <c r="F103" s="14">
        <f>INDEX(FamaFrench!$C$6:$F$244,MATCH(FFWork!$B103,FamaFrench!$B$6:$B$244,0),MATCH(FamaFrench!E$5,FFWork!$D$10:$G$10,0))</f>
        <v>1.8000000000000002E-2</v>
      </c>
      <c r="G103" s="14">
        <f>INDEX(FamaFrench!$C$6:$F$244,MATCH(FFWork!$B103,FamaFrench!$B$6:$B$244,0),MATCH(FamaFrench!F$5,FFWork!$D$10:$G$10,0))</f>
        <v>0.11550000000000001</v>
      </c>
    </row>
    <row r="104" spans="1:7" x14ac:dyDescent="0.2">
      <c r="A104">
        <v>94</v>
      </c>
      <c r="B104" s="33">
        <f>IF(B103="","",IF(EOMONTH(B103,1)&lt;=EOMONTH(Front!$C$4,0),EOMONTH(B103,1),""))</f>
        <v>37195</v>
      </c>
      <c r="C104" s="14">
        <f>INDEX(MutualFunds!$C$6:$O$244,MATCH(FFWork!B104,MutualFunds!$B$6:$B$244,0),MATCH(Front!$C$2,MutualFunds!$C$4:$O$4,0))</f>
        <v>1.4107883817427379E-2</v>
      </c>
      <c r="D104" s="14">
        <f>INDEX(FamaFrench!$C$6:$F$244,MATCH(FFWork!$B104,FamaFrench!$B$6:$B$244,0),MATCH(FamaFrench!C$5,FFWork!$D$10:$F$10,0))</f>
        <v>2.46E-2</v>
      </c>
      <c r="E104" s="14">
        <f>INDEX(FamaFrench!$C$6:$F$244,MATCH(FFWork!$B104,FamaFrench!$B$6:$B$244,0),MATCH(FamaFrench!D$5,FFWork!$D$10:$F$10,0))</f>
        <v>6.88E-2</v>
      </c>
      <c r="F104" s="14">
        <f>INDEX(FamaFrench!$C$6:$F$244,MATCH(FFWork!$B104,FamaFrench!$B$6:$B$244,0),MATCH(FamaFrench!E$5,FFWork!$D$10:$G$10,0))</f>
        <v>-7.0300000000000001E-2</v>
      </c>
      <c r="G104" s="14">
        <f>INDEX(FamaFrench!$C$6:$F$244,MATCH(FFWork!$B104,FamaFrench!$B$6:$B$244,0),MATCH(FamaFrench!F$5,FFWork!$D$10:$G$10,0))</f>
        <v>-8.43E-2</v>
      </c>
    </row>
    <row r="105" spans="1:7" x14ac:dyDescent="0.2">
      <c r="A105">
        <v>95</v>
      </c>
      <c r="B105" s="33">
        <f>IF(B104="","",IF(EOMONTH(B104,1)&lt;=EOMONTH(Front!$C$4,0),EOMONTH(B104,1),""))</f>
        <v>37225</v>
      </c>
      <c r="C105" s="14">
        <f>INDEX(MutualFunds!$C$6:$O$244,MATCH(FFWork!B105,MutualFunds!$B$6:$B$244,0),MATCH(Front!$C$2,MutualFunds!$C$4:$O$4,0))</f>
        <v>5.6055646481178431E-2</v>
      </c>
      <c r="D105" s="14">
        <f>INDEX(FamaFrench!$C$6:$F$244,MATCH(FFWork!$B105,FamaFrench!$B$6:$B$244,0),MATCH(FamaFrench!C$5,FFWork!$D$10:$F$10,0))</f>
        <v>7.5399999999999995E-2</v>
      </c>
      <c r="E105" s="14">
        <f>INDEX(FamaFrench!$C$6:$F$244,MATCH(FFWork!$B105,FamaFrench!$B$6:$B$244,0),MATCH(FamaFrench!D$5,FFWork!$D$10:$F$10,0))</f>
        <v>3.8E-3</v>
      </c>
      <c r="F105" s="14">
        <f>INDEX(FamaFrench!$C$6:$F$244,MATCH(FFWork!$B105,FamaFrench!$B$6:$B$244,0),MATCH(FamaFrench!E$5,FFWork!$D$10:$G$10,0))</f>
        <v>6.8999999999999999E-3</v>
      </c>
      <c r="G105" s="14">
        <f>INDEX(FamaFrench!$C$6:$F$244,MATCH(FFWork!$B105,FamaFrench!$B$6:$B$244,0),MATCH(FamaFrench!F$5,FFWork!$D$10:$G$10,0))</f>
        <v>-8.5699999999999998E-2</v>
      </c>
    </row>
    <row r="106" spans="1:7" x14ac:dyDescent="0.2">
      <c r="A106">
        <v>96</v>
      </c>
      <c r="B106" s="33">
        <f>IF(B105="","",IF(EOMONTH(B105,1)&lt;=EOMONTH(Front!$C$4,0),EOMONTH(B105,1),""))</f>
        <v>37256</v>
      </c>
      <c r="C106" s="14">
        <f>INDEX(MutualFunds!$C$6:$O$244,MATCH(FFWork!B106,MutualFunds!$B$6:$B$244,0),MATCH(Front!$C$2,MutualFunds!$C$4:$O$4,0))</f>
        <v>-1.2010848508330191E-2</v>
      </c>
      <c r="D106" s="14">
        <f>INDEX(FamaFrench!$C$6:$F$244,MATCH(FFWork!$B106,FamaFrench!$B$6:$B$244,0),MATCH(FamaFrench!C$5,FFWork!$D$10:$F$10,0))</f>
        <v>1.61E-2</v>
      </c>
      <c r="E106" s="14">
        <f>INDEX(FamaFrench!$C$6:$F$244,MATCH(FFWork!$B106,FamaFrench!$B$6:$B$244,0),MATCH(FamaFrench!D$5,FFWork!$D$10:$F$10,0))</f>
        <v>5.1399999999999994E-2</v>
      </c>
      <c r="F106" s="14">
        <f>INDEX(FamaFrench!$C$6:$F$244,MATCH(FFWork!$B106,FamaFrench!$B$6:$B$244,0),MATCH(FamaFrench!E$5,FFWork!$D$10:$G$10,0))</f>
        <v>4.3E-3</v>
      </c>
      <c r="G106" s="14">
        <f>INDEX(FamaFrench!$C$6:$F$244,MATCH(FFWork!$B106,FamaFrench!$B$6:$B$244,0),MATCH(FamaFrench!F$5,FFWork!$D$10:$G$10,0))</f>
        <v>-2.9999999999999997E-4</v>
      </c>
    </row>
    <row r="107" spans="1:7" x14ac:dyDescent="0.2">
      <c r="A107">
        <v>97</v>
      </c>
      <c r="B107" s="33">
        <f>IF(B106="","",IF(EOMONTH(B106,1)&lt;=EOMONTH(Front!$C$4,0),EOMONTH(B106,1),""))</f>
        <v>37287</v>
      </c>
      <c r="C107" s="14">
        <f>INDEX(MutualFunds!$C$6:$O$244,MATCH(FFWork!B107,MutualFunds!$B$6:$B$244,0),MATCH(Front!$C$2,MutualFunds!$C$4:$O$4,0))</f>
        <v>-2.0392156862745082E-2</v>
      </c>
      <c r="D107" s="14">
        <f>INDEX(FamaFrench!$C$6:$F$244,MATCH(FFWork!$B107,FamaFrench!$B$6:$B$244,0),MATCH(FamaFrench!C$5,FFWork!$D$10:$F$10,0))</f>
        <v>-1.44E-2</v>
      </c>
      <c r="E107" s="14">
        <f>INDEX(FamaFrench!$C$6:$F$244,MATCH(FFWork!$B107,FamaFrench!$B$6:$B$244,0),MATCH(FamaFrench!D$5,FFWork!$D$10:$F$10,0))</f>
        <v>1.1200000000000002E-2</v>
      </c>
      <c r="F107" s="14">
        <f>INDEX(FamaFrench!$C$6:$F$244,MATCH(FFWork!$B107,FamaFrench!$B$6:$B$244,0),MATCH(FamaFrench!E$5,FFWork!$D$10:$G$10,0))</f>
        <v>3.4500000000000003E-2</v>
      </c>
      <c r="G107" s="14">
        <f>INDEX(FamaFrench!$C$6:$F$244,MATCH(FFWork!$B107,FamaFrench!$B$6:$B$244,0),MATCH(FamaFrench!F$5,FFWork!$D$10:$G$10,0))</f>
        <v>3.6900000000000002E-2</v>
      </c>
    </row>
    <row r="108" spans="1:7" x14ac:dyDescent="0.2">
      <c r="A108">
        <v>98</v>
      </c>
      <c r="B108" s="33">
        <f>IF(B107="","",IF(EOMONTH(B107,1)&lt;=EOMONTH(Front!$C$4,0),EOMONTH(B107,1),""))</f>
        <v>37315</v>
      </c>
      <c r="C108" s="14">
        <f>INDEX(MutualFunds!$C$6:$O$244,MATCH(FFWork!B108,MutualFunds!$B$6:$B$244,0),MATCH(Front!$C$2,MutualFunds!$C$4:$O$4,0))</f>
        <v>2.9623698959167413E-2</v>
      </c>
      <c r="D108" s="14">
        <f>INDEX(FamaFrench!$C$6:$F$244,MATCH(FFWork!$B108,FamaFrench!$B$6:$B$244,0),MATCH(FamaFrench!C$5,FFWork!$D$10:$F$10,0))</f>
        <v>-2.29E-2</v>
      </c>
      <c r="E108" s="14">
        <f>INDEX(FamaFrench!$C$6:$F$244,MATCH(FFWork!$B108,FamaFrench!$B$6:$B$244,0),MATCH(FamaFrench!D$5,FFWork!$D$10:$F$10,0))</f>
        <v>-1.61E-2</v>
      </c>
      <c r="F108" s="14">
        <f>INDEX(FamaFrench!$C$6:$F$244,MATCH(FFWork!$B108,FamaFrench!$B$6:$B$244,0),MATCH(FamaFrench!E$5,FFWork!$D$10:$G$10,0))</f>
        <v>3.9100000000000003E-2</v>
      </c>
      <c r="G108" s="14">
        <f>INDEX(FamaFrench!$C$6:$F$244,MATCH(FFWork!$B108,FamaFrench!$B$6:$B$244,0),MATCH(FamaFrench!F$5,FFWork!$D$10:$G$10,0))</f>
        <v>6.8000000000000005E-2</v>
      </c>
    </row>
    <row r="109" spans="1:7" x14ac:dyDescent="0.2">
      <c r="A109">
        <v>99</v>
      </c>
      <c r="B109" s="33">
        <f>IF(B108="","",IF(EOMONTH(B108,1)&lt;=EOMONTH(Front!$C$4,0),EOMONTH(B108,1),""))</f>
        <v>37346</v>
      </c>
      <c r="C109" s="14">
        <f>INDEX(MutualFunds!$C$6:$O$244,MATCH(FFWork!B109,MutualFunds!$B$6:$B$244,0),MATCH(Front!$C$2,MutualFunds!$C$4:$O$4,0))</f>
        <v>3.5381026438569212E-2</v>
      </c>
      <c r="D109" s="14">
        <f>INDEX(FamaFrench!$C$6:$F$244,MATCH(FFWork!$B109,FamaFrench!$B$6:$B$244,0),MATCH(FamaFrench!C$5,FFWork!$D$10:$F$10,0))</f>
        <v>4.24E-2</v>
      </c>
      <c r="E109" s="14">
        <f>INDEX(FamaFrench!$C$6:$F$244,MATCH(FFWork!$B109,FamaFrench!$B$6:$B$244,0),MATCH(FamaFrench!D$5,FFWork!$D$10:$F$10,0))</f>
        <v>4.2999999999999997E-2</v>
      </c>
      <c r="F109" s="14">
        <f>INDEX(FamaFrench!$C$6:$F$244,MATCH(FFWork!$B109,FamaFrench!$B$6:$B$244,0),MATCH(FamaFrench!E$5,FFWork!$D$10:$G$10,0))</f>
        <v>1.1699999999999999E-2</v>
      </c>
      <c r="G109" s="14">
        <f>INDEX(FamaFrench!$C$6:$F$244,MATCH(FFWork!$B109,FamaFrench!$B$6:$B$244,0),MATCH(FamaFrench!F$5,FFWork!$D$10:$G$10,0))</f>
        <v>-1.72E-2</v>
      </c>
    </row>
    <row r="110" spans="1:7" x14ac:dyDescent="0.2">
      <c r="A110">
        <v>100</v>
      </c>
      <c r="B110" s="33">
        <f>IF(B109="","",IF(EOMONTH(B109,1)&lt;=EOMONTH(Front!$C$4,0),EOMONTH(B109,1),""))</f>
        <v>37376</v>
      </c>
      <c r="C110" s="14">
        <f>INDEX(MutualFunds!$C$6:$O$244,MATCH(FFWork!B110,MutualFunds!$B$6:$B$244,0),MATCH(Front!$C$2,MutualFunds!$C$4:$O$4,0))</f>
        <v>-1.1265490048817548E-3</v>
      </c>
      <c r="D110" s="14">
        <f>INDEX(FamaFrench!$C$6:$F$244,MATCH(FFWork!$B110,FamaFrench!$B$6:$B$244,0),MATCH(FamaFrench!C$5,FFWork!$D$10:$F$10,0))</f>
        <v>-5.21E-2</v>
      </c>
      <c r="E110" s="14">
        <f>INDEX(FamaFrench!$C$6:$F$244,MATCH(FFWork!$B110,FamaFrench!$B$6:$B$244,0),MATCH(FamaFrench!D$5,FFWork!$D$10:$F$10,0))</f>
        <v>5.8600000000000006E-2</v>
      </c>
      <c r="F110" s="14">
        <f>INDEX(FamaFrench!$C$6:$F$244,MATCH(FFWork!$B110,FamaFrench!$B$6:$B$244,0),MATCH(FamaFrench!E$5,FFWork!$D$10:$G$10,0))</f>
        <v>4.2099999999999999E-2</v>
      </c>
      <c r="G110" s="14">
        <f>INDEX(FamaFrench!$C$6:$F$244,MATCH(FFWork!$B110,FamaFrench!$B$6:$B$244,0),MATCH(FamaFrench!F$5,FFWork!$D$10:$G$10,0))</f>
        <v>7.9199999999999993E-2</v>
      </c>
    </row>
    <row r="111" spans="1:7" x14ac:dyDescent="0.2">
      <c r="A111">
        <v>101</v>
      </c>
      <c r="B111" s="33">
        <f>IF(B110="","",IF(EOMONTH(B110,1)&lt;=EOMONTH(Front!$C$4,0),EOMONTH(B110,1),""))</f>
        <v>37407</v>
      </c>
      <c r="C111" s="14">
        <f>INDEX(MutualFunds!$C$6:$O$244,MATCH(FFWork!B111,MutualFunds!$B$6:$B$244,0),MATCH(Front!$C$2,MutualFunds!$C$4:$O$4,0))</f>
        <v>-4.8872180451127439E-3</v>
      </c>
      <c r="D111" s="14">
        <f>INDEX(FamaFrench!$C$6:$F$244,MATCH(FFWork!$B111,FamaFrench!$B$6:$B$244,0),MATCH(FamaFrench!C$5,FFWork!$D$10:$F$10,0))</f>
        <v>-1.38E-2</v>
      </c>
      <c r="E111" s="14">
        <f>INDEX(FamaFrench!$C$6:$F$244,MATCH(FFWork!$B111,FamaFrench!$B$6:$B$244,0),MATCH(FamaFrench!D$5,FFWork!$D$10:$F$10,0))</f>
        <v>-3.7200000000000004E-2</v>
      </c>
      <c r="F111" s="14">
        <f>INDEX(FamaFrench!$C$6:$F$244,MATCH(FFWork!$B111,FamaFrench!$B$6:$B$244,0),MATCH(FamaFrench!E$5,FFWork!$D$10:$G$10,0))</f>
        <v>2.5399999999999999E-2</v>
      </c>
      <c r="G111" s="14">
        <f>INDEX(FamaFrench!$C$6:$F$244,MATCH(FFWork!$B111,FamaFrench!$B$6:$B$244,0),MATCH(FamaFrench!F$5,FFWork!$D$10:$G$10,0))</f>
        <v>3.1600000000000003E-2</v>
      </c>
    </row>
    <row r="112" spans="1:7" x14ac:dyDescent="0.2">
      <c r="A112">
        <v>102</v>
      </c>
      <c r="B112" s="33">
        <f>IF(B111="","",IF(EOMONTH(B111,1)&lt;=EOMONTH(Front!$C$4,0),EOMONTH(B111,1),""))</f>
        <v>37437</v>
      </c>
      <c r="C112" s="14">
        <f>INDEX(MutualFunds!$C$6:$O$244,MATCH(FFWork!B112,MutualFunds!$B$6:$B$244,0),MATCH(Front!$C$2,MutualFunds!$C$4:$O$4,0))</f>
        <v>-4.7223271628258401E-2</v>
      </c>
      <c r="D112" s="14">
        <f>INDEX(FamaFrench!$C$6:$F$244,MATCH(FFWork!$B112,FamaFrench!$B$6:$B$244,0),MATCH(FamaFrench!C$5,FFWork!$D$10:$F$10,0))</f>
        <v>-7.2099999999999997E-2</v>
      </c>
      <c r="E112" s="14">
        <f>INDEX(FamaFrench!$C$6:$F$244,MATCH(FFWork!$B112,FamaFrench!$B$6:$B$244,0),MATCH(FamaFrench!D$5,FFWork!$D$10:$F$10,0))</f>
        <v>3.49E-2</v>
      </c>
      <c r="F112" s="14">
        <f>INDEX(FamaFrench!$C$6:$F$244,MATCH(FFWork!$B112,FamaFrench!$B$6:$B$244,0),MATCH(FamaFrench!E$5,FFWork!$D$10:$G$10,0))</f>
        <v>1.5600000000000001E-2</v>
      </c>
      <c r="G112" s="14">
        <f>INDEX(FamaFrench!$C$6:$F$244,MATCH(FFWork!$B112,FamaFrench!$B$6:$B$244,0),MATCH(FamaFrench!F$5,FFWork!$D$10:$G$10,0))</f>
        <v>6.1699999999999998E-2</v>
      </c>
    </row>
    <row r="113" spans="1:7" x14ac:dyDescent="0.2">
      <c r="A113">
        <v>103</v>
      </c>
      <c r="B113" s="33">
        <f>IF(B112="","",IF(EOMONTH(B112,1)&lt;=EOMONTH(Front!$C$4,0),EOMONTH(B112,1),""))</f>
        <v>37468</v>
      </c>
      <c r="C113" s="14">
        <f>INDEX(MutualFunds!$C$6:$O$244,MATCH(FFWork!B113,MutualFunds!$B$6:$B$244,0),MATCH(Front!$C$2,MutualFunds!$C$4:$O$4,0))</f>
        <v>-9.2783505154639165E-2</v>
      </c>
      <c r="D113" s="14">
        <f>INDEX(FamaFrench!$C$6:$F$244,MATCH(FFWork!$B113,FamaFrench!$B$6:$B$244,0),MATCH(FamaFrench!C$5,FFWork!$D$10:$F$10,0))</f>
        <v>-8.1799999999999998E-2</v>
      </c>
      <c r="E113" s="14">
        <f>INDEX(FamaFrench!$C$6:$F$244,MATCH(FFWork!$B113,FamaFrench!$B$6:$B$244,0),MATCH(FamaFrench!D$5,FFWork!$D$10:$F$10,0))</f>
        <v>-5.1399999999999994E-2</v>
      </c>
      <c r="F113" s="14">
        <f>INDEX(FamaFrench!$C$6:$F$244,MATCH(FFWork!$B113,FamaFrench!$B$6:$B$244,0),MATCH(FamaFrench!E$5,FFWork!$D$10:$G$10,0))</f>
        <v>-3.6299999999999999E-2</v>
      </c>
      <c r="G113" s="14">
        <f>INDEX(FamaFrench!$C$6:$F$244,MATCH(FFWork!$B113,FamaFrench!$B$6:$B$244,0),MATCH(FamaFrench!F$5,FFWork!$D$10:$G$10,0))</f>
        <v>3.4099999999999998E-2</v>
      </c>
    </row>
    <row r="114" spans="1:7" x14ac:dyDescent="0.2">
      <c r="A114">
        <v>104</v>
      </c>
      <c r="B114" s="33">
        <f>IF(B113="","",IF(EOMONTH(B113,1)&lt;=EOMONTH(Front!$C$4,0),EOMONTH(B113,1),""))</f>
        <v>37499</v>
      </c>
      <c r="C114" s="14">
        <f>INDEX(MutualFunds!$C$6:$O$244,MATCH(FFWork!B114,MutualFunds!$B$6:$B$244,0),MATCH(Front!$C$2,MutualFunds!$C$4:$O$4,0))</f>
        <v>1.3986013986013996E-2</v>
      </c>
      <c r="D114" s="14">
        <f>INDEX(FamaFrench!$C$6:$F$244,MATCH(FFWork!$B114,FamaFrench!$B$6:$B$244,0),MATCH(FamaFrench!C$5,FFWork!$D$10:$F$10,0))</f>
        <v>5.0000000000000001E-3</v>
      </c>
      <c r="E114" s="14">
        <f>INDEX(FamaFrench!$C$6:$F$244,MATCH(FFWork!$B114,FamaFrench!$B$6:$B$244,0),MATCH(FamaFrench!D$5,FFWork!$D$10:$F$10,0))</f>
        <v>-2.2599999999999999E-2</v>
      </c>
      <c r="F114" s="14">
        <f>INDEX(FamaFrench!$C$6:$F$244,MATCH(FFWork!$B114,FamaFrench!$B$6:$B$244,0),MATCH(FamaFrench!E$5,FFWork!$D$10:$G$10,0))</f>
        <v>2.2400000000000003E-2</v>
      </c>
      <c r="G114" s="14">
        <f>INDEX(FamaFrench!$C$6:$F$244,MATCH(FFWork!$B114,FamaFrench!$B$6:$B$244,0),MATCH(FamaFrench!F$5,FFWork!$D$10:$G$10,0))</f>
        <v>1.7299999999999999E-2</v>
      </c>
    </row>
    <row r="115" spans="1:7" x14ac:dyDescent="0.2">
      <c r="A115">
        <v>105</v>
      </c>
      <c r="B115" s="33">
        <f>IF(B114="","",IF(EOMONTH(B114,1)&lt;=EOMONTH(Front!$C$4,0),EOMONTH(B114,1),""))</f>
        <v>37529</v>
      </c>
      <c r="C115" s="14">
        <f>INDEX(MutualFunds!$C$6:$O$244,MATCH(FFWork!B115,MutualFunds!$B$6:$B$244,0),MATCH(Front!$C$2,MutualFunds!$C$4:$O$4,0))</f>
        <v>-9.2672413793103522E-2</v>
      </c>
      <c r="D115" s="14">
        <f>INDEX(FamaFrench!$C$6:$F$244,MATCH(FFWork!$B115,FamaFrench!$B$6:$B$244,0),MATCH(FamaFrench!C$5,FFWork!$D$10:$F$10,0))</f>
        <v>-0.10349999999999999</v>
      </c>
      <c r="E115" s="14">
        <f>INDEX(FamaFrench!$C$6:$F$244,MATCH(FFWork!$B115,FamaFrench!$B$6:$B$244,0),MATCH(FamaFrench!D$5,FFWork!$D$10:$F$10,0))</f>
        <v>2.7000000000000003E-2</v>
      </c>
      <c r="F115" s="14">
        <f>INDEX(FamaFrench!$C$6:$F$244,MATCH(FFWork!$B115,FamaFrench!$B$6:$B$244,0),MATCH(FamaFrench!E$5,FFWork!$D$10:$G$10,0))</f>
        <v>1.23E-2</v>
      </c>
      <c r="G115" s="14">
        <f>INDEX(FamaFrench!$C$6:$F$244,MATCH(FFWork!$B115,FamaFrench!$B$6:$B$244,0),MATCH(FamaFrench!F$5,FFWork!$D$10:$G$10,0))</f>
        <v>9.11E-2</v>
      </c>
    </row>
    <row r="116" spans="1:7" x14ac:dyDescent="0.2">
      <c r="A116">
        <v>106</v>
      </c>
      <c r="B116" s="33">
        <f>IF(B115="","",IF(EOMONTH(B115,1)&lt;=EOMONTH(Front!$C$4,0),EOMONTH(B115,1),""))</f>
        <v>37560</v>
      </c>
      <c r="C116" s="14">
        <f>INDEX(MutualFunds!$C$6:$O$244,MATCH(FFWork!B116,MutualFunds!$B$6:$B$244,0),MATCH(Front!$C$2,MutualFunds!$C$4:$O$4,0))</f>
        <v>5.5106888361045138E-2</v>
      </c>
      <c r="D116" s="14">
        <f>INDEX(FamaFrench!$C$6:$F$244,MATCH(FFWork!$B116,FamaFrench!$B$6:$B$244,0),MATCH(FamaFrench!C$5,FFWork!$D$10:$F$10,0))</f>
        <v>7.8399999999999997E-2</v>
      </c>
      <c r="E116" s="14">
        <f>INDEX(FamaFrench!$C$6:$F$244,MATCH(FFWork!$B116,FamaFrench!$B$6:$B$244,0),MATCH(FamaFrench!D$5,FFWork!$D$10:$F$10,0))</f>
        <v>-2.98E-2</v>
      </c>
      <c r="F116" s="14">
        <f>INDEX(FamaFrench!$C$6:$F$244,MATCH(FFWork!$B116,FamaFrench!$B$6:$B$244,0),MATCH(FamaFrench!E$5,FFWork!$D$10:$G$10,0))</f>
        <v>-6.4899999999999999E-2</v>
      </c>
      <c r="G116" s="14">
        <f>INDEX(FamaFrench!$C$6:$F$244,MATCH(FFWork!$B116,FamaFrench!$B$6:$B$244,0),MATCH(FamaFrench!F$5,FFWork!$D$10:$G$10,0))</f>
        <v>-5.4699999999999999E-2</v>
      </c>
    </row>
    <row r="117" spans="1:7" x14ac:dyDescent="0.2">
      <c r="A117">
        <v>107</v>
      </c>
      <c r="B117" s="33">
        <f>IF(B116="","",IF(EOMONTH(B116,1)&lt;=EOMONTH(Front!$C$4,0),EOMONTH(B116,1),""))</f>
        <v>37590</v>
      </c>
      <c r="C117" s="14">
        <f>INDEX(MutualFunds!$C$6:$O$244,MATCH(FFWork!B117,MutualFunds!$B$6:$B$244,0),MATCH(Front!$C$2,MutualFunds!$C$4:$O$4,0))</f>
        <v>5.4479963980189137E-2</v>
      </c>
      <c r="D117" s="14">
        <f>INDEX(FamaFrench!$C$6:$F$244,MATCH(FFWork!$B117,FamaFrench!$B$6:$B$244,0),MATCH(FamaFrench!C$5,FFWork!$D$10:$F$10,0))</f>
        <v>5.96E-2</v>
      </c>
      <c r="E117" s="14">
        <f>INDEX(FamaFrench!$C$6:$F$244,MATCH(FFWork!$B117,FamaFrench!$B$6:$B$244,0),MATCH(FamaFrench!D$5,FFWork!$D$10:$F$10,0))</f>
        <v>3.1699999999999999E-2</v>
      </c>
      <c r="F117" s="14">
        <f>INDEX(FamaFrench!$C$6:$F$244,MATCH(FFWork!$B117,FamaFrench!$B$6:$B$244,0),MATCH(FamaFrench!E$5,FFWork!$D$10:$G$10,0))</f>
        <v>-1.5700000000000002E-2</v>
      </c>
      <c r="G117" s="14">
        <f>INDEX(FamaFrench!$C$6:$F$244,MATCH(FFWork!$B117,FamaFrench!$B$6:$B$244,0),MATCH(FamaFrench!F$5,FFWork!$D$10:$G$10,0))</f>
        <v>-0.16289999999999999</v>
      </c>
    </row>
    <row r="118" spans="1:7" x14ac:dyDescent="0.2">
      <c r="A118">
        <v>108</v>
      </c>
      <c r="B118" s="33">
        <f>IF(B117="","",IF(EOMONTH(B117,1)&lt;=EOMONTH(Front!$C$4,0),EOMONTH(B117,1),""))</f>
        <v>37621</v>
      </c>
      <c r="C118" s="14">
        <f>INDEX(MutualFunds!$C$6:$O$244,MATCH(FFWork!B118,MutualFunds!$B$6:$B$244,0),MATCH(Front!$C$2,MutualFunds!$C$4:$O$4,0))</f>
        <v>-5.0384286934244217E-2</v>
      </c>
      <c r="D118" s="14">
        <f>INDEX(FamaFrench!$C$6:$F$244,MATCH(FFWork!$B118,FamaFrench!$B$6:$B$244,0),MATCH(FamaFrench!C$5,FFWork!$D$10:$F$10,0))</f>
        <v>-5.7599999999999998E-2</v>
      </c>
      <c r="E118" s="14">
        <f>INDEX(FamaFrench!$C$6:$F$244,MATCH(FFWork!$B118,FamaFrench!$B$6:$B$244,0),MATCH(FamaFrench!D$5,FFWork!$D$10:$F$10,0))</f>
        <v>-4.5000000000000005E-3</v>
      </c>
      <c r="F118" s="14">
        <f>INDEX(FamaFrench!$C$6:$F$244,MATCH(FFWork!$B118,FamaFrench!$B$6:$B$244,0),MATCH(FamaFrench!E$5,FFWork!$D$10:$G$10,0))</f>
        <v>3.9E-2</v>
      </c>
      <c r="G118" s="14">
        <f>INDEX(FamaFrench!$C$6:$F$244,MATCH(FFWork!$B118,FamaFrench!$B$6:$B$244,0),MATCH(FamaFrench!F$5,FFWork!$D$10:$G$10,0))</f>
        <v>9.6500000000000002E-2</v>
      </c>
    </row>
    <row r="119" spans="1:7" x14ac:dyDescent="0.2">
      <c r="A119">
        <v>109</v>
      </c>
      <c r="B119" s="33">
        <f>IF(B118="","",IF(EOMONTH(B118,1)&lt;=EOMONTH(Front!$C$4,0),EOMONTH(B118,1),""))</f>
        <v>37652</v>
      </c>
      <c r="C119" s="14">
        <f>INDEX(MutualFunds!$C$6:$O$244,MATCH(FFWork!B119,MutualFunds!$B$6:$B$244,0),MATCH(Front!$C$2,MutualFunds!$C$4:$O$4,0))</f>
        <v>-4.271582733812946E-2</v>
      </c>
      <c r="D119" s="14">
        <f>INDEX(FamaFrench!$C$6:$F$244,MATCH(FFWork!$B119,FamaFrench!$B$6:$B$244,0),MATCH(FamaFrench!C$5,FFWork!$D$10:$F$10,0))</f>
        <v>-2.5699999999999997E-2</v>
      </c>
      <c r="E119" s="14">
        <f>INDEX(FamaFrench!$C$6:$F$244,MATCH(FFWork!$B119,FamaFrench!$B$6:$B$244,0),MATCH(FamaFrench!D$5,FFWork!$D$10:$F$10,0))</f>
        <v>1.3999999999999999E-2</v>
      </c>
      <c r="F119" s="14">
        <f>INDEX(FamaFrench!$C$6:$F$244,MATCH(FFWork!$B119,FamaFrench!$B$6:$B$244,0),MATCH(FamaFrench!E$5,FFWork!$D$10:$G$10,0))</f>
        <v>-8.8000000000000005E-3</v>
      </c>
      <c r="G119" s="14">
        <f>INDEX(FamaFrench!$C$6:$F$244,MATCH(FFWork!$B119,FamaFrench!$B$6:$B$244,0),MATCH(FamaFrench!F$5,FFWork!$D$10:$G$10,0))</f>
        <v>1.55E-2</v>
      </c>
    </row>
    <row r="120" spans="1:7" x14ac:dyDescent="0.2">
      <c r="A120">
        <v>110</v>
      </c>
      <c r="B120" s="33">
        <f>IF(B119="","",IF(EOMONTH(B119,1)&lt;=EOMONTH(Front!$C$4,0),EOMONTH(B119,1),""))</f>
        <v>37680</v>
      </c>
      <c r="C120" s="14">
        <f>INDEX(MutualFunds!$C$6:$O$244,MATCH(FFWork!B120,MutualFunds!$B$6:$B$244,0),MATCH(Front!$C$2,MutualFunds!$C$4:$O$4,0))</f>
        <v>-3.9924847346171972E-2</v>
      </c>
      <c r="D120" s="14">
        <f>INDEX(FamaFrench!$C$6:$F$244,MATCH(FFWork!$B120,FamaFrench!$B$6:$B$244,0),MATCH(FamaFrench!C$5,FFWork!$D$10:$F$10,0))</f>
        <v>-1.8799999999999997E-2</v>
      </c>
      <c r="E120" s="14">
        <f>INDEX(FamaFrench!$C$6:$F$244,MATCH(FFWork!$B120,FamaFrench!$B$6:$B$244,0),MATCH(FamaFrench!D$5,FFWork!$D$10:$F$10,0))</f>
        <v>-2.5999999999999999E-3</v>
      </c>
      <c r="F120" s="14">
        <f>INDEX(FamaFrench!$C$6:$F$244,MATCH(FFWork!$B120,FamaFrench!$B$6:$B$244,0),MATCH(FamaFrench!E$5,FFWork!$D$10:$G$10,0))</f>
        <v>-1.46E-2</v>
      </c>
      <c r="G120" s="14">
        <f>INDEX(FamaFrench!$C$6:$F$244,MATCH(FFWork!$B120,FamaFrench!$B$6:$B$244,0),MATCH(FamaFrench!F$5,FFWork!$D$10:$G$10,0))</f>
        <v>1.2199999999999999E-2</v>
      </c>
    </row>
    <row r="121" spans="1:7" x14ac:dyDescent="0.2">
      <c r="A121">
        <v>111</v>
      </c>
      <c r="B121" s="33">
        <f>IF(B120="","",IF(EOMONTH(B120,1)&lt;=EOMONTH(Front!$C$4,0),EOMONTH(B120,1),""))</f>
        <v>37711</v>
      </c>
      <c r="C121" s="14">
        <f>INDEX(MutualFunds!$C$6:$O$244,MATCH(FFWork!B121,MutualFunds!$B$6:$B$244,0),MATCH(Front!$C$2,MutualFunds!$C$4:$O$4,0))</f>
        <v>4.8923679060666053E-3</v>
      </c>
      <c r="D121" s="14">
        <f>INDEX(FamaFrench!$C$6:$F$244,MATCH(FFWork!$B121,FamaFrench!$B$6:$B$244,0),MATCH(FamaFrench!C$5,FFWork!$D$10:$F$10,0))</f>
        <v>1.09E-2</v>
      </c>
      <c r="E121" s="14">
        <f>INDEX(FamaFrench!$C$6:$F$244,MATCH(FFWork!$B121,FamaFrench!$B$6:$B$244,0),MATCH(FamaFrench!D$5,FFWork!$D$10:$F$10,0))</f>
        <v>7.7000000000000002E-3</v>
      </c>
      <c r="F121" s="14">
        <f>INDEX(FamaFrench!$C$6:$F$244,MATCH(FFWork!$B121,FamaFrench!$B$6:$B$244,0),MATCH(FamaFrench!E$5,FFWork!$D$10:$G$10,0))</f>
        <v>-1.67E-2</v>
      </c>
      <c r="G121" s="14">
        <f>INDEX(FamaFrench!$C$6:$F$244,MATCH(FFWork!$B121,FamaFrench!$B$6:$B$244,0),MATCH(FamaFrench!F$5,FFWork!$D$10:$G$10,0))</f>
        <v>1.55E-2</v>
      </c>
    </row>
    <row r="122" spans="1:7" x14ac:dyDescent="0.2">
      <c r="A122">
        <v>112</v>
      </c>
      <c r="B122" s="33">
        <f>IF(B121="","",IF(EOMONTH(B121,1)&lt;=EOMONTH(Front!$C$4,0),EOMONTH(B121,1),""))</f>
        <v>37741</v>
      </c>
      <c r="C122" s="14">
        <f>INDEX(MutualFunds!$C$6:$O$244,MATCH(FFWork!B122,MutualFunds!$B$6:$B$244,0),MATCH(Front!$C$2,MutualFunds!$C$4:$O$4,0))</f>
        <v>8.6660175267770076E-2</v>
      </c>
      <c r="D122" s="14">
        <f>INDEX(FamaFrench!$C$6:$F$244,MATCH(FFWork!$B122,FamaFrench!$B$6:$B$244,0),MATCH(FamaFrench!C$5,FFWork!$D$10:$F$10,0))</f>
        <v>8.2200000000000009E-2</v>
      </c>
      <c r="E122" s="14">
        <f>INDEX(FamaFrench!$C$6:$F$244,MATCH(FFWork!$B122,FamaFrench!$B$6:$B$244,0),MATCH(FamaFrench!D$5,FFWork!$D$10:$F$10,0))</f>
        <v>1.15E-2</v>
      </c>
      <c r="F122" s="14">
        <f>INDEX(FamaFrench!$C$6:$F$244,MATCH(FFWork!$B122,FamaFrench!$B$6:$B$244,0),MATCH(FamaFrench!E$5,FFWork!$D$10:$G$10,0))</f>
        <v>-5.9999999999999995E-4</v>
      </c>
      <c r="G122" s="14">
        <f>INDEX(FamaFrench!$C$6:$F$244,MATCH(FFWork!$B122,FamaFrench!$B$6:$B$244,0),MATCH(FamaFrench!F$5,FFWork!$D$10:$G$10,0))</f>
        <v>-9.4499999999999987E-2</v>
      </c>
    </row>
    <row r="123" spans="1:7" x14ac:dyDescent="0.2">
      <c r="A123">
        <v>113</v>
      </c>
      <c r="B123" s="33">
        <f>IF(B122="","",IF(EOMONTH(B122,1)&lt;=EOMONTH(Front!$C$4,0),EOMONTH(B122,1),""))</f>
        <v>37772</v>
      </c>
      <c r="C123" s="14">
        <f>INDEX(MutualFunds!$C$6:$O$244,MATCH(FFWork!B123,MutualFunds!$B$6:$B$244,0),MATCH(Front!$C$2,MutualFunds!$C$4:$O$4,0))</f>
        <v>7.213261648745517E-2</v>
      </c>
      <c r="D123" s="14">
        <f>INDEX(FamaFrench!$C$6:$F$244,MATCH(FFWork!$B123,FamaFrench!$B$6:$B$244,0),MATCH(FamaFrench!C$5,FFWork!$D$10:$F$10,0))</f>
        <v>6.0499999999999998E-2</v>
      </c>
      <c r="E123" s="14">
        <f>INDEX(FamaFrench!$C$6:$F$244,MATCH(FFWork!$B123,FamaFrench!$B$6:$B$244,0),MATCH(FamaFrench!D$5,FFWork!$D$10:$F$10,0))</f>
        <v>4.7800000000000002E-2</v>
      </c>
      <c r="F123" s="14">
        <f>INDEX(FamaFrench!$C$6:$F$244,MATCH(FFWork!$B123,FamaFrench!$B$6:$B$244,0),MATCH(FamaFrench!E$5,FFWork!$D$10:$G$10,0))</f>
        <v>1.5E-3</v>
      </c>
      <c r="G123" s="14">
        <f>INDEX(FamaFrench!$C$6:$F$244,MATCH(FFWork!$B123,FamaFrench!$B$6:$B$244,0),MATCH(FamaFrench!F$5,FFWork!$D$10:$G$10,0))</f>
        <v>-0.10730000000000001</v>
      </c>
    </row>
    <row r="124" spans="1:7" x14ac:dyDescent="0.2">
      <c r="A124">
        <v>114</v>
      </c>
      <c r="B124" s="33">
        <f>IF(B123="","",IF(EOMONTH(B123,1)&lt;=EOMONTH(Front!$C$4,0),EOMONTH(B123,1),""))</f>
        <v>37802</v>
      </c>
      <c r="C124" s="14">
        <f>INDEX(MutualFunds!$C$6:$O$244,MATCH(FFWork!B124,MutualFunds!$B$6:$B$244,0),MATCH(Front!$C$2,MutualFunds!$C$4:$O$4,0))</f>
        <v>8.3577099874635533E-3</v>
      </c>
      <c r="D124" s="14">
        <f>INDEX(FamaFrench!$C$6:$F$244,MATCH(FFWork!$B124,FamaFrench!$B$6:$B$244,0),MATCH(FamaFrench!C$5,FFWork!$D$10:$F$10,0))</f>
        <v>1.4199999999999999E-2</v>
      </c>
      <c r="E124" s="14">
        <f>INDEX(FamaFrench!$C$6:$F$244,MATCH(FFWork!$B124,FamaFrench!$B$6:$B$244,0),MATCH(FamaFrench!D$5,FFWork!$D$10:$F$10,0))</f>
        <v>1.5100000000000001E-2</v>
      </c>
      <c r="F124" s="14">
        <f>INDEX(FamaFrench!$C$6:$F$244,MATCH(FFWork!$B124,FamaFrench!$B$6:$B$244,0),MATCH(FamaFrench!E$5,FFWork!$D$10:$G$10,0))</f>
        <v>6.8000000000000005E-3</v>
      </c>
      <c r="G124" s="14">
        <f>INDEX(FamaFrench!$C$6:$F$244,MATCH(FFWork!$B124,FamaFrench!$B$6:$B$244,0),MATCH(FamaFrench!F$5,FFWork!$D$10:$G$10,0))</f>
        <v>-0.01</v>
      </c>
    </row>
    <row r="125" spans="1:7" x14ac:dyDescent="0.2">
      <c r="A125">
        <v>115</v>
      </c>
      <c r="B125" s="33">
        <f>IF(B124="","",IF(EOMONTH(B124,1)&lt;=EOMONTH(Front!$C$4,0),EOMONTH(B124,1),""))</f>
        <v>37833</v>
      </c>
      <c r="C125" s="14">
        <f>INDEX(MutualFunds!$C$6:$O$244,MATCH(FFWork!B125,MutualFunds!$B$6:$B$244,0),MATCH(Front!$C$2,MutualFunds!$C$4:$O$4,0))</f>
        <v>-3.3153750518028114E-3</v>
      </c>
      <c r="D125" s="14">
        <f>INDEX(FamaFrench!$C$6:$F$244,MATCH(FFWork!$B125,FamaFrench!$B$6:$B$244,0),MATCH(FamaFrench!C$5,FFWork!$D$10:$F$10,0))</f>
        <v>2.3399999999999997E-2</v>
      </c>
      <c r="E125" s="14">
        <f>INDEX(FamaFrench!$C$6:$F$244,MATCH(FFWork!$B125,FamaFrench!$B$6:$B$244,0),MATCH(FamaFrench!D$5,FFWork!$D$10:$F$10,0))</f>
        <v>5.57E-2</v>
      </c>
      <c r="F125" s="14">
        <f>INDEX(FamaFrench!$C$6:$F$244,MATCH(FFWork!$B125,FamaFrench!$B$6:$B$244,0),MATCH(FamaFrench!E$5,FFWork!$D$10:$G$10,0))</f>
        <v>-2.1099999999999997E-2</v>
      </c>
      <c r="G125" s="14">
        <f>INDEX(FamaFrench!$C$6:$F$244,MATCH(FFWork!$B125,FamaFrench!$B$6:$B$244,0),MATCH(FamaFrench!F$5,FFWork!$D$10:$G$10,0))</f>
        <v>-3.3E-3</v>
      </c>
    </row>
    <row r="126" spans="1:7" x14ac:dyDescent="0.2">
      <c r="A126">
        <v>116</v>
      </c>
      <c r="B126" s="33">
        <f>IF(B125="","",IF(EOMONTH(B125,1)&lt;=EOMONTH(Front!$C$4,0),EOMONTH(B125,1),""))</f>
        <v>37864</v>
      </c>
      <c r="C126" s="14">
        <f>INDEX(MutualFunds!$C$6:$O$244,MATCH(FFWork!B126,MutualFunds!$B$6:$B$244,0),MATCH(Front!$C$2,MutualFunds!$C$4:$O$4,0))</f>
        <v>2.7442827442827448E-2</v>
      </c>
      <c r="D126" s="14">
        <f>INDEX(FamaFrench!$C$6:$F$244,MATCH(FFWork!$B126,FamaFrench!$B$6:$B$244,0),MATCH(FamaFrench!C$5,FFWork!$D$10:$F$10,0))</f>
        <v>2.3399999999999997E-2</v>
      </c>
      <c r="E126" s="14">
        <f>INDEX(FamaFrench!$C$6:$F$244,MATCH(FFWork!$B126,FamaFrench!$B$6:$B$244,0),MATCH(FamaFrench!D$5,FFWork!$D$10:$F$10,0))</f>
        <v>2.6699999999999998E-2</v>
      </c>
      <c r="F126" s="14">
        <f>INDEX(FamaFrench!$C$6:$F$244,MATCH(FFWork!$B126,FamaFrench!$B$6:$B$244,0),MATCH(FamaFrench!E$5,FFWork!$D$10:$G$10,0))</f>
        <v>1.7100000000000001E-2</v>
      </c>
      <c r="G126" s="14">
        <f>INDEX(FamaFrench!$C$6:$F$244,MATCH(FFWork!$B126,FamaFrench!$B$6:$B$244,0),MATCH(FamaFrench!F$5,FFWork!$D$10:$G$10,0))</f>
        <v>-5.1000000000000004E-3</v>
      </c>
    </row>
    <row r="127" spans="1:7" x14ac:dyDescent="0.2">
      <c r="A127">
        <v>117</v>
      </c>
      <c r="B127" s="33">
        <f>IF(B126="","",IF(EOMONTH(B126,1)&lt;=EOMONTH(Front!$C$4,0),EOMONTH(B126,1),""))</f>
        <v>37894</v>
      </c>
      <c r="C127" s="14">
        <f>INDEX(MutualFunds!$C$6:$O$244,MATCH(FFWork!B127,MutualFunds!$B$6:$B$244,0),MATCH(Front!$C$2,MutualFunds!$C$4:$O$4,0))</f>
        <v>-1.4973694860380452E-2</v>
      </c>
      <c r="D127" s="14">
        <f>INDEX(FamaFrench!$C$6:$F$244,MATCH(FFWork!$B127,FamaFrench!$B$6:$B$244,0),MATCH(FamaFrench!C$5,FFWork!$D$10:$F$10,0))</f>
        <v>-1.24E-2</v>
      </c>
      <c r="E127" s="14">
        <f>INDEX(FamaFrench!$C$6:$F$244,MATCH(FFWork!$B127,FamaFrench!$B$6:$B$244,0),MATCH(FamaFrench!D$5,FFWork!$D$10:$F$10,0))</f>
        <v>5.5000000000000005E-3</v>
      </c>
      <c r="F127" s="14">
        <f>INDEX(FamaFrench!$C$6:$F$244,MATCH(FFWork!$B127,FamaFrench!$B$6:$B$244,0),MATCH(FamaFrench!E$5,FFWork!$D$10:$G$10,0))</f>
        <v>0.01</v>
      </c>
      <c r="G127" s="14">
        <f>INDEX(FamaFrench!$C$6:$F$244,MATCH(FFWork!$B127,FamaFrench!$B$6:$B$244,0),MATCH(FamaFrench!F$5,FFWork!$D$10:$G$10,0))</f>
        <v>-5.9999999999999995E-4</v>
      </c>
    </row>
    <row r="128" spans="1:7" x14ac:dyDescent="0.2">
      <c r="A128">
        <v>118</v>
      </c>
      <c r="B128" s="33">
        <f>IF(B127="","",IF(EOMONTH(B127,1)&lt;=EOMONTH(Front!$C$4,0),EOMONTH(B127,1),""))</f>
        <v>37925</v>
      </c>
      <c r="C128" s="14">
        <f>INDEX(MutualFunds!$C$6:$O$244,MATCH(FFWork!B128,MutualFunds!$B$6:$B$244,0),MATCH(Front!$C$2,MutualFunds!$C$4:$O$4,0))</f>
        <v>4.8069022185702616E-2</v>
      </c>
      <c r="D128" s="14">
        <f>INDEX(FamaFrench!$C$6:$F$244,MATCH(FFWork!$B128,FamaFrench!$B$6:$B$244,0),MATCH(FamaFrench!C$5,FFWork!$D$10:$F$10,0))</f>
        <v>6.08E-2</v>
      </c>
      <c r="E128" s="14">
        <f>INDEX(FamaFrench!$C$6:$F$244,MATCH(FFWork!$B128,FamaFrench!$B$6:$B$244,0),MATCH(FamaFrench!D$5,FFWork!$D$10:$F$10,0))</f>
        <v>2.8900000000000002E-2</v>
      </c>
      <c r="F128" s="14">
        <f>INDEX(FamaFrench!$C$6:$F$244,MATCH(FFWork!$B128,FamaFrench!$B$6:$B$244,0),MATCH(FamaFrench!E$5,FFWork!$D$10:$G$10,0))</f>
        <v>1.8000000000000002E-2</v>
      </c>
      <c r="G128" s="14">
        <f>INDEX(FamaFrench!$C$6:$F$244,MATCH(FFWork!$B128,FamaFrench!$B$6:$B$244,0),MATCH(FamaFrench!F$5,FFWork!$D$10:$G$10,0))</f>
        <v>3.6699999999999997E-2</v>
      </c>
    </row>
    <row r="129" spans="1:7" x14ac:dyDescent="0.2">
      <c r="A129">
        <v>119</v>
      </c>
      <c r="B129" s="33">
        <f>IF(B128="","",IF(EOMONTH(B128,1)&lt;=EOMONTH(Front!$C$4,0),EOMONTH(B128,1),""))</f>
        <v>37955</v>
      </c>
      <c r="C129" s="14">
        <f>INDEX(MutualFunds!$C$6:$O$244,MATCH(FFWork!B129,MutualFunds!$B$6:$B$244,0),MATCH(Front!$C$2,MutualFunds!$C$4:$O$4,0))</f>
        <v>2.2344178753430036E-2</v>
      </c>
      <c r="D129" s="14">
        <f>INDEX(FamaFrench!$C$6:$F$244,MATCH(FFWork!$B129,FamaFrench!$B$6:$B$244,0),MATCH(FamaFrench!C$5,FFWork!$D$10:$F$10,0))</f>
        <v>1.3500000000000002E-2</v>
      </c>
      <c r="E129" s="14">
        <f>INDEX(FamaFrench!$C$6:$F$244,MATCH(FFWork!$B129,FamaFrench!$B$6:$B$244,0),MATCH(FamaFrench!D$5,FFWork!$D$10:$F$10,0))</f>
        <v>2.2099999999999998E-2</v>
      </c>
      <c r="F129" s="14">
        <f>INDEX(FamaFrench!$C$6:$F$244,MATCH(FFWork!$B129,FamaFrench!$B$6:$B$244,0),MATCH(FamaFrench!E$5,FFWork!$D$10:$G$10,0))</f>
        <v>1.46E-2</v>
      </c>
      <c r="G129" s="14">
        <f>INDEX(FamaFrench!$C$6:$F$244,MATCH(FFWork!$B129,FamaFrench!$B$6:$B$244,0),MATCH(FamaFrench!F$5,FFWork!$D$10:$G$10,0))</f>
        <v>1.6E-2</v>
      </c>
    </row>
    <row r="130" spans="1:7" x14ac:dyDescent="0.2">
      <c r="A130">
        <v>120</v>
      </c>
      <c r="B130" s="33">
        <f>IF(B129="","",IF(EOMONTH(B129,1)&lt;=EOMONTH(Front!$C$4,0),EOMONTH(B129,1),""))</f>
        <v>37986</v>
      </c>
      <c r="C130" s="14">
        <f>INDEX(MutualFunds!$C$6:$O$244,MATCH(FFWork!B130,MutualFunds!$B$6:$B$244,0),MATCH(Front!$C$2,MutualFunds!$C$4:$O$4,0))</f>
        <v>5.5214723926380278E-2</v>
      </c>
      <c r="D130" s="14">
        <f>INDEX(FamaFrench!$C$6:$F$244,MATCH(FFWork!$B130,FamaFrench!$B$6:$B$244,0),MATCH(FamaFrench!C$5,FFWork!$D$10:$F$10,0))</f>
        <v>4.2900000000000001E-2</v>
      </c>
      <c r="E130" s="14">
        <f>INDEX(FamaFrench!$C$6:$F$244,MATCH(FFWork!$B130,FamaFrench!$B$6:$B$244,0),MATCH(FamaFrench!D$5,FFWork!$D$10:$F$10,0))</f>
        <v>-2.7799999999999998E-2</v>
      </c>
      <c r="F130" s="14">
        <f>INDEX(FamaFrench!$C$6:$F$244,MATCH(FFWork!$B130,FamaFrench!$B$6:$B$244,0),MATCH(FamaFrench!E$5,FFWork!$D$10:$G$10,0))</f>
        <v>2.6800000000000001E-2</v>
      </c>
      <c r="G130" s="14">
        <f>INDEX(FamaFrench!$C$6:$F$244,MATCH(FFWork!$B130,FamaFrench!$B$6:$B$244,0),MATCH(FamaFrench!F$5,FFWork!$D$10:$G$10,0))</f>
        <v>-5.7000000000000002E-2</v>
      </c>
    </row>
    <row r="131" spans="1:7" x14ac:dyDescent="0.2">
      <c r="A131">
        <v>121</v>
      </c>
      <c r="B131" s="33">
        <f>IF(B130="","",IF(EOMONTH(B130,1)&lt;=EOMONTH(Front!$C$4,0),EOMONTH(B130,1),""))</f>
        <v>38017</v>
      </c>
      <c r="C131" s="14">
        <f>INDEX(MutualFunds!$C$6:$O$244,MATCH(FFWork!B131,MutualFunds!$B$6:$B$244,0),MATCH(Front!$C$2,MutualFunds!$C$4:$O$4,0))</f>
        <v>2.1802325581396177E-3</v>
      </c>
      <c r="D131" s="14">
        <f>INDEX(FamaFrench!$C$6:$F$244,MATCH(FFWork!$B131,FamaFrench!$B$6:$B$244,0),MATCH(FamaFrench!C$5,FFWork!$D$10:$F$10,0))</f>
        <v>2.1499999999999998E-2</v>
      </c>
      <c r="E131" s="14">
        <f>INDEX(FamaFrench!$C$6:$F$244,MATCH(FFWork!$B131,FamaFrench!$B$6:$B$244,0),MATCH(FamaFrench!D$5,FFWork!$D$10:$F$10,0))</f>
        <v>2.63E-2</v>
      </c>
      <c r="F131" s="14">
        <f>INDEX(FamaFrench!$C$6:$F$244,MATCH(FFWork!$B131,FamaFrench!$B$6:$B$244,0),MATCH(FamaFrench!E$5,FFWork!$D$10:$G$10,0))</f>
        <v>1.6399999999999998E-2</v>
      </c>
      <c r="G131" s="14">
        <f>INDEX(FamaFrench!$C$6:$F$244,MATCH(FFWork!$B131,FamaFrench!$B$6:$B$244,0),MATCH(FamaFrench!F$5,FFWork!$D$10:$G$10,0))</f>
        <v>2.5899999999999999E-2</v>
      </c>
    </row>
    <row r="132" spans="1:7" x14ac:dyDescent="0.2">
      <c r="A132">
        <v>122</v>
      </c>
      <c r="B132" s="33" t="str">
        <f>IF(B131="","",IF(EOMONTH(B131,1)&lt;=EOMONTH(Front!$C$4,0),EOMONTH(B131,1),""))</f>
        <v/>
      </c>
      <c r="C132" s="14" t="e">
        <f>INDEX(MutualFunds!$C$6:$O$244,MATCH(FFWork!B132,MutualFunds!$B$6:$B$244,0),MATCH(Front!$C$2,MutualFunds!$C$4:$O$4,0))</f>
        <v>#N/A</v>
      </c>
      <c r="D132" s="14" t="e">
        <f>INDEX(FamaFrench!$C$6:$F$244,MATCH(FFWork!$B132,FamaFrench!$B$6:$B$244,0),MATCH(FamaFrench!C$5,FFWork!$D$10:$F$10,0))</f>
        <v>#N/A</v>
      </c>
      <c r="E132" s="14" t="e">
        <f>INDEX(FamaFrench!$C$6:$F$244,MATCH(FFWork!$B132,FamaFrench!$B$6:$B$244,0),MATCH(FamaFrench!D$5,FFWork!$D$10:$F$10,0))</f>
        <v>#N/A</v>
      </c>
      <c r="F132" s="14" t="e">
        <f>INDEX(FamaFrench!$C$6:$F$244,MATCH(FFWork!$B132,FamaFrench!$B$6:$B$244,0),MATCH(FamaFrench!E$5,FFWork!$D$10:$G$10,0))</f>
        <v>#N/A</v>
      </c>
      <c r="G132" s="14" t="e">
        <f>INDEX(FamaFrench!$C$6:$F$244,MATCH(FFWork!$B132,FamaFrench!$B$6:$B$244,0),MATCH(FamaFrench!F$5,FFWork!$D$10:$G$10,0))</f>
        <v>#N/A</v>
      </c>
    </row>
    <row r="133" spans="1:7" x14ac:dyDescent="0.2">
      <c r="A133">
        <v>123</v>
      </c>
      <c r="B133" s="33" t="str">
        <f>IF(B132="","",IF(EOMONTH(B132,1)&lt;=EOMONTH(Front!$C$4,0),EOMONTH(B132,1),""))</f>
        <v/>
      </c>
      <c r="C133" s="14" t="e">
        <f>INDEX(MutualFunds!$C$6:$O$244,MATCH(FFWork!B133,MutualFunds!$B$6:$B$244,0),MATCH(Front!$C$2,MutualFunds!$C$4:$O$4,0))</f>
        <v>#N/A</v>
      </c>
      <c r="D133" s="14" t="e">
        <f>INDEX(FamaFrench!$C$6:$F$244,MATCH(FFWork!$B133,FamaFrench!$B$6:$B$244,0),MATCH(FamaFrench!C$5,FFWork!$D$10:$F$10,0))</f>
        <v>#N/A</v>
      </c>
      <c r="E133" s="14" t="e">
        <f>INDEX(FamaFrench!$C$6:$F$244,MATCH(FFWork!$B133,FamaFrench!$B$6:$B$244,0),MATCH(FamaFrench!D$5,FFWork!$D$10:$F$10,0))</f>
        <v>#N/A</v>
      </c>
      <c r="F133" s="14" t="e">
        <f>INDEX(FamaFrench!$C$6:$F$244,MATCH(FFWork!$B133,FamaFrench!$B$6:$B$244,0),MATCH(FamaFrench!E$5,FFWork!$D$10:$G$10,0))</f>
        <v>#N/A</v>
      </c>
      <c r="G133" s="14" t="e">
        <f>INDEX(FamaFrench!$C$6:$F$244,MATCH(FFWork!$B133,FamaFrench!$B$6:$B$244,0),MATCH(FamaFrench!F$5,FFWork!$D$10:$G$10,0))</f>
        <v>#N/A</v>
      </c>
    </row>
    <row r="134" spans="1:7" x14ac:dyDescent="0.2">
      <c r="A134">
        <v>124</v>
      </c>
      <c r="B134" s="33" t="str">
        <f>IF(B133="","",IF(EOMONTH(B133,1)&lt;=EOMONTH(Front!$C$4,0),EOMONTH(B133,1),""))</f>
        <v/>
      </c>
      <c r="C134" s="14" t="e">
        <f>INDEX(MutualFunds!$C$6:$O$244,MATCH(FFWork!B134,MutualFunds!$B$6:$B$244,0),MATCH(Front!$C$2,MutualFunds!$C$4:$O$4,0))</f>
        <v>#N/A</v>
      </c>
      <c r="D134" s="14" t="e">
        <f>INDEX(FamaFrench!$C$6:$F$244,MATCH(FFWork!$B134,FamaFrench!$B$6:$B$244,0),MATCH(FamaFrench!C$5,FFWork!$D$10:$F$10,0))</f>
        <v>#N/A</v>
      </c>
      <c r="E134" s="14" t="e">
        <f>INDEX(FamaFrench!$C$6:$F$244,MATCH(FFWork!$B134,FamaFrench!$B$6:$B$244,0),MATCH(FamaFrench!D$5,FFWork!$D$10:$F$10,0))</f>
        <v>#N/A</v>
      </c>
      <c r="F134" s="14" t="e">
        <f>INDEX(FamaFrench!$C$6:$F$244,MATCH(FFWork!$B134,FamaFrench!$B$6:$B$244,0),MATCH(FamaFrench!E$5,FFWork!$D$10:$G$10,0))</f>
        <v>#N/A</v>
      </c>
      <c r="G134" s="14" t="e">
        <f>INDEX(FamaFrench!$C$6:$F$244,MATCH(FFWork!$B134,FamaFrench!$B$6:$B$244,0),MATCH(FamaFrench!F$5,FFWork!$D$10:$G$10,0))</f>
        <v>#N/A</v>
      </c>
    </row>
    <row r="135" spans="1:7" x14ac:dyDescent="0.2">
      <c r="A135">
        <v>125</v>
      </c>
      <c r="B135" s="33" t="str">
        <f>IF(B134="","",IF(EOMONTH(B134,1)&lt;=EOMONTH(Front!$C$4,0),EOMONTH(B134,1),""))</f>
        <v/>
      </c>
      <c r="C135" s="14" t="e">
        <f>INDEX(MutualFunds!$C$6:$O$244,MATCH(FFWork!B135,MutualFunds!$B$6:$B$244,0),MATCH(Front!$C$2,MutualFunds!$C$4:$O$4,0))</f>
        <v>#N/A</v>
      </c>
      <c r="D135" s="14" t="e">
        <f>INDEX(FamaFrench!$C$6:$F$244,MATCH(FFWork!$B135,FamaFrench!$B$6:$B$244,0),MATCH(FamaFrench!C$5,FFWork!$D$10:$F$10,0))</f>
        <v>#N/A</v>
      </c>
      <c r="E135" s="14" t="e">
        <f>INDEX(FamaFrench!$C$6:$F$244,MATCH(FFWork!$B135,FamaFrench!$B$6:$B$244,0),MATCH(FamaFrench!D$5,FFWork!$D$10:$F$10,0))</f>
        <v>#N/A</v>
      </c>
      <c r="F135" s="14" t="e">
        <f>INDEX(FamaFrench!$C$6:$F$244,MATCH(FFWork!$B135,FamaFrench!$B$6:$B$244,0),MATCH(FamaFrench!E$5,FFWork!$D$10:$G$10,0))</f>
        <v>#N/A</v>
      </c>
      <c r="G135" s="14" t="e">
        <f>INDEX(FamaFrench!$C$6:$F$244,MATCH(FFWork!$B135,FamaFrench!$B$6:$B$244,0),MATCH(FamaFrench!F$5,FFWork!$D$10:$G$10,0))</f>
        <v>#N/A</v>
      </c>
    </row>
    <row r="136" spans="1:7" x14ac:dyDescent="0.2">
      <c r="A136">
        <v>126</v>
      </c>
      <c r="B136" s="33" t="str">
        <f>IF(B135="","",IF(EOMONTH(B135,1)&lt;=EOMONTH(Front!$C$4,0),EOMONTH(B135,1),""))</f>
        <v/>
      </c>
      <c r="C136" s="14" t="e">
        <f>INDEX(MutualFunds!$C$6:$O$244,MATCH(FFWork!B136,MutualFunds!$B$6:$B$244,0),MATCH(Front!$C$2,MutualFunds!$C$4:$O$4,0))</f>
        <v>#N/A</v>
      </c>
      <c r="D136" s="14" t="e">
        <f>INDEX(FamaFrench!$C$6:$F$244,MATCH(FFWork!$B136,FamaFrench!$B$6:$B$244,0),MATCH(FamaFrench!C$5,FFWork!$D$10:$F$10,0))</f>
        <v>#N/A</v>
      </c>
      <c r="E136" s="14" t="e">
        <f>INDEX(FamaFrench!$C$6:$F$244,MATCH(FFWork!$B136,FamaFrench!$B$6:$B$244,0),MATCH(FamaFrench!D$5,FFWork!$D$10:$F$10,0))</f>
        <v>#N/A</v>
      </c>
      <c r="F136" s="14" t="e">
        <f>INDEX(FamaFrench!$C$6:$F$244,MATCH(FFWork!$B136,FamaFrench!$B$6:$B$244,0),MATCH(FamaFrench!E$5,FFWork!$D$10:$G$10,0))</f>
        <v>#N/A</v>
      </c>
      <c r="G136" s="14" t="e">
        <f>INDEX(FamaFrench!$C$6:$F$244,MATCH(FFWork!$B136,FamaFrench!$B$6:$B$244,0),MATCH(FamaFrench!F$5,FFWork!$D$10:$G$10,0))</f>
        <v>#N/A</v>
      </c>
    </row>
    <row r="137" spans="1:7" x14ac:dyDescent="0.2">
      <c r="A137">
        <v>127</v>
      </c>
      <c r="B137" s="33" t="str">
        <f>IF(B136="","",IF(EOMONTH(B136,1)&lt;=EOMONTH(Front!$C$4,0),EOMONTH(B136,1),""))</f>
        <v/>
      </c>
      <c r="C137" s="14" t="e">
        <f>INDEX(MutualFunds!$C$6:$O$244,MATCH(FFWork!B137,MutualFunds!$B$6:$B$244,0),MATCH(Front!$C$2,MutualFunds!$C$4:$O$4,0))</f>
        <v>#N/A</v>
      </c>
      <c r="D137" s="14" t="e">
        <f>INDEX(FamaFrench!$C$6:$F$244,MATCH(FFWork!$B137,FamaFrench!$B$6:$B$244,0),MATCH(FamaFrench!C$5,FFWork!$D$10:$F$10,0))</f>
        <v>#N/A</v>
      </c>
      <c r="E137" s="14" t="e">
        <f>INDEX(FamaFrench!$C$6:$F$244,MATCH(FFWork!$B137,FamaFrench!$B$6:$B$244,0),MATCH(FamaFrench!D$5,FFWork!$D$10:$F$10,0))</f>
        <v>#N/A</v>
      </c>
      <c r="F137" s="14" t="e">
        <f>INDEX(FamaFrench!$C$6:$F$244,MATCH(FFWork!$B137,FamaFrench!$B$6:$B$244,0),MATCH(FamaFrench!E$5,FFWork!$D$10:$G$10,0))</f>
        <v>#N/A</v>
      </c>
      <c r="G137" s="14" t="e">
        <f>INDEX(FamaFrench!$C$6:$F$244,MATCH(FFWork!$B137,FamaFrench!$B$6:$B$244,0),MATCH(FamaFrench!F$5,FFWork!$D$10:$G$10,0))</f>
        <v>#N/A</v>
      </c>
    </row>
    <row r="138" spans="1:7" x14ac:dyDescent="0.2">
      <c r="A138">
        <v>128</v>
      </c>
      <c r="B138" s="33" t="str">
        <f>IF(B137="","",IF(EOMONTH(B137,1)&lt;=EOMONTH(Front!$C$4,0),EOMONTH(B137,1),""))</f>
        <v/>
      </c>
      <c r="C138" s="14" t="e">
        <f>INDEX(MutualFunds!$C$6:$O$244,MATCH(FFWork!B138,MutualFunds!$B$6:$B$244,0),MATCH(Front!$C$2,MutualFunds!$C$4:$O$4,0))</f>
        <v>#N/A</v>
      </c>
      <c r="D138" s="14" t="e">
        <f>INDEX(FamaFrench!$C$6:$F$244,MATCH(FFWork!$B138,FamaFrench!$B$6:$B$244,0),MATCH(FamaFrench!C$5,FFWork!$D$10:$F$10,0))</f>
        <v>#N/A</v>
      </c>
      <c r="E138" s="14" t="e">
        <f>INDEX(FamaFrench!$C$6:$F$244,MATCH(FFWork!$B138,FamaFrench!$B$6:$B$244,0),MATCH(FamaFrench!D$5,FFWork!$D$10:$F$10,0))</f>
        <v>#N/A</v>
      </c>
      <c r="F138" s="14" t="e">
        <f>INDEX(FamaFrench!$C$6:$F$244,MATCH(FFWork!$B138,FamaFrench!$B$6:$B$244,0),MATCH(FamaFrench!E$5,FFWork!$D$10:$G$10,0))</f>
        <v>#N/A</v>
      </c>
      <c r="G138" s="14" t="e">
        <f>INDEX(FamaFrench!$C$6:$F$244,MATCH(FFWork!$B138,FamaFrench!$B$6:$B$244,0),MATCH(FamaFrench!F$5,FFWork!$D$10:$G$10,0))</f>
        <v>#N/A</v>
      </c>
    </row>
    <row r="139" spans="1:7" x14ac:dyDescent="0.2">
      <c r="A139">
        <v>129</v>
      </c>
      <c r="B139" s="33" t="str">
        <f>IF(B138="","",IF(EOMONTH(B138,1)&lt;=EOMONTH(Front!$C$4,0),EOMONTH(B138,1),""))</f>
        <v/>
      </c>
      <c r="C139" s="14" t="e">
        <f>INDEX(MutualFunds!$C$6:$O$244,MATCH(FFWork!B139,MutualFunds!$B$6:$B$244,0),MATCH(Front!$C$2,MutualFunds!$C$4:$O$4,0))</f>
        <v>#N/A</v>
      </c>
      <c r="D139" s="14" t="e">
        <f>INDEX(FamaFrench!$C$6:$F$244,MATCH(FFWork!$B139,FamaFrench!$B$6:$B$244,0),MATCH(FamaFrench!C$5,FFWork!$D$10:$F$10,0))</f>
        <v>#N/A</v>
      </c>
      <c r="E139" s="14" t="e">
        <f>INDEX(FamaFrench!$C$6:$F$244,MATCH(FFWork!$B139,FamaFrench!$B$6:$B$244,0),MATCH(FamaFrench!D$5,FFWork!$D$10:$F$10,0))</f>
        <v>#N/A</v>
      </c>
      <c r="F139" s="14" t="e">
        <f>INDEX(FamaFrench!$C$6:$F$244,MATCH(FFWork!$B139,FamaFrench!$B$6:$B$244,0),MATCH(FamaFrench!E$5,FFWork!$D$10:$G$10,0))</f>
        <v>#N/A</v>
      </c>
      <c r="G139" s="14" t="e">
        <f>INDEX(FamaFrench!$C$6:$F$244,MATCH(FFWork!$B139,FamaFrench!$B$6:$B$244,0),MATCH(FamaFrench!F$5,FFWork!$D$10:$G$10,0))</f>
        <v>#N/A</v>
      </c>
    </row>
    <row r="140" spans="1:7" x14ac:dyDescent="0.2">
      <c r="A140">
        <v>130</v>
      </c>
      <c r="B140" s="33" t="str">
        <f>IF(B139="","",IF(EOMONTH(B139,1)&lt;=EOMONTH(Front!$C$4,0),EOMONTH(B139,1),""))</f>
        <v/>
      </c>
      <c r="C140" s="14" t="e">
        <f>INDEX(MutualFunds!$C$6:$O$244,MATCH(FFWork!B140,MutualFunds!$B$6:$B$244,0),MATCH(Front!$C$2,MutualFunds!$C$4:$O$4,0))</f>
        <v>#N/A</v>
      </c>
      <c r="D140" s="14" t="e">
        <f>INDEX(FamaFrench!$C$6:$F$244,MATCH(FFWork!$B140,FamaFrench!$B$6:$B$244,0),MATCH(FamaFrench!C$5,FFWork!$D$10:$F$10,0))</f>
        <v>#N/A</v>
      </c>
      <c r="E140" s="14" t="e">
        <f>INDEX(FamaFrench!$C$6:$F$244,MATCH(FFWork!$B140,FamaFrench!$B$6:$B$244,0),MATCH(FamaFrench!D$5,FFWork!$D$10:$F$10,0))</f>
        <v>#N/A</v>
      </c>
      <c r="F140" s="14" t="e">
        <f>INDEX(FamaFrench!$C$6:$F$244,MATCH(FFWork!$B140,FamaFrench!$B$6:$B$244,0),MATCH(FamaFrench!E$5,FFWork!$D$10:$G$10,0))</f>
        <v>#N/A</v>
      </c>
      <c r="G140" s="14" t="e">
        <f>INDEX(FamaFrench!$C$6:$F$244,MATCH(FFWork!$B140,FamaFrench!$B$6:$B$244,0),MATCH(FamaFrench!F$5,FFWork!$D$10:$G$10,0))</f>
        <v>#N/A</v>
      </c>
    </row>
    <row r="141" spans="1:7" x14ac:dyDescent="0.2">
      <c r="A141">
        <v>131</v>
      </c>
      <c r="B141" s="33" t="str">
        <f>IF(B140="","",IF(EOMONTH(B140,1)&lt;=EOMONTH(Front!$C$4,0),EOMONTH(B140,1),""))</f>
        <v/>
      </c>
      <c r="C141" s="14" t="e">
        <f>INDEX(MutualFunds!$C$6:$O$244,MATCH(FFWork!B141,MutualFunds!$B$6:$B$244,0),MATCH(Front!$C$2,MutualFunds!$C$4:$O$4,0))</f>
        <v>#N/A</v>
      </c>
      <c r="D141" s="14" t="e">
        <f>INDEX(FamaFrench!$C$6:$F$244,MATCH(FFWork!$B141,FamaFrench!$B$6:$B$244,0),MATCH(FamaFrench!C$5,FFWork!$D$10:$F$10,0))</f>
        <v>#N/A</v>
      </c>
      <c r="E141" s="14" t="e">
        <f>INDEX(FamaFrench!$C$6:$F$244,MATCH(FFWork!$B141,FamaFrench!$B$6:$B$244,0),MATCH(FamaFrench!D$5,FFWork!$D$10:$F$10,0))</f>
        <v>#N/A</v>
      </c>
      <c r="F141" s="14" t="e">
        <f>INDEX(FamaFrench!$C$6:$F$244,MATCH(FFWork!$B141,FamaFrench!$B$6:$B$244,0),MATCH(FamaFrench!E$5,FFWork!$D$10:$G$10,0))</f>
        <v>#N/A</v>
      </c>
      <c r="G141" s="14" t="e">
        <f>INDEX(FamaFrench!$C$6:$F$244,MATCH(FFWork!$B141,FamaFrench!$B$6:$B$244,0),MATCH(FamaFrench!F$5,FFWork!$D$10:$G$10,0))</f>
        <v>#N/A</v>
      </c>
    </row>
    <row r="142" spans="1:7" x14ac:dyDescent="0.2">
      <c r="A142">
        <v>132</v>
      </c>
      <c r="B142" s="33" t="str">
        <f>IF(B141="","",IF(EOMONTH(B141,1)&lt;=EOMONTH(Front!$C$4,0),EOMONTH(B141,1),""))</f>
        <v/>
      </c>
      <c r="C142" s="14" t="e">
        <f>INDEX(MutualFunds!$C$6:$O$244,MATCH(FFWork!B142,MutualFunds!$B$6:$B$244,0),MATCH(Front!$C$2,MutualFunds!$C$4:$O$4,0))</f>
        <v>#N/A</v>
      </c>
      <c r="D142" s="14" t="e">
        <f>INDEX(FamaFrench!$C$6:$F$244,MATCH(FFWork!$B142,FamaFrench!$B$6:$B$244,0),MATCH(FamaFrench!C$5,FFWork!$D$10:$F$10,0))</f>
        <v>#N/A</v>
      </c>
      <c r="E142" s="14" t="e">
        <f>INDEX(FamaFrench!$C$6:$F$244,MATCH(FFWork!$B142,FamaFrench!$B$6:$B$244,0),MATCH(FamaFrench!D$5,FFWork!$D$10:$F$10,0))</f>
        <v>#N/A</v>
      </c>
      <c r="F142" s="14" t="e">
        <f>INDEX(FamaFrench!$C$6:$F$244,MATCH(FFWork!$B142,FamaFrench!$B$6:$B$244,0),MATCH(FamaFrench!E$5,FFWork!$D$10:$G$10,0))</f>
        <v>#N/A</v>
      </c>
      <c r="G142" s="14" t="e">
        <f>INDEX(FamaFrench!$C$6:$F$244,MATCH(FFWork!$B142,FamaFrench!$B$6:$B$244,0),MATCH(FamaFrench!F$5,FFWork!$D$10:$G$10,0))</f>
        <v>#N/A</v>
      </c>
    </row>
    <row r="143" spans="1:7" x14ac:dyDescent="0.2">
      <c r="A143">
        <v>133</v>
      </c>
      <c r="B143" s="33" t="str">
        <f>IF(B142="","",IF(EOMONTH(B142,1)&lt;=EOMONTH(Front!$C$4,0),EOMONTH(B142,1),""))</f>
        <v/>
      </c>
      <c r="C143" s="14" t="e">
        <f>INDEX(MutualFunds!$C$6:$O$244,MATCH(FFWork!B143,MutualFunds!$B$6:$B$244,0),MATCH(Front!$C$2,MutualFunds!$C$4:$O$4,0))</f>
        <v>#N/A</v>
      </c>
      <c r="D143" s="14" t="e">
        <f>INDEX(FamaFrench!$C$6:$F$244,MATCH(FFWork!$B143,FamaFrench!$B$6:$B$244,0),MATCH(FamaFrench!C$5,FFWork!$D$10:$F$10,0))</f>
        <v>#N/A</v>
      </c>
      <c r="E143" s="14" t="e">
        <f>INDEX(FamaFrench!$C$6:$F$244,MATCH(FFWork!$B143,FamaFrench!$B$6:$B$244,0),MATCH(FamaFrench!D$5,FFWork!$D$10:$F$10,0))</f>
        <v>#N/A</v>
      </c>
      <c r="F143" s="14" t="e">
        <f>INDEX(FamaFrench!$C$6:$F$244,MATCH(FFWork!$B143,FamaFrench!$B$6:$B$244,0),MATCH(FamaFrench!E$5,FFWork!$D$10:$G$10,0))</f>
        <v>#N/A</v>
      </c>
      <c r="G143" s="14" t="e">
        <f>INDEX(FamaFrench!$C$6:$F$244,MATCH(FFWork!$B143,FamaFrench!$B$6:$B$244,0),MATCH(FamaFrench!F$5,FFWork!$D$10:$G$10,0))</f>
        <v>#N/A</v>
      </c>
    </row>
    <row r="144" spans="1:7" x14ac:dyDescent="0.2">
      <c r="A144">
        <v>134</v>
      </c>
      <c r="B144" s="33" t="str">
        <f>IF(B143="","",IF(EOMONTH(B143,1)&lt;=EOMONTH(Front!$C$4,0),EOMONTH(B143,1),""))</f>
        <v/>
      </c>
      <c r="C144" s="14" t="e">
        <f>INDEX(MutualFunds!$C$6:$O$244,MATCH(FFWork!B144,MutualFunds!$B$6:$B$244,0),MATCH(Front!$C$2,MutualFunds!$C$4:$O$4,0))</f>
        <v>#N/A</v>
      </c>
      <c r="D144" s="14" t="e">
        <f>INDEX(FamaFrench!$C$6:$F$244,MATCH(FFWork!$B144,FamaFrench!$B$6:$B$244,0),MATCH(FamaFrench!C$5,FFWork!$D$10:$F$10,0))</f>
        <v>#N/A</v>
      </c>
      <c r="E144" s="14" t="e">
        <f>INDEX(FamaFrench!$C$6:$F$244,MATCH(FFWork!$B144,FamaFrench!$B$6:$B$244,0),MATCH(FamaFrench!D$5,FFWork!$D$10:$F$10,0))</f>
        <v>#N/A</v>
      </c>
      <c r="F144" s="14" t="e">
        <f>INDEX(FamaFrench!$C$6:$F$244,MATCH(FFWork!$B144,FamaFrench!$B$6:$B$244,0),MATCH(FamaFrench!E$5,FFWork!$D$10:$G$10,0))</f>
        <v>#N/A</v>
      </c>
      <c r="G144" s="14" t="e">
        <f>INDEX(FamaFrench!$C$6:$F$244,MATCH(FFWork!$B144,FamaFrench!$B$6:$B$244,0),MATCH(FamaFrench!F$5,FFWork!$D$10:$G$10,0))</f>
        <v>#N/A</v>
      </c>
    </row>
    <row r="145" spans="1:7" x14ac:dyDescent="0.2">
      <c r="A145">
        <v>135</v>
      </c>
      <c r="B145" s="33" t="str">
        <f>IF(B144="","",IF(EOMONTH(B144,1)&lt;=EOMONTH(Front!$C$4,0),EOMONTH(B144,1),""))</f>
        <v/>
      </c>
      <c r="C145" s="14" t="e">
        <f>INDEX(MutualFunds!$C$6:$O$244,MATCH(FFWork!B145,MutualFunds!$B$6:$B$244,0),MATCH(Front!$C$2,MutualFunds!$C$4:$O$4,0))</f>
        <v>#N/A</v>
      </c>
      <c r="D145" s="14" t="e">
        <f>INDEX(FamaFrench!$C$6:$F$244,MATCH(FFWork!$B145,FamaFrench!$B$6:$B$244,0),MATCH(FamaFrench!C$5,FFWork!$D$10:$F$10,0))</f>
        <v>#N/A</v>
      </c>
      <c r="E145" s="14" t="e">
        <f>INDEX(FamaFrench!$C$6:$F$244,MATCH(FFWork!$B145,FamaFrench!$B$6:$B$244,0),MATCH(FamaFrench!D$5,FFWork!$D$10:$F$10,0))</f>
        <v>#N/A</v>
      </c>
      <c r="F145" s="14" t="e">
        <f>INDEX(FamaFrench!$C$6:$F$244,MATCH(FFWork!$B145,FamaFrench!$B$6:$B$244,0),MATCH(FamaFrench!E$5,FFWork!$D$10:$G$10,0))</f>
        <v>#N/A</v>
      </c>
      <c r="G145" s="14" t="e">
        <f>INDEX(FamaFrench!$C$6:$F$244,MATCH(FFWork!$B145,FamaFrench!$B$6:$B$244,0),MATCH(FamaFrench!F$5,FFWork!$D$10:$G$10,0))</f>
        <v>#N/A</v>
      </c>
    </row>
    <row r="146" spans="1:7" x14ac:dyDescent="0.2">
      <c r="A146">
        <v>136</v>
      </c>
      <c r="B146" s="33" t="str">
        <f>IF(B145="","",IF(EOMONTH(B145,1)&lt;=EOMONTH(Front!$C$4,0),EOMONTH(B145,1),""))</f>
        <v/>
      </c>
      <c r="C146" s="14" t="e">
        <f>INDEX(MutualFunds!$C$6:$O$244,MATCH(FFWork!B146,MutualFunds!$B$6:$B$244,0),MATCH(Front!$C$2,MutualFunds!$C$4:$O$4,0))</f>
        <v>#N/A</v>
      </c>
      <c r="D146" s="14" t="e">
        <f>INDEX(FamaFrench!$C$6:$F$244,MATCH(FFWork!$B146,FamaFrench!$B$6:$B$244,0),MATCH(FamaFrench!C$5,FFWork!$D$10:$F$10,0))</f>
        <v>#N/A</v>
      </c>
      <c r="E146" s="14" t="e">
        <f>INDEX(FamaFrench!$C$6:$F$244,MATCH(FFWork!$B146,FamaFrench!$B$6:$B$244,0),MATCH(FamaFrench!D$5,FFWork!$D$10:$F$10,0))</f>
        <v>#N/A</v>
      </c>
      <c r="F146" s="14" t="e">
        <f>INDEX(FamaFrench!$C$6:$F$244,MATCH(FFWork!$B146,FamaFrench!$B$6:$B$244,0),MATCH(FamaFrench!E$5,FFWork!$D$10:$G$10,0))</f>
        <v>#N/A</v>
      </c>
      <c r="G146" s="14" t="e">
        <f>INDEX(FamaFrench!$C$6:$F$244,MATCH(FFWork!$B146,FamaFrench!$B$6:$B$244,0),MATCH(FamaFrench!F$5,FFWork!$D$10:$G$10,0))</f>
        <v>#N/A</v>
      </c>
    </row>
    <row r="147" spans="1:7" x14ac:dyDescent="0.2">
      <c r="A147">
        <v>137</v>
      </c>
      <c r="B147" s="33" t="str">
        <f>IF(B146="","",IF(EOMONTH(B146,1)&lt;=EOMONTH(Front!$C$4,0),EOMONTH(B146,1),""))</f>
        <v/>
      </c>
      <c r="C147" s="14" t="e">
        <f>INDEX(MutualFunds!$C$6:$O$244,MATCH(FFWork!B147,MutualFunds!$B$6:$B$244,0),MATCH(Front!$C$2,MutualFunds!$C$4:$O$4,0))</f>
        <v>#N/A</v>
      </c>
      <c r="D147" s="14" t="e">
        <f>INDEX(FamaFrench!$C$6:$F$244,MATCH(FFWork!$B147,FamaFrench!$B$6:$B$244,0),MATCH(FamaFrench!C$5,FFWork!$D$10:$F$10,0))</f>
        <v>#N/A</v>
      </c>
      <c r="E147" s="14" t="e">
        <f>INDEX(FamaFrench!$C$6:$F$244,MATCH(FFWork!$B147,FamaFrench!$B$6:$B$244,0),MATCH(FamaFrench!D$5,FFWork!$D$10:$F$10,0))</f>
        <v>#N/A</v>
      </c>
      <c r="F147" s="14" t="e">
        <f>INDEX(FamaFrench!$C$6:$F$244,MATCH(FFWork!$B147,FamaFrench!$B$6:$B$244,0),MATCH(FamaFrench!E$5,FFWork!$D$10:$G$10,0))</f>
        <v>#N/A</v>
      </c>
      <c r="G147" s="14" t="e">
        <f>INDEX(FamaFrench!$C$6:$F$244,MATCH(FFWork!$B147,FamaFrench!$B$6:$B$244,0),MATCH(FamaFrench!F$5,FFWork!$D$10:$G$10,0))</f>
        <v>#N/A</v>
      </c>
    </row>
    <row r="148" spans="1:7" x14ac:dyDescent="0.2">
      <c r="A148">
        <v>138</v>
      </c>
      <c r="B148" s="33" t="str">
        <f>IF(B147="","",IF(EOMONTH(B147,1)&lt;=EOMONTH(Front!$C$4,0),EOMONTH(B147,1),""))</f>
        <v/>
      </c>
      <c r="C148" s="14" t="e">
        <f>INDEX(MutualFunds!$C$6:$O$244,MATCH(FFWork!B148,MutualFunds!$B$6:$B$244,0),MATCH(Front!$C$2,MutualFunds!$C$4:$O$4,0))</f>
        <v>#N/A</v>
      </c>
      <c r="D148" s="14" t="e">
        <f>INDEX(FamaFrench!$C$6:$F$244,MATCH(FFWork!$B148,FamaFrench!$B$6:$B$244,0),MATCH(FamaFrench!C$5,FFWork!$D$10:$F$10,0))</f>
        <v>#N/A</v>
      </c>
      <c r="E148" s="14" t="e">
        <f>INDEX(FamaFrench!$C$6:$F$244,MATCH(FFWork!$B148,FamaFrench!$B$6:$B$244,0),MATCH(FamaFrench!D$5,FFWork!$D$10:$F$10,0))</f>
        <v>#N/A</v>
      </c>
      <c r="F148" s="14" t="e">
        <f>INDEX(FamaFrench!$C$6:$F$244,MATCH(FFWork!$B148,FamaFrench!$B$6:$B$244,0),MATCH(FamaFrench!E$5,FFWork!$D$10:$G$10,0))</f>
        <v>#N/A</v>
      </c>
      <c r="G148" s="14" t="e">
        <f>INDEX(FamaFrench!$C$6:$F$244,MATCH(FFWork!$B148,FamaFrench!$B$6:$B$244,0),MATCH(FamaFrench!F$5,FFWork!$D$10:$G$10,0))</f>
        <v>#N/A</v>
      </c>
    </row>
    <row r="149" spans="1:7" x14ac:dyDescent="0.2">
      <c r="A149">
        <v>139</v>
      </c>
      <c r="B149" s="33" t="str">
        <f>IF(B148="","",IF(EOMONTH(B148,1)&lt;=EOMONTH(Front!$C$4,0),EOMONTH(B148,1),""))</f>
        <v/>
      </c>
      <c r="C149" s="14" t="e">
        <f>INDEX(MutualFunds!$C$6:$O$244,MATCH(FFWork!B149,MutualFunds!$B$6:$B$244,0),MATCH(Front!$C$2,MutualFunds!$C$4:$O$4,0))</f>
        <v>#N/A</v>
      </c>
      <c r="D149" s="14" t="e">
        <f>INDEX(FamaFrench!$C$6:$F$244,MATCH(FFWork!$B149,FamaFrench!$B$6:$B$244,0),MATCH(FamaFrench!C$5,FFWork!$D$10:$F$10,0))</f>
        <v>#N/A</v>
      </c>
      <c r="E149" s="14" t="e">
        <f>INDEX(FamaFrench!$C$6:$F$244,MATCH(FFWork!$B149,FamaFrench!$B$6:$B$244,0),MATCH(FamaFrench!D$5,FFWork!$D$10:$F$10,0))</f>
        <v>#N/A</v>
      </c>
      <c r="F149" s="14" t="e">
        <f>INDEX(FamaFrench!$C$6:$F$244,MATCH(FFWork!$B149,FamaFrench!$B$6:$B$244,0),MATCH(FamaFrench!E$5,FFWork!$D$10:$G$10,0))</f>
        <v>#N/A</v>
      </c>
      <c r="G149" s="14" t="e">
        <f>INDEX(FamaFrench!$C$6:$F$244,MATCH(FFWork!$B149,FamaFrench!$B$6:$B$244,0),MATCH(FamaFrench!F$5,FFWork!$D$10:$G$10,0))</f>
        <v>#N/A</v>
      </c>
    </row>
    <row r="150" spans="1:7" x14ac:dyDescent="0.2">
      <c r="A150">
        <v>140</v>
      </c>
      <c r="B150" s="33" t="str">
        <f>IF(B149="","",IF(EOMONTH(B149,1)&lt;=EOMONTH(Front!$C$4,0),EOMONTH(B149,1),""))</f>
        <v/>
      </c>
      <c r="C150" s="14" t="e">
        <f>INDEX(MutualFunds!$C$6:$O$244,MATCH(FFWork!B150,MutualFunds!$B$6:$B$244,0),MATCH(Front!$C$2,MutualFunds!$C$4:$O$4,0))</f>
        <v>#N/A</v>
      </c>
      <c r="D150" s="14" t="e">
        <f>INDEX(FamaFrench!$C$6:$F$244,MATCH(FFWork!$B150,FamaFrench!$B$6:$B$244,0),MATCH(FamaFrench!C$5,FFWork!$D$10:$F$10,0))</f>
        <v>#N/A</v>
      </c>
      <c r="E150" s="14" t="e">
        <f>INDEX(FamaFrench!$C$6:$F$244,MATCH(FFWork!$B150,FamaFrench!$B$6:$B$244,0),MATCH(FamaFrench!D$5,FFWork!$D$10:$F$10,0))</f>
        <v>#N/A</v>
      </c>
      <c r="F150" s="14" t="e">
        <f>INDEX(FamaFrench!$C$6:$F$244,MATCH(FFWork!$B150,FamaFrench!$B$6:$B$244,0),MATCH(FamaFrench!E$5,FFWork!$D$10:$G$10,0))</f>
        <v>#N/A</v>
      </c>
      <c r="G150" s="14" t="e">
        <f>INDEX(FamaFrench!$C$6:$F$244,MATCH(FFWork!$B150,FamaFrench!$B$6:$B$244,0),MATCH(FamaFrench!F$5,FFWork!$D$10:$G$10,0))</f>
        <v>#N/A</v>
      </c>
    </row>
    <row r="151" spans="1:7" x14ac:dyDescent="0.2">
      <c r="A151">
        <v>141</v>
      </c>
      <c r="B151" s="33" t="str">
        <f>IF(B150="","",IF(EOMONTH(B150,1)&lt;=EOMONTH(Front!$C$4,0),EOMONTH(B150,1),""))</f>
        <v/>
      </c>
      <c r="C151" s="14" t="e">
        <f>INDEX(MutualFunds!$C$6:$O$244,MATCH(FFWork!B151,MutualFunds!$B$6:$B$244,0),MATCH(Front!$C$2,MutualFunds!$C$4:$O$4,0))</f>
        <v>#N/A</v>
      </c>
      <c r="D151" s="14" t="e">
        <f>INDEX(FamaFrench!$C$6:$F$244,MATCH(FFWork!$B151,FamaFrench!$B$6:$B$244,0),MATCH(FamaFrench!C$5,FFWork!$D$10:$F$10,0))</f>
        <v>#N/A</v>
      </c>
      <c r="E151" s="14" t="e">
        <f>INDEX(FamaFrench!$C$6:$F$244,MATCH(FFWork!$B151,FamaFrench!$B$6:$B$244,0),MATCH(FamaFrench!D$5,FFWork!$D$10:$F$10,0))</f>
        <v>#N/A</v>
      </c>
      <c r="F151" s="14" t="e">
        <f>INDEX(FamaFrench!$C$6:$F$244,MATCH(FFWork!$B151,FamaFrench!$B$6:$B$244,0),MATCH(FamaFrench!E$5,FFWork!$D$10:$G$10,0))</f>
        <v>#N/A</v>
      </c>
      <c r="G151" s="14" t="e">
        <f>INDEX(FamaFrench!$C$6:$F$244,MATCH(FFWork!$B151,FamaFrench!$B$6:$B$244,0),MATCH(FamaFrench!F$5,FFWork!$D$10:$G$10,0))</f>
        <v>#N/A</v>
      </c>
    </row>
    <row r="152" spans="1:7" x14ac:dyDescent="0.2">
      <c r="A152">
        <v>142</v>
      </c>
      <c r="B152" s="33" t="str">
        <f>IF(B151="","",IF(EOMONTH(B151,1)&lt;=EOMONTH(Front!$C$4,0),EOMONTH(B151,1),""))</f>
        <v/>
      </c>
      <c r="C152" s="14" t="e">
        <f>INDEX(MutualFunds!$C$6:$O$244,MATCH(FFWork!B152,MutualFunds!$B$6:$B$244,0),MATCH(Front!$C$2,MutualFunds!$C$4:$O$4,0))</f>
        <v>#N/A</v>
      </c>
      <c r="D152" s="14" t="e">
        <f>INDEX(FamaFrench!$C$6:$F$244,MATCH(FFWork!$B152,FamaFrench!$B$6:$B$244,0),MATCH(FamaFrench!C$5,FFWork!$D$10:$F$10,0))</f>
        <v>#N/A</v>
      </c>
      <c r="E152" s="14" t="e">
        <f>INDEX(FamaFrench!$C$6:$F$244,MATCH(FFWork!$B152,FamaFrench!$B$6:$B$244,0),MATCH(FamaFrench!D$5,FFWork!$D$10:$F$10,0))</f>
        <v>#N/A</v>
      </c>
      <c r="F152" s="14" t="e">
        <f>INDEX(FamaFrench!$C$6:$F$244,MATCH(FFWork!$B152,FamaFrench!$B$6:$B$244,0),MATCH(FamaFrench!E$5,FFWork!$D$10:$G$10,0))</f>
        <v>#N/A</v>
      </c>
      <c r="G152" s="14" t="e">
        <f>INDEX(FamaFrench!$C$6:$F$244,MATCH(FFWork!$B152,FamaFrench!$B$6:$B$244,0),MATCH(FamaFrench!F$5,FFWork!$D$10:$G$10,0))</f>
        <v>#N/A</v>
      </c>
    </row>
    <row r="153" spans="1:7" x14ac:dyDescent="0.2">
      <c r="A153">
        <v>143</v>
      </c>
      <c r="B153" s="33" t="str">
        <f>IF(B152="","",IF(EOMONTH(B152,1)&lt;=EOMONTH(Front!$C$4,0),EOMONTH(B152,1),""))</f>
        <v/>
      </c>
      <c r="C153" s="14" t="e">
        <f>INDEX(MutualFunds!$C$6:$O$244,MATCH(FFWork!B153,MutualFunds!$B$6:$B$244,0),MATCH(Front!$C$2,MutualFunds!$C$4:$O$4,0))</f>
        <v>#N/A</v>
      </c>
      <c r="D153" s="14" t="e">
        <f>INDEX(FamaFrench!$C$6:$F$244,MATCH(FFWork!$B153,FamaFrench!$B$6:$B$244,0),MATCH(FamaFrench!C$5,FFWork!$D$10:$F$10,0))</f>
        <v>#N/A</v>
      </c>
      <c r="E153" s="14" t="e">
        <f>INDEX(FamaFrench!$C$6:$F$244,MATCH(FFWork!$B153,FamaFrench!$B$6:$B$244,0),MATCH(FamaFrench!D$5,FFWork!$D$10:$F$10,0))</f>
        <v>#N/A</v>
      </c>
      <c r="F153" s="14" t="e">
        <f>INDEX(FamaFrench!$C$6:$F$244,MATCH(FFWork!$B153,FamaFrench!$B$6:$B$244,0),MATCH(FamaFrench!E$5,FFWork!$D$10:$G$10,0))</f>
        <v>#N/A</v>
      </c>
      <c r="G153" s="14" t="e">
        <f>INDEX(FamaFrench!$C$6:$F$244,MATCH(FFWork!$B153,FamaFrench!$B$6:$B$244,0),MATCH(FamaFrench!F$5,FFWork!$D$10:$G$10,0))</f>
        <v>#N/A</v>
      </c>
    </row>
    <row r="154" spans="1:7" x14ac:dyDescent="0.2">
      <c r="A154">
        <v>144</v>
      </c>
      <c r="B154" s="33" t="str">
        <f>IF(B153="","",IF(EOMONTH(B153,1)&lt;=EOMONTH(Front!$C$4,0),EOMONTH(B153,1),""))</f>
        <v/>
      </c>
      <c r="C154" s="14" t="e">
        <f>INDEX(MutualFunds!$C$6:$O$244,MATCH(FFWork!B154,MutualFunds!$B$6:$B$244,0),MATCH(Front!$C$2,MutualFunds!$C$4:$O$4,0))</f>
        <v>#N/A</v>
      </c>
      <c r="D154" s="14" t="e">
        <f>INDEX(FamaFrench!$C$6:$F$244,MATCH(FFWork!$B154,FamaFrench!$B$6:$B$244,0),MATCH(FamaFrench!C$5,FFWork!$D$10:$F$10,0))</f>
        <v>#N/A</v>
      </c>
      <c r="E154" s="14" t="e">
        <f>INDEX(FamaFrench!$C$6:$F$244,MATCH(FFWork!$B154,FamaFrench!$B$6:$B$244,0),MATCH(FamaFrench!D$5,FFWork!$D$10:$F$10,0))</f>
        <v>#N/A</v>
      </c>
      <c r="F154" s="14" t="e">
        <f>INDEX(FamaFrench!$C$6:$F$244,MATCH(FFWork!$B154,FamaFrench!$B$6:$B$244,0),MATCH(FamaFrench!E$5,FFWork!$D$10:$G$10,0))</f>
        <v>#N/A</v>
      </c>
      <c r="G154" s="14" t="e">
        <f>INDEX(FamaFrench!$C$6:$F$244,MATCH(FFWork!$B154,FamaFrench!$B$6:$B$244,0),MATCH(FamaFrench!F$5,FFWork!$D$10:$G$10,0))</f>
        <v>#N/A</v>
      </c>
    </row>
    <row r="155" spans="1:7" x14ac:dyDescent="0.2">
      <c r="A155">
        <v>145</v>
      </c>
      <c r="B155" s="33" t="str">
        <f>IF(B154="","",IF(EOMONTH(B154,1)&lt;=EOMONTH(Front!$C$4,0),EOMONTH(B154,1),""))</f>
        <v/>
      </c>
      <c r="C155" s="14" t="e">
        <f>INDEX(MutualFunds!$C$6:$O$244,MATCH(FFWork!B155,MutualFunds!$B$6:$B$244,0),MATCH(Front!$C$2,MutualFunds!$C$4:$O$4,0))</f>
        <v>#N/A</v>
      </c>
      <c r="D155" s="14" t="e">
        <f>INDEX(FamaFrench!$C$6:$F$244,MATCH(FFWork!$B155,FamaFrench!$B$6:$B$244,0),MATCH(FamaFrench!C$5,FFWork!$D$10:$F$10,0))</f>
        <v>#N/A</v>
      </c>
      <c r="E155" s="14" t="e">
        <f>INDEX(FamaFrench!$C$6:$F$244,MATCH(FFWork!$B155,FamaFrench!$B$6:$B$244,0),MATCH(FamaFrench!D$5,FFWork!$D$10:$F$10,0))</f>
        <v>#N/A</v>
      </c>
      <c r="F155" s="14" t="e">
        <f>INDEX(FamaFrench!$C$6:$F$244,MATCH(FFWork!$B155,FamaFrench!$B$6:$B$244,0),MATCH(FamaFrench!E$5,FFWork!$D$10:$G$10,0))</f>
        <v>#N/A</v>
      </c>
      <c r="G155" s="14" t="e">
        <f>INDEX(FamaFrench!$C$6:$F$244,MATCH(FFWork!$B155,FamaFrench!$B$6:$B$244,0),MATCH(FamaFrench!F$5,FFWork!$D$10:$G$10,0))</f>
        <v>#N/A</v>
      </c>
    </row>
    <row r="156" spans="1:7" x14ac:dyDescent="0.2">
      <c r="A156">
        <v>146</v>
      </c>
      <c r="B156" s="33" t="str">
        <f>IF(B155="","",IF(EOMONTH(B155,1)&lt;=EOMONTH(Front!$C$4,0),EOMONTH(B155,1),""))</f>
        <v/>
      </c>
      <c r="C156" s="14" t="e">
        <f>INDEX(MutualFunds!$C$6:$O$244,MATCH(FFWork!B156,MutualFunds!$B$6:$B$244,0),MATCH(Front!$C$2,MutualFunds!$C$4:$O$4,0))</f>
        <v>#N/A</v>
      </c>
      <c r="D156" s="14" t="e">
        <f>INDEX(FamaFrench!$C$6:$F$244,MATCH(FFWork!$B156,FamaFrench!$B$6:$B$244,0),MATCH(FamaFrench!C$5,FFWork!$D$10:$F$10,0))</f>
        <v>#N/A</v>
      </c>
      <c r="E156" s="14" t="e">
        <f>INDEX(FamaFrench!$C$6:$F$244,MATCH(FFWork!$B156,FamaFrench!$B$6:$B$244,0),MATCH(FamaFrench!D$5,FFWork!$D$10:$F$10,0))</f>
        <v>#N/A</v>
      </c>
      <c r="F156" s="14" t="e">
        <f>INDEX(FamaFrench!$C$6:$F$244,MATCH(FFWork!$B156,FamaFrench!$B$6:$B$244,0),MATCH(FamaFrench!E$5,FFWork!$D$10:$G$10,0))</f>
        <v>#N/A</v>
      </c>
      <c r="G156" s="14" t="e">
        <f>INDEX(FamaFrench!$C$6:$F$244,MATCH(FFWork!$B156,FamaFrench!$B$6:$B$244,0),MATCH(FamaFrench!F$5,FFWork!$D$10:$G$10,0))</f>
        <v>#N/A</v>
      </c>
    </row>
    <row r="157" spans="1:7" x14ac:dyDescent="0.2">
      <c r="A157">
        <v>147</v>
      </c>
      <c r="B157" s="33" t="str">
        <f>IF(B156="","",IF(EOMONTH(B156,1)&lt;=EOMONTH(Front!$C$4,0),EOMONTH(B156,1),""))</f>
        <v/>
      </c>
      <c r="C157" s="14" t="e">
        <f>INDEX(MutualFunds!$C$6:$O$244,MATCH(FFWork!B157,MutualFunds!$B$6:$B$244,0),MATCH(Front!$C$2,MutualFunds!$C$4:$O$4,0))</f>
        <v>#N/A</v>
      </c>
      <c r="D157" s="14" t="e">
        <f>INDEX(FamaFrench!$C$6:$F$244,MATCH(FFWork!$B157,FamaFrench!$B$6:$B$244,0),MATCH(FamaFrench!C$5,FFWork!$D$10:$F$10,0))</f>
        <v>#N/A</v>
      </c>
      <c r="E157" s="14" t="e">
        <f>INDEX(FamaFrench!$C$6:$F$244,MATCH(FFWork!$B157,FamaFrench!$B$6:$B$244,0),MATCH(FamaFrench!D$5,FFWork!$D$10:$F$10,0))</f>
        <v>#N/A</v>
      </c>
      <c r="F157" s="14" t="e">
        <f>INDEX(FamaFrench!$C$6:$F$244,MATCH(FFWork!$B157,FamaFrench!$B$6:$B$244,0),MATCH(FamaFrench!E$5,FFWork!$D$10:$G$10,0))</f>
        <v>#N/A</v>
      </c>
      <c r="G157" s="14" t="e">
        <f>INDEX(FamaFrench!$C$6:$F$244,MATCH(FFWork!$B157,FamaFrench!$B$6:$B$244,0),MATCH(FamaFrench!F$5,FFWork!$D$10:$G$10,0))</f>
        <v>#N/A</v>
      </c>
    </row>
    <row r="158" spans="1:7" x14ac:dyDescent="0.2">
      <c r="A158">
        <v>148</v>
      </c>
      <c r="B158" s="33" t="str">
        <f>IF(B157="","",IF(EOMONTH(B157,1)&lt;=EOMONTH(Front!$C$4,0),EOMONTH(B157,1),""))</f>
        <v/>
      </c>
      <c r="C158" s="14" t="e">
        <f>INDEX(MutualFunds!$C$6:$O$244,MATCH(FFWork!B158,MutualFunds!$B$6:$B$244,0),MATCH(Front!$C$2,MutualFunds!$C$4:$O$4,0))</f>
        <v>#N/A</v>
      </c>
      <c r="D158" s="14" t="e">
        <f>INDEX(FamaFrench!$C$6:$F$244,MATCH(FFWork!$B158,FamaFrench!$B$6:$B$244,0),MATCH(FamaFrench!C$5,FFWork!$D$10:$F$10,0))</f>
        <v>#N/A</v>
      </c>
      <c r="E158" s="14" t="e">
        <f>INDEX(FamaFrench!$C$6:$F$244,MATCH(FFWork!$B158,FamaFrench!$B$6:$B$244,0),MATCH(FamaFrench!D$5,FFWork!$D$10:$F$10,0))</f>
        <v>#N/A</v>
      </c>
      <c r="F158" s="14" t="e">
        <f>INDEX(FamaFrench!$C$6:$F$244,MATCH(FFWork!$B158,FamaFrench!$B$6:$B$244,0),MATCH(FamaFrench!E$5,FFWork!$D$10:$G$10,0))</f>
        <v>#N/A</v>
      </c>
      <c r="G158" s="14" t="e">
        <f>INDEX(FamaFrench!$C$6:$F$244,MATCH(FFWork!$B158,FamaFrench!$B$6:$B$244,0),MATCH(FamaFrench!F$5,FFWork!$D$10:$G$10,0))</f>
        <v>#N/A</v>
      </c>
    </row>
    <row r="159" spans="1:7" x14ac:dyDescent="0.2">
      <c r="A159">
        <v>149</v>
      </c>
      <c r="B159" s="33" t="str">
        <f>IF(B158="","",IF(EOMONTH(B158,1)&lt;=EOMONTH(Front!$C$4,0),EOMONTH(B158,1),""))</f>
        <v/>
      </c>
      <c r="C159" s="14" t="e">
        <f>INDEX(MutualFunds!$C$6:$O$244,MATCH(FFWork!B159,MutualFunds!$B$6:$B$244,0),MATCH(Front!$C$2,MutualFunds!$C$4:$O$4,0))</f>
        <v>#N/A</v>
      </c>
      <c r="D159" s="14" t="e">
        <f>INDEX(FamaFrench!$C$6:$F$244,MATCH(FFWork!$B159,FamaFrench!$B$6:$B$244,0),MATCH(FamaFrench!C$5,FFWork!$D$10:$F$10,0))</f>
        <v>#N/A</v>
      </c>
      <c r="E159" s="14" t="e">
        <f>INDEX(FamaFrench!$C$6:$F$244,MATCH(FFWork!$B159,FamaFrench!$B$6:$B$244,0),MATCH(FamaFrench!D$5,FFWork!$D$10:$F$10,0))</f>
        <v>#N/A</v>
      </c>
      <c r="F159" s="14" t="e">
        <f>INDEX(FamaFrench!$C$6:$F$244,MATCH(FFWork!$B159,FamaFrench!$B$6:$B$244,0),MATCH(FamaFrench!E$5,FFWork!$D$10:$G$10,0))</f>
        <v>#N/A</v>
      </c>
      <c r="G159" s="14" t="e">
        <f>INDEX(FamaFrench!$C$6:$F$244,MATCH(FFWork!$B159,FamaFrench!$B$6:$B$244,0),MATCH(FamaFrench!F$5,FFWork!$D$10:$G$10,0))</f>
        <v>#N/A</v>
      </c>
    </row>
    <row r="160" spans="1:7" x14ac:dyDescent="0.2">
      <c r="A160">
        <v>150</v>
      </c>
      <c r="B160" s="33" t="str">
        <f>IF(B159="","",IF(EOMONTH(B159,1)&lt;=EOMONTH(Front!$C$4,0),EOMONTH(B159,1),""))</f>
        <v/>
      </c>
      <c r="C160" s="14" t="e">
        <f>INDEX(MutualFunds!$C$6:$O$244,MATCH(FFWork!B160,MutualFunds!$B$6:$B$244,0),MATCH(Front!$C$2,MutualFunds!$C$4:$O$4,0))</f>
        <v>#N/A</v>
      </c>
      <c r="D160" s="14" t="e">
        <f>INDEX(FamaFrench!$C$6:$F$244,MATCH(FFWork!$B160,FamaFrench!$B$6:$B$244,0),MATCH(FamaFrench!C$5,FFWork!$D$10:$F$10,0))</f>
        <v>#N/A</v>
      </c>
      <c r="E160" s="14" t="e">
        <f>INDEX(FamaFrench!$C$6:$F$244,MATCH(FFWork!$B160,FamaFrench!$B$6:$B$244,0),MATCH(FamaFrench!D$5,FFWork!$D$10:$F$10,0))</f>
        <v>#N/A</v>
      </c>
      <c r="F160" s="14" t="e">
        <f>INDEX(FamaFrench!$C$6:$F$244,MATCH(FFWork!$B160,FamaFrench!$B$6:$B$244,0),MATCH(FamaFrench!E$5,FFWork!$D$10:$G$10,0))</f>
        <v>#N/A</v>
      </c>
      <c r="G160" s="14" t="e">
        <f>INDEX(FamaFrench!$C$6:$F$244,MATCH(FFWork!$B160,FamaFrench!$B$6:$B$244,0),MATCH(FamaFrench!F$5,FFWork!$D$10:$G$10,0))</f>
        <v>#N/A</v>
      </c>
    </row>
    <row r="161" spans="1:7" x14ac:dyDescent="0.2">
      <c r="A161">
        <v>151</v>
      </c>
      <c r="B161" s="33" t="str">
        <f>IF(B160="","",IF(EOMONTH(B160,1)&lt;=EOMONTH(Front!$C$4,0),EOMONTH(B160,1),""))</f>
        <v/>
      </c>
      <c r="C161" s="14" t="e">
        <f>INDEX(MutualFunds!$C$6:$O$244,MATCH(FFWork!B161,MutualFunds!$B$6:$B$244,0),MATCH(Front!$C$2,MutualFunds!$C$4:$O$4,0))</f>
        <v>#N/A</v>
      </c>
      <c r="D161" s="14" t="e">
        <f>INDEX(FamaFrench!$C$6:$F$244,MATCH(FFWork!$B161,FamaFrench!$B$6:$B$244,0),MATCH(FamaFrench!C$5,FFWork!$D$10:$F$10,0))</f>
        <v>#N/A</v>
      </c>
      <c r="E161" s="14" t="e">
        <f>INDEX(FamaFrench!$C$6:$F$244,MATCH(FFWork!$B161,FamaFrench!$B$6:$B$244,0),MATCH(FamaFrench!D$5,FFWork!$D$10:$F$10,0))</f>
        <v>#N/A</v>
      </c>
      <c r="F161" s="14" t="e">
        <f>INDEX(FamaFrench!$C$6:$F$244,MATCH(FFWork!$B161,FamaFrench!$B$6:$B$244,0),MATCH(FamaFrench!E$5,FFWork!$D$10:$G$10,0))</f>
        <v>#N/A</v>
      </c>
      <c r="G161" s="14" t="e">
        <f>INDEX(FamaFrench!$C$6:$F$244,MATCH(FFWork!$B161,FamaFrench!$B$6:$B$244,0),MATCH(FamaFrench!F$5,FFWork!$D$10:$G$10,0))</f>
        <v>#N/A</v>
      </c>
    </row>
    <row r="162" spans="1:7" x14ac:dyDescent="0.2">
      <c r="A162">
        <v>152</v>
      </c>
      <c r="B162" s="33" t="str">
        <f>IF(B161="","",IF(EOMONTH(B161,1)&lt;=EOMONTH(Front!$C$4,0),EOMONTH(B161,1),""))</f>
        <v/>
      </c>
      <c r="C162" s="14" t="e">
        <f>INDEX(MutualFunds!$C$6:$O$244,MATCH(FFWork!B162,MutualFunds!$B$6:$B$244,0),MATCH(Front!$C$2,MutualFunds!$C$4:$O$4,0))</f>
        <v>#N/A</v>
      </c>
      <c r="D162" s="14" t="e">
        <f>INDEX(FamaFrench!$C$6:$F$244,MATCH(FFWork!$B162,FamaFrench!$B$6:$B$244,0),MATCH(FamaFrench!C$5,FFWork!$D$10:$F$10,0))</f>
        <v>#N/A</v>
      </c>
      <c r="E162" s="14" t="e">
        <f>INDEX(FamaFrench!$C$6:$F$244,MATCH(FFWork!$B162,FamaFrench!$B$6:$B$244,0),MATCH(FamaFrench!D$5,FFWork!$D$10:$F$10,0))</f>
        <v>#N/A</v>
      </c>
      <c r="F162" s="14" t="e">
        <f>INDEX(FamaFrench!$C$6:$F$244,MATCH(FFWork!$B162,FamaFrench!$B$6:$B$244,0),MATCH(FamaFrench!E$5,FFWork!$D$10:$G$10,0))</f>
        <v>#N/A</v>
      </c>
      <c r="G162" s="14" t="e">
        <f>INDEX(FamaFrench!$C$6:$F$244,MATCH(FFWork!$B162,FamaFrench!$B$6:$B$244,0),MATCH(FamaFrench!F$5,FFWork!$D$10:$G$10,0))</f>
        <v>#N/A</v>
      </c>
    </row>
    <row r="163" spans="1:7" x14ac:dyDescent="0.2">
      <c r="A163">
        <v>153</v>
      </c>
      <c r="B163" s="33" t="str">
        <f>IF(B162="","",IF(EOMONTH(B162,1)&lt;=EOMONTH(Front!$C$4,0),EOMONTH(B162,1),""))</f>
        <v/>
      </c>
      <c r="C163" s="14" t="e">
        <f>INDEX(MutualFunds!$C$6:$O$244,MATCH(FFWork!B163,MutualFunds!$B$6:$B$244,0),MATCH(Front!$C$2,MutualFunds!$C$4:$O$4,0))</f>
        <v>#N/A</v>
      </c>
      <c r="D163" s="14" t="e">
        <f>INDEX(FamaFrench!$C$6:$F$244,MATCH(FFWork!$B163,FamaFrench!$B$6:$B$244,0),MATCH(FamaFrench!C$5,FFWork!$D$10:$F$10,0))</f>
        <v>#N/A</v>
      </c>
      <c r="E163" s="14" t="e">
        <f>INDEX(FamaFrench!$C$6:$F$244,MATCH(FFWork!$B163,FamaFrench!$B$6:$B$244,0),MATCH(FamaFrench!D$5,FFWork!$D$10:$F$10,0))</f>
        <v>#N/A</v>
      </c>
      <c r="F163" s="14" t="e">
        <f>INDEX(FamaFrench!$C$6:$F$244,MATCH(FFWork!$B163,FamaFrench!$B$6:$B$244,0),MATCH(FamaFrench!E$5,FFWork!$D$10:$G$10,0))</f>
        <v>#N/A</v>
      </c>
      <c r="G163" s="14" t="e">
        <f>INDEX(FamaFrench!$C$6:$F$244,MATCH(FFWork!$B163,FamaFrench!$B$6:$B$244,0),MATCH(FamaFrench!F$5,FFWork!$D$10:$G$10,0))</f>
        <v>#N/A</v>
      </c>
    </row>
    <row r="164" spans="1:7" x14ac:dyDescent="0.2">
      <c r="A164">
        <v>154</v>
      </c>
      <c r="B164" s="33" t="str">
        <f>IF(B163="","",IF(EOMONTH(B163,1)&lt;=EOMONTH(Front!$C$4,0),EOMONTH(B163,1),""))</f>
        <v/>
      </c>
      <c r="C164" s="14" t="e">
        <f>INDEX(MutualFunds!$C$6:$O$244,MATCH(FFWork!B164,MutualFunds!$B$6:$B$244,0),MATCH(Front!$C$2,MutualFunds!$C$4:$O$4,0))</f>
        <v>#N/A</v>
      </c>
      <c r="D164" s="14" t="e">
        <f>INDEX(FamaFrench!$C$6:$F$244,MATCH(FFWork!$B164,FamaFrench!$B$6:$B$244,0),MATCH(FamaFrench!C$5,FFWork!$D$10:$F$10,0))</f>
        <v>#N/A</v>
      </c>
      <c r="E164" s="14" t="e">
        <f>INDEX(FamaFrench!$C$6:$F$244,MATCH(FFWork!$B164,FamaFrench!$B$6:$B$244,0),MATCH(FamaFrench!D$5,FFWork!$D$10:$F$10,0))</f>
        <v>#N/A</v>
      </c>
      <c r="F164" s="14" t="e">
        <f>INDEX(FamaFrench!$C$6:$F$244,MATCH(FFWork!$B164,FamaFrench!$B$6:$B$244,0),MATCH(FamaFrench!E$5,FFWork!$D$10:$G$10,0))</f>
        <v>#N/A</v>
      </c>
      <c r="G164" s="14" t="e">
        <f>INDEX(FamaFrench!$C$6:$F$244,MATCH(FFWork!$B164,FamaFrench!$B$6:$B$244,0),MATCH(FamaFrench!F$5,FFWork!$D$10:$G$10,0))</f>
        <v>#N/A</v>
      </c>
    </row>
    <row r="165" spans="1:7" x14ac:dyDescent="0.2">
      <c r="A165">
        <v>155</v>
      </c>
      <c r="B165" s="33" t="str">
        <f>IF(B164="","",IF(EOMONTH(B164,1)&lt;=EOMONTH(Front!$C$4,0),EOMONTH(B164,1),""))</f>
        <v/>
      </c>
      <c r="C165" s="14" t="e">
        <f>INDEX(MutualFunds!$C$6:$O$244,MATCH(FFWork!B165,MutualFunds!$B$6:$B$244,0),MATCH(Front!$C$2,MutualFunds!$C$4:$O$4,0))</f>
        <v>#N/A</v>
      </c>
      <c r="D165" s="14" t="e">
        <f>INDEX(FamaFrench!$C$6:$F$244,MATCH(FFWork!$B165,FamaFrench!$B$6:$B$244,0),MATCH(FamaFrench!C$5,FFWork!$D$10:$F$10,0))</f>
        <v>#N/A</v>
      </c>
      <c r="E165" s="14" t="e">
        <f>INDEX(FamaFrench!$C$6:$F$244,MATCH(FFWork!$B165,FamaFrench!$B$6:$B$244,0),MATCH(FamaFrench!D$5,FFWork!$D$10:$F$10,0))</f>
        <v>#N/A</v>
      </c>
      <c r="F165" s="14" t="e">
        <f>INDEX(FamaFrench!$C$6:$F$244,MATCH(FFWork!$B165,FamaFrench!$B$6:$B$244,0),MATCH(FamaFrench!E$5,FFWork!$D$10:$G$10,0))</f>
        <v>#N/A</v>
      </c>
      <c r="G165" s="14" t="e">
        <f>INDEX(FamaFrench!$C$6:$F$244,MATCH(FFWork!$B165,FamaFrench!$B$6:$B$244,0),MATCH(FamaFrench!F$5,FFWork!$D$10:$G$10,0))</f>
        <v>#N/A</v>
      </c>
    </row>
    <row r="166" spans="1:7" x14ac:dyDescent="0.2">
      <c r="A166">
        <v>156</v>
      </c>
      <c r="B166" s="33" t="str">
        <f>IF(B165="","",IF(EOMONTH(B165,1)&lt;=EOMONTH(Front!$C$4,0),EOMONTH(B165,1),""))</f>
        <v/>
      </c>
      <c r="C166" s="14" t="e">
        <f>INDEX(MutualFunds!$C$6:$O$244,MATCH(FFWork!B166,MutualFunds!$B$6:$B$244,0),MATCH(Front!$C$2,MutualFunds!$C$4:$O$4,0))</f>
        <v>#N/A</v>
      </c>
      <c r="D166" s="14" t="e">
        <f>INDEX(FamaFrench!$C$6:$F$244,MATCH(FFWork!$B166,FamaFrench!$B$6:$B$244,0),MATCH(FamaFrench!C$5,FFWork!$D$10:$F$10,0))</f>
        <v>#N/A</v>
      </c>
      <c r="E166" s="14" t="e">
        <f>INDEX(FamaFrench!$C$6:$F$244,MATCH(FFWork!$B166,FamaFrench!$B$6:$B$244,0),MATCH(FamaFrench!D$5,FFWork!$D$10:$F$10,0))</f>
        <v>#N/A</v>
      </c>
      <c r="F166" s="14" t="e">
        <f>INDEX(FamaFrench!$C$6:$F$244,MATCH(FFWork!$B166,FamaFrench!$B$6:$B$244,0),MATCH(FamaFrench!E$5,FFWork!$D$10:$G$10,0))</f>
        <v>#N/A</v>
      </c>
      <c r="G166" s="14" t="e">
        <f>INDEX(FamaFrench!$C$6:$F$244,MATCH(FFWork!$B166,FamaFrench!$B$6:$B$244,0),MATCH(FamaFrench!F$5,FFWork!$D$10:$G$10,0))</f>
        <v>#N/A</v>
      </c>
    </row>
    <row r="167" spans="1:7" x14ac:dyDescent="0.2">
      <c r="A167">
        <v>157</v>
      </c>
      <c r="B167" s="33" t="str">
        <f>IF(B166="","",IF(EOMONTH(B166,1)&lt;=EOMONTH(Front!$C$4,0),EOMONTH(B166,1),""))</f>
        <v/>
      </c>
      <c r="C167" s="14" t="e">
        <f>INDEX(MutualFunds!$C$6:$O$244,MATCH(FFWork!B167,MutualFunds!$B$6:$B$244,0),MATCH(Front!$C$2,MutualFunds!$C$4:$O$4,0))</f>
        <v>#N/A</v>
      </c>
      <c r="D167" s="14" t="e">
        <f>INDEX(FamaFrench!$C$6:$F$244,MATCH(FFWork!$B167,FamaFrench!$B$6:$B$244,0),MATCH(FamaFrench!C$5,FFWork!$D$10:$F$10,0))</f>
        <v>#N/A</v>
      </c>
      <c r="E167" s="14" t="e">
        <f>INDEX(FamaFrench!$C$6:$F$244,MATCH(FFWork!$B167,FamaFrench!$B$6:$B$244,0),MATCH(FamaFrench!D$5,FFWork!$D$10:$F$10,0))</f>
        <v>#N/A</v>
      </c>
      <c r="F167" s="14" t="e">
        <f>INDEX(FamaFrench!$C$6:$F$244,MATCH(FFWork!$B167,FamaFrench!$B$6:$B$244,0),MATCH(FamaFrench!E$5,FFWork!$D$10:$G$10,0))</f>
        <v>#N/A</v>
      </c>
      <c r="G167" s="14" t="e">
        <f>INDEX(FamaFrench!$C$6:$F$244,MATCH(FFWork!$B167,FamaFrench!$B$6:$B$244,0),MATCH(FamaFrench!F$5,FFWork!$D$10:$G$10,0))</f>
        <v>#N/A</v>
      </c>
    </row>
    <row r="168" spans="1:7" x14ac:dyDescent="0.2">
      <c r="A168">
        <v>158</v>
      </c>
      <c r="B168" s="33" t="str">
        <f>IF(B167="","",IF(EOMONTH(B167,1)&lt;=EOMONTH(Front!$C$4,0),EOMONTH(B167,1),""))</f>
        <v/>
      </c>
      <c r="C168" s="14" t="e">
        <f>INDEX(MutualFunds!$C$6:$O$244,MATCH(FFWork!B168,MutualFunds!$B$6:$B$244,0),MATCH(Front!$C$2,MutualFunds!$C$4:$O$4,0))</f>
        <v>#N/A</v>
      </c>
      <c r="D168" s="14" t="e">
        <f>INDEX(FamaFrench!$C$6:$F$244,MATCH(FFWork!$B168,FamaFrench!$B$6:$B$244,0),MATCH(FamaFrench!C$5,FFWork!$D$10:$F$10,0))</f>
        <v>#N/A</v>
      </c>
      <c r="E168" s="14" t="e">
        <f>INDEX(FamaFrench!$C$6:$F$244,MATCH(FFWork!$B168,FamaFrench!$B$6:$B$244,0),MATCH(FamaFrench!D$5,FFWork!$D$10:$F$10,0))</f>
        <v>#N/A</v>
      </c>
      <c r="F168" s="14" t="e">
        <f>INDEX(FamaFrench!$C$6:$F$244,MATCH(FFWork!$B168,FamaFrench!$B$6:$B$244,0),MATCH(FamaFrench!E$5,FFWork!$D$10:$G$10,0))</f>
        <v>#N/A</v>
      </c>
      <c r="G168" s="14" t="e">
        <f>INDEX(FamaFrench!$C$6:$F$244,MATCH(FFWork!$B168,FamaFrench!$B$6:$B$244,0),MATCH(FamaFrench!F$5,FFWork!$D$10:$G$10,0))</f>
        <v>#N/A</v>
      </c>
    </row>
    <row r="169" spans="1:7" x14ac:dyDescent="0.2">
      <c r="A169">
        <v>159</v>
      </c>
      <c r="B169" s="33" t="str">
        <f>IF(B168="","",IF(EOMONTH(B168,1)&lt;=EOMONTH(Front!$C$4,0),EOMONTH(B168,1),""))</f>
        <v/>
      </c>
      <c r="C169" s="14" t="e">
        <f>INDEX(MutualFunds!$C$6:$O$244,MATCH(FFWork!B169,MutualFunds!$B$6:$B$244,0),MATCH(Front!$C$2,MutualFunds!$C$4:$O$4,0))</f>
        <v>#N/A</v>
      </c>
      <c r="D169" s="14" t="e">
        <f>INDEX(FamaFrench!$C$6:$F$244,MATCH(FFWork!$B169,FamaFrench!$B$6:$B$244,0),MATCH(FamaFrench!C$5,FFWork!$D$10:$F$10,0))</f>
        <v>#N/A</v>
      </c>
      <c r="E169" s="14" t="e">
        <f>INDEX(FamaFrench!$C$6:$F$244,MATCH(FFWork!$B169,FamaFrench!$B$6:$B$244,0),MATCH(FamaFrench!D$5,FFWork!$D$10:$F$10,0))</f>
        <v>#N/A</v>
      </c>
      <c r="F169" s="14" t="e">
        <f>INDEX(FamaFrench!$C$6:$F$244,MATCH(FFWork!$B169,FamaFrench!$B$6:$B$244,0),MATCH(FamaFrench!E$5,FFWork!$D$10:$G$10,0))</f>
        <v>#N/A</v>
      </c>
      <c r="G169" s="14" t="e">
        <f>INDEX(FamaFrench!$C$6:$F$244,MATCH(FFWork!$B169,FamaFrench!$B$6:$B$244,0),MATCH(FamaFrench!F$5,FFWork!$D$10:$G$10,0))</f>
        <v>#N/A</v>
      </c>
    </row>
    <row r="170" spans="1:7" x14ac:dyDescent="0.2">
      <c r="A170">
        <v>160</v>
      </c>
      <c r="B170" s="33" t="str">
        <f>IF(B169="","",IF(EOMONTH(B169,1)&lt;=EOMONTH(Front!$C$4,0),EOMONTH(B169,1),""))</f>
        <v/>
      </c>
      <c r="C170" s="14" t="e">
        <f>INDEX(MutualFunds!$C$6:$O$244,MATCH(FFWork!B170,MutualFunds!$B$6:$B$244,0),MATCH(Front!$C$2,MutualFunds!$C$4:$O$4,0))</f>
        <v>#N/A</v>
      </c>
      <c r="D170" s="14" t="e">
        <f>INDEX(FamaFrench!$C$6:$F$244,MATCH(FFWork!$B170,FamaFrench!$B$6:$B$244,0),MATCH(FamaFrench!C$5,FFWork!$D$10:$F$10,0))</f>
        <v>#N/A</v>
      </c>
      <c r="E170" s="14" t="e">
        <f>INDEX(FamaFrench!$C$6:$F$244,MATCH(FFWork!$B170,FamaFrench!$B$6:$B$244,0),MATCH(FamaFrench!D$5,FFWork!$D$10:$F$10,0))</f>
        <v>#N/A</v>
      </c>
      <c r="F170" s="14" t="e">
        <f>INDEX(FamaFrench!$C$6:$F$244,MATCH(FFWork!$B170,FamaFrench!$B$6:$B$244,0),MATCH(FamaFrench!E$5,FFWork!$D$10:$G$10,0))</f>
        <v>#N/A</v>
      </c>
      <c r="G170" s="14" t="e">
        <f>INDEX(FamaFrench!$C$6:$F$244,MATCH(FFWork!$B170,FamaFrench!$B$6:$B$244,0),MATCH(FamaFrench!F$5,FFWork!$D$10:$G$10,0))</f>
        <v>#N/A</v>
      </c>
    </row>
    <row r="171" spans="1:7" x14ac:dyDescent="0.2">
      <c r="A171">
        <v>161</v>
      </c>
      <c r="B171" s="33" t="str">
        <f>IF(B170="","",IF(EOMONTH(B170,1)&lt;=EOMONTH(Front!$C$4,0),EOMONTH(B170,1),""))</f>
        <v/>
      </c>
      <c r="C171" s="14" t="e">
        <f>INDEX(MutualFunds!$C$6:$O$244,MATCH(FFWork!B171,MutualFunds!$B$6:$B$244,0),MATCH(Front!$C$2,MutualFunds!$C$4:$O$4,0))</f>
        <v>#N/A</v>
      </c>
      <c r="D171" s="14" t="e">
        <f>INDEX(FamaFrench!$C$6:$F$244,MATCH(FFWork!$B171,FamaFrench!$B$6:$B$244,0),MATCH(FamaFrench!C$5,FFWork!$D$10:$F$10,0))</f>
        <v>#N/A</v>
      </c>
      <c r="E171" s="14" t="e">
        <f>INDEX(FamaFrench!$C$6:$F$244,MATCH(FFWork!$B171,FamaFrench!$B$6:$B$244,0),MATCH(FamaFrench!D$5,FFWork!$D$10:$F$10,0))</f>
        <v>#N/A</v>
      </c>
      <c r="F171" s="14" t="e">
        <f>INDEX(FamaFrench!$C$6:$F$244,MATCH(FFWork!$B171,FamaFrench!$B$6:$B$244,0),MATCH(FamaFrench!E$5,FFWork!$D$10:$G$10,0))</f>
        <v>#N/A</v>
      </c>
      <c r="G171" s="14" t="e">
        <f>INDEX(FamaFrench!$C$6:$F$244,MATCH(FFWork!$B171,FamaFrench!$B$6:$B$244,0),MATCH(FamaFrench!F$5,FFWork!$D$10:$G$10,0))</f>
        <v>#N/A</v>
      </c>
    </row>
    <row r="172" spans="1:7" x14ac:dyDescent="0.2">
      <c r="A172">
        <v>162</v>
      </c>
      <c r="B172" s="33" t="str">
        <f>IF(B171="","",IF(EOMONTH(B171,1)&lt;=EOMONTH(Front!$C$4,0),EOMONTH(B171,1),""))</f>
        <v/>
      </c>
      <c r="C172" s="14" t="e">
        <f>INDEX(MutualFunds!$C$6:$O$244,MATCH(FFWork!B172,MutualFunds!$B$6:$B$244,0),MATCH(Front!$C$2,MutualFunds!$C$4:$O$4,0))</f>
        <v>#N/A</v>
      </c>
      <c r="D172" s="14" t="e">
        <f>INDEX(FamaFrench!$C$6:$F$244,MATCH(FFWork!$B172,FamaFrench!$B$6:$B$244,0),MATCH(FamaFrench!C$5,FFWork!$D$10:$F$10,0))</f>
        <v>#N/A</v>
      </c>
      <c r="E172" s="14" t="e">
        <f>INDEX(FamaFrench!$C$6:$F$244,MATCH(FFWork!$B172,FamaFrench!$B$6:$B$244,0),MATCH(FamaFrench!D$5,FFWork!$D$10:$F$10,0))</f>
        <v>#N/A</v>
      </c>
      <c r="F172" s="14" t="e">
        <f>INDEX(FamaFrench!$C$6:$F$244,MATCH(FFWork!$B172,FamaFrench!$B$6:$B$244,0),MATCH(FamaFrench!E$5,FFWork!$D$10:$G$10,0))</f>
        <v>#N/A</v>
      </c>
      <c r="G172" s="14" t="e">
        <f>INDEX(FamaFrench!$C$6:$F$244,MATCH(FFWork!$B172,FamaFrench!$B$6:$B$244,0),MATCH(FamaFrench!F$5,FFWork!$D$10:$G$10,0))</f>
        <v>#N/A</v>
      </c>
    </row>
    <row r="173" spans="1:7" x14ac:dyDescent="0.2">
      <c r="A173">
        <v>163</v>
      </c>
      <c r="B173" s="33" t="str">
        <f>IF(B172="","",IF(EOMONTH(B172,1)&lt;=EOMONTH(Front!$C$4,0),EOMONTH(B172,1),""))</f>
        <v/>
      </c>
      <c r="C173" s="14" t="e">
        <f>INDEX(MutualFunds!$C$6:$O$244,MATCH(FFWork!B173,MutualFunds!$B$6:$B$244,0),MATCH(Front!$C$2,MutualFunds!$C$4:$O$4,0))</f>
        <v>#N/A</v>
      </c>
      <c r="D173" s="14" t="e">
        <f>INDEX(FamaFrench!$C$6:$F$244,MATCH(FFWork!$B173,FamaFrench!$B$6:$B$244,0),MATCH(FamaFrench!C$5,FFWork!$D$10:$F$10,0))</f>
        <v>#N/A</v>
      </c>
      <c r="E173" s="14" t="e">
        <f>INDEX(FamaFrench!$C$6:$F$244,MATCH(FFWork!$B173,FamaFrench!$B$6:$B$244,0),MATCH(FamaFrench!D$5,FFWork!$D$10:$F$10,0))</f>
        <v>#N/A</v>
      </c>
      <c r="F173" s="14" t="e">
        <f>INDEX(FamaFrench!$C$6:$F$244,MATCH(FFWork!$B173,FamaFrench!$B$6:$B$244,0),MATCH(FamaFrench!E$5,FFWork!$D$10:$G$10,0))</f>
        <v>#N/A</v>
      </c>
      <c r="G173" s="14" t="e">
        <f>INDEX(FamaFrench!$C$6:$F$244,MATCH(FFWork!$B173,FamaFrench!$B$6:$B$244,0),MATCH(FamaFrench!F$5,FFWork!$D$10:$G$10,0))</f>
        <v>#N/A</v>
      </c>
    </row>
    <row r="174" spans="1:7" x14ac:dyDescent="0.2">
      <c r="A174">
        <v>164</v>
      </c>
      <c r="B174" s="33" t="str">
        <f>IF(B173="","",IF(EOMONTH(B173,1)&lt;=EOMONTH(Front!$C$4,0),EOMONTH(B173,1),""))</f>
        <v/>
      </c>
      <c r="C174" s="14" t="e">
        <f>INDEX(MutualFunds!$C$6:$O$244,MATCH(FFWork!B174,MutualFunds!$B$6:$B$244,0),MATCH(Front!$C$2,MutualFunds!$C$4:$O$4,0))</f>
        <v>#N/A</v>
      </c>
      <c r="D174" s="14" t="e">
        <f>INDEX(FamaFrench!$C$6:$F$244,MATCH(FFWork!$B174,FamaFrench!$B$6:$B$244,0),MATCH(FamaFrench!C$5,FFWork!$D$10:$F$10,0))</f>
        <v>#N/A</v>
      </c>
      <c r="E174" s="14" t="e">
        <f>INDEX(FamaFrench!$C$6:$F$244,MATCH(FFWork!$B174,FamaFrench!$B$6:$B$244,0),MATCH(FamaFrench!D$5,FFWork!$D$10:$F$10,0))</f>
        <v>#N/A</v>
      </c>
      <c r="F174" s="14" t="e">
        <f>INDEX(FamaFrench!$C$6:$F$244,MATCH(FFWork!$B174,FamaFrench!$B$6:$B$244,0),MATCH(FamaFrench!E$5,FFWork!$D$10:$G$10,0))</f>
        <v>#N/A</v>
      </c>
      <c r="G174" s="14" t="e">
        <f>INDEX(FamaFrench!$C$6:$F$244,MATCH(FFWork!$B174,FamaFrench!$B$6:$B$244,0),MATCH(FamaFrench!F$5,FFWork!$D$10:$G$10,0))</f>
        <v>#N/A</v>
      </c>
    </row>
    <row r="175" spans="1:7" x14ac:dyDescent="0.2">
      <c r="A175">
        <v>165</v>
      </c>
      <c r="B175" s="33" t="str">
        <f>IF(B174="","",IF(EOMONTH(B174,1)&lt;=EOMONTH(Front!$C$4,0),EOMONTH(B174,1),""))</f>
        <v/>
      </c>
      <c r="C175" s="14" t="e">
        <f>INDEX(MutualFunds!$C$6:$O$244,MATCH(FFWork!B175,MutualFunds!$B$6:$B$244,0),MATCH(Front!$C$2,MutualFunds!$C$4:$O$4,0))</f>
        <v>#N/A</v>
      </c>
      <c r="D175" s="14" t="e">
        <f>INDEX(FamaFrench!$C$6:$F$244,MATCH(FFWork!$B175,FamaFrench!$B$6:$B$244,0),MATCH(FamaFrench!C$5,FFWork!$D$10:$F$10,0))</f>
        <v>#N/A</v>
      </c>
      <c r="E175" s="14" t="e">
        <f>INDEX(FamaFrench!$C$6:$F$244,MATCH(FFWork!$B175,FamaFrench!$B$6:$B$244,0),MATCH(FamaFrench!D$5,FFWork!$D$10:$F$10,0))</f>
        <v>#N/A</v>
      </c>
      <c r="F175" s="14" t="e">
        <f>INDEX(FamaFrench!$C$6:$F$244,MATCH(FFWork!$B175,FamaFrench!$B$6:$B$244,0),MATCH(FamaFrench!E$5,FFWork!$D$10:$G$10,0))</f>
        <v>#N/A</v>
      </c>
      <c r="G175" s="14" t="e">
        <f>INDEX(FamaFrench!$C$6:$F$244,MATCH(FFWork!$B175,FamaFrench!$B$6:$B$244,0),MATCH(FamaFrench!F$5,FFWork!$D$10:$G$10,0))</f>
        <v>#N/A</v>
      </c>
    </row>
    <row r="176" spans="1:7" x14ac:dyDescent="0.2">
      <c r="A176">
        <v>166</v>
      </c>
      <c r="B176" s="33" t="str">
        <f>IF(B175="","",IF(EOMONTH(B175,1)&lt;=EOMONTH(Front!$C$4,0),EOMONTH(B175,1),""))</f>
        <v/>
      </c>
      <c r="C176" s="14" t="e">
        <f>INDEX(MutualFunds!$C$6:$O$244,MATCH(FFWork!B176,MutualFunds!$B$6:$B$244,0),MATCH(Front!$C$2,MutualFunds!$C$4:$O$4,0))</f>
        <v>#N/A</v>
      </c>
      <c r="D176" s="14" t="e">
        <f>INDEX(FamaFrench!$C$6:$F$244,MATCH(FFWork!$B176,FamaFrench!$B$6:$B$244,0),MATCH(FamaFrench!C$5,FFWork!$D$10:$F$10,0))</f>
        <v>#N/A</v>
      </c>
      <c r="E176" s="14" t="e">
        <f>INDEX(FamaFrench!$C$6:$F$244,MATCH(FFWork!$B176,FamaFrench!$B$6:$B$244,0),MATCH(FamaFrench!D$5,FFWork!$D$10:$F$10,0))</f>
        <v>#N/A</v>
      </c>
      <c r="F176" s="14" t="e">
        <f>INDEX(FamaFrench!$C$6:$F$244,MATCH(FFWork!$B176,FamaFrench!$B$6:$B$244,0),MATCH(FamaFrench!E$5,FFWork!$D$10:$G$10,0))</f>
        <v>#N/A</v>
      </c>
      <c r="G176" s="14" t="e">
        <f>INDEX(FamaFrench!$C$6:$F$244,MATCH(FFWork!$B176,FamaFrench!$B$6:$B$244,0),MATCH(FamaFrench!F$5,FFWork!$D$10:$G$10,0))</f>
        <v>#N/A</v>
      </c>
    </row>
    <row r="177" spans="1:7" x14ac:dyDescent="0.2">
      <c r="A177">
        <v>167</v>
      </c>
      <c r="B177" s="33" t="str">
        <f>IF(B176="","",IF(EOMONTH(B176,1)&lt;=EOMONTH(Front!$C$4,0),EOMONTH(B176,1),""))</f>
        <v/>
      </c>
      <c r="C177" s="14" t="e">
        <f>INDEX(MutualFunds!$C$6:$O$244,MATCH(FFWork!B177,MutualFunds!$B$6:$B$244,0),MATCH(Front!$C$2,MutualFunds!$C$4:$O$4,0))</f>
        <v>#N/A</v>
      </c>
      <c r="D177" s="14" t="e">
        <f>INDEX(FamaFrench!$C$6:$F$244,MATCH(FFWork!$B177,FamaFrench!$B$6:$B$244,0),MATCH(FamaFrench!C$5,FFWork!$D$10:$F$10,0))</f>
        <v>#N/A</v>
      </c>
      <c r="E177" s="14" t="e">
        <f>INDEX(FamaFrench!$C$6:$F$244,MATCH(FFWork!$B177,FamaFrench!$B$6:$B$244,0),MATCH(FamaFrench!D$5,FFWork!$D$10:$F$10,0))</f>
        <v>#N/A</v>
      </c>
      <c r="F177" s="14" t="e">
        <f>INDEX(FamaFrench!$C$6:$F$244,MATCH(FFWork!$B177,FamaFrench!$B$6:$B$244,0),MATCH(FamaFrench!E$5,FFWork!$D$10:$G$10,0))</f>
        <v>#N/A</v>
      </c>
      <c r="G177" s="14" t="e">
        <f>INDEX(FamaFrench!$C$6:$F$244,MATCH(FFWork!$B177,FamaFrench!$B$6:$B$244,0),MATCH(FamaFrench!F$5,FFWork!$D$10:$G$10,0))</f>
        <v>#N/A</v>
      </c>
    </row>
    <row r="178" spans="1:7" x14ac:dyDescent="0.2">
      <c r="A178">
        <v>168</v>
      </c>
      <c r="B178" s="33" t="str">
        <f>IF(B177="","",IF(EOMONTH(B177,1)&lt;=EOMONTH(Front!$C$4,0),EOMONTH(B177,1),""))</f>
        <v/>
      </c>
      <c r="C178" s="14" t="e">
        <f>INDEX(MutualFunds!$C$6:$O$244,MATCH(FFWork!B178,MutualFunds!$B$6:$B$244,0),MATCH(Front!$C$2,MutualFunds!$C$4:$O$4,0))</f>
        <v>#N/A</v>
      </c>
      <c r="D178" s="14" t="e">
        <f>INDEX(FamaFrench!$C$6:$F$244,MATCH(FFWork!$B178,FamaFrench!$B$6:$B$244,0),MATCH(FamaFrench!C$5,FFWork!$D$10:$F$10,0))</f>
        <v>#N/A</v>
      </c>
      <c r="E178" s="14" t="e">
        <f>INDEX(FamaFrench!$C$6:$F$244,MATCH(FFWork!$B178,FamaFrench!$B$6:$B$244,0),MATCH(FamaFrench!D$5,FFWork!$D$10:$F$10,0))</f>
        <v>#N/A</v>
      </c>
      <c r="F178" s="14" t="e">
        <f>INDEX(FamaFrench!$C$6:$F$244,MATCH(FFWork!$B178,FamaFrench!$B$6:$B$244,0),MATCH(FamaFrench!E$5,FFWork!$D$10:$G$10,0))</f>
        <v>#N/A</v>
      </c>
      <c r="G178" s="14" t="e">
        <f>INDEX(FamaFrench!$C$6:$F$244,MATCH(FFWork!$B178,FamaFrench!$B$6:$B$244,0),MATCH(FamaFrench!F$5,FFWork!$D$10:$G$10,0))</f>
        <v>#N/A</v>
      </c>
    </row>
    <row r="179" spans="1:7" x14ac:dyDescent="0.2">
      <c r="A179">
        <v>169</v>
      </c>
      <c r="B179" s="33" t="str">
        <f>IF(B178="","",IF(EOMONTH(B178,1)&lt;=EOMONTH(Front!$C$4,0),EOMONTH(B178,1),""))</f>
        <v/>
      </c>
      <c r="C179" s="14" t="e">
        <f>INDEX(MutualFunds!$C$6:$O$244,MATCH(FFWork!B179,MutualFunds!$B$6:$B$244,0),MATCH(Front!$C$2,MutualFunds!$C$4:$O$4,0))</f>
        <v>#N/A</v>
      </c>
      <c r="D179" s="14" t="e">
        <f>INDEX(FamaFrench!$C$6:$F$244,MATCH(FFWork!$B179,FamaFrench!$B$6:$B$244,0),MATCH(FamaFrench!C$5,FFWork!$D$10:$F$10,0))</f>
        <v>#N/A</v>
      </c>
      <c r="E179" s="14" t="e">
        <f>INDEX(FamaFrench!$C$6:$F$244,MATCH(FFWork!$B179,FamaFrench!$B$6:$B$244,0),MATCH(FamaFrench!D$5,FFWork!$D$10:$F$10,0))</f>
        <v>#N/A</v>
      </c>
      <c r="F179" s="14" t="e">
        <f>INDEX(FamaFrench!$C$6:$F$244,MATCH(FFWork!$B179,FamaFrench!$B$6:$B$244,0),MATCH(FamaFrench!E$5,FFWork!$D$10:$G$10,0))</f>
        <v>#N/A</v>
      </c>
      <c r="G179" s="14" t="e">
        <f>INDEX(FamaFrench!$C$6:$F$244,MATCH(FFWork!$B179,FamaFrench!$B$6:$B$244,0),MATCH(FamaFrench!F$5,FFWork!$D$10:$G$10,0))</f>
        <v>#N/A</v>
      </c>
    </row>
    <row r="180" spans="1:7" x14ac:dyDescent="0.2">
      <c r="A180">
        <v>170</v>
      </c>
      <c r="B180" s="33" t="str">
        <f>IF(B179="","",IF(EOMONTH(B179,1)&lt;=EOMONTH(Front!$C$4,0),EOMONTH(B179,1),""))</f>
        <v/>
      </c>
      <c r="C180" s="14" t="e">
        <f>INDEX(MutualFunds!$C$6:$O$244,MATCH(FFWork!B180,MutualFunds!$B$6:$B$244,0),MATCH(Front!$C$2,MutualFunds!$C$4:$O$4,0))</f>
        <v>#N/A</v>
      </c>
      <c r="D180" s="14" t="e">
        <f>INDEX(FamaFrench!$C$6:$F$244,MATCH(FFWork!$B180,FamaFrench!$B$6:$B$244,0),MATCH(FamaFrench!C$5,FFWork!$D$10:$F$10,0))</f>
        <v>#N/A</v>
      </c>
      <c r="E180" s="14" t="e">
        <f>INDEX(FamaFrench!$C$6:$F$244,MATCH(FFWork!$B180,FamaFrench!$B$6:$B$244,0),MATCH(FamaFrench!D$5,FFWork!$D$10:$F$10,0))</f>
        <v>#N/A</v>
      </c>
      <c r="F180" s="14" t="e">
        <f>INDEX(FamaFrench!$C$6:$F$244,MATCH(FFWork!$B180,FamaFrench!$B$6:$B$244,0),MATCH(FamaFrench!E$5,FFWork!$D$10:$G$10,0))</f>
        <v>#N/A</v>
      </c>
      <c r="G180" s="14" t="e">
        <f>INDEX(FamaFrench!$C$6:$F$244,MATCH(FFWork!$B180,FamaFrench!$B$6:$B$244,0),MATCH(FamaFrench!F$5,FFWork!$D$10:$G$10,0))</f>
        <v>#N/A</v>
      </c>
    </row>
    <row r="181" spans="1:7" x14ac:dyDescent="0.2">
      <c r="A181">
        <v>171</v>
      </c>
      <c r="B181" s="33" t="str">
        <f>IF(B180="","",IF(EOMONTH(B180,1)&lt;=EOMONTH(Front!$C$4,0),EOMONTH(B180,1),""))</f>
        <v/>
      </c>
      <c r="C181" s="14" t="e">
        <f>INDEX(MutualFunds!$C$6:$O$244,MATCH(FFWork!B181,MutualFunds!$B$6:$B$244,0),MATCH(Front!$C$2,MutualFunds!$C$4:$O$4,0))</f>
        <v>#N/A</v>
      </c>
      <c r="D181" s="14" t="e">
        <f>INDEX(FamaFrench!$C$6:$F$244,MATCH(FFWork!$B181,FamaFrench!$B$6:$B$244,0),MATCH(FamaFrench!C$5,FFWork!$D$10:$F$10,0))</f>
        <v>#N/A</v>
      </c>
      <c r="E181" s="14" t="e">
        <f>INDEX(FamaFrench!$C$6:$F$244,MATCH(FFWork!$B181,FamaFrench!$B$6:$B$244,0),MATCH(FamaFrench!D$5,FFWork!$D$10:$F$10,0))</f>
        <v>#N/A</v>
      </c>
      <c r="F181" s="14" t="e">
        <f>INDEX(FamaFrench!$C$6:$F$244,MATCH(FFWork!$B181,FamaFrench!$B$6:$B$244,0),MATCH(FamaFrench!E$5,FFWork!$D$10:$G$10,0))</f>
        <v>#N/A</v>
      </c>
      <c r="G181" s="14" t="e">
        <f>INDEX(FamaFrench!$C$6:$F$244,MATCH(FFWork!$B181,FamaFrench!$B$6:$B$244,0),MATCH(FamaFrench!F$5,FFWork!$D$10:$G$10,0))</f>
        <v>#N/A</v>
      </c>
    </row>
    <row r="182" spans="1:7" x14ac:dyDescent="0.2">
      <c r="A182">
        <v>172</v>
      </c>
      <c r="B182" s="33" t="str">
        <f>IF(B181="","",IF(EOMONTH(B181,1)&lt;=EOMONTH(Front!$C$4,0),EOMONTH(B181,1),""))</f>
        <v/>
      </c>
      <c r="C182" s="14" t="e">
        <f>INDEX(MutualFunds!$C$6:$O$244,MATCH(FFWork!B182,MutualFunds!$B$6:$B$244,0),MATCH(Front!$C$2,MutualFunds!$C$4:$O$4,0))</f>
        <v>#N/A</v>
      </c>
      <c r="D182" s="14" t="e">
        <f>INDEX(FamaFrench!$C$6:$F$244,MATCH(FFWork!$B182,FamaFrench!$B$6:$B$244,0),MATCH(FamaFrench!C$5,FFWork!$D$10:$F$10,0))</f>
        <v>#N/A</v>
      </c>
      <c r="E182" s="14" t="e">
        <f>INDEX(FamaFrench!$C$6:$F$244,MATCH(FFWork!$B182,FamaFrench!$B$6:$B$244,0),MATCH(FamaFrench!D$5,FFWork!$D$10:$F$10,0))</f>
        <v>#N/A</v>
      </c>
      <c r="F182" s="14" t="e">
        <f>INDEX(FamaFrench!$C$6:$F$244,MATCH(FFWork!$B182,FamaFrench!$B$6:$B$244,0),MATCH(FamaFrench!E$5,FFWork!$D$10:$G$10,0))</f>
        <v>#N/A</v>
      </c>
      <c r="G182" s="14" t="e">
        <f>INDEX(FamaFrench!$C$6:$F$244,MATCH(FFWork!$B182,FamaFrench!$B$6:$B$244,0),MATCH(FamaFrench!F$5,FFWork!$D$10:$G$10,0))</f>
        <v>#N/A</v>
      </c>
    </row>
    <row r="183" spans="1:7" x14ac:dyDescent="0.2">
      <c r="A183">
        <v>173</v>
      </c>
      <c r="B183" s="33" t="str">
        <f>IF(B182="","",IF(EOMONTH(B182,1)&lt;=EOMONTH(Front!$C$4,0),EOMONTH(B182,1),""))</f>
        <v/>
      </c>
      <c r="C183" s="14" t="e">
        <f>INDEX(MutualFunds!$C$6:$O$244,MATCH(FFWork!B183,MutualFunds!$B$6:$B$244,0),MATCH(Front!$C$2,MutualFunds!$C$4:$O$4,0))</f>
        <v>#N/A</v>
      </c>
      <c r="D183" s="14" t="e">
        <f>INDEX(FamaFrench!$C$6:$F$244,MATCH(FFWork!$B183,FamaFrench!$B$6:$B$244,0),MATCH(FamaFrench!C$5,FFWork!$D$10:$F$10,0))</f>
        <v>#N/A</v>
      </c>
      <c r="E183" s="14" t="e">
        <f>INDEX(FamaFrench!$C$6:$F$244,MATCH(FFWork!$B183,FamaFrench!$B$6:$B$244,0),MATCH(FamaFrench!D$5,FFWork!$D$10:$F$10,0))</f>
        <v>#N/A</v>
      </c>
      <c r="F183" s="14" t="e">
        <f>INDEX(FamaFrench!$C$6:$F$244,MATCH(FFWork!$B183,FamaFrench!$B$6:$B$244,0),MATCH(FamaFrench!E$5,FFWork!$D$10:$G$10,0))</f>
        <v>#N/A</v>
      </c>
      <c r="G183" s="14" t="e">
        <f>INDEX(FamaFrench!$C$6:$F$244,MATCH(FFWork!$B183,FamaFrench!$B$6:$B$244,0),MATCH(FamaFrench!F$5,FFWork!$D$10:$G$10,0))</f>
        <v>#N/A</v>
      </c>
    </row>
    <row r="184" spans="1:7" x14ac:dyDescent="0.2">
      <c r="A184">
        <v>174</v>
      </c>
      <c r="B184" s="33" t="str">
        <f>IF(B183="","",IF(EOMONTH(B183,1)&lt;=EOMONTH(Front!$C$4,0),EOMONTH(B183,1),""))</f>
        <v/>
      </c>
      <c r="C184" s="14" t="e">
        <f>INDEX(MutualFunds!$C$6:$O$244,MATCH(FFWork!B184,MutualFunds!$B$6:$B$244,0),MATCH(Front!$C$2,MutualFunds!$C$4:$O$4,0))</f>
        <v>#N/A</v>
      </c>
      <c r="D184" s="14" t="e">
        <f>INDEX(FamaFrench!$C$6:$F$244,MATCH(FFWork!$B184,FamaFrench!$B$6:$B$244,0),MATCH(FamaFrench!C$5,FFWork!$D$10:$F$10,0))</f>
        <v>#N/A</v>
      </c>
      <c r="E184" s="14" t="e">
        <f>INDEX(FamaFrench!$C$6:$F$244,MATCH(FFWork!$B184,FamaFrench!$B$6:$B$244,0),MATCH(FamaFrench!D$5,FFWork!$D$10:$F$10,0))</f>
        <v>#N/A</v>
      </c>
      <c r="F184" s="14" t="e">
        <f>INDEX(FamaFrench!$C$6:$F$244,MATCH(FFWork!$B184,FamaFrench!$B$6:$B$244,0),MATCH(FamaFrench!E$5,FFWork!$D$10:$G$10,0))</f>
        <v>#N/A</v>
      </c>
      <c r="G184" s="14" t="e">
        <f>INDEX(FamaFrench!$C$6:$F$244,MATCH(FFWork!$B184,FamaFrench!$B$6:$B$244,0),MATCH(FamaFrench!F$5,FFWork!$D$10:$G$10,0))</f>
        <v>#N/A</v>
      </c>
    </row>
    <row r="185" spans="1:7" x14ac:dyDescent="0.2">
      <c r="A185">
        <v>175</v>
      </c>
      <c r="B185" s="33" t="str">
        <f>IF(B184="","",IF(EOMONTH(B184,1)&lt;=EOMONTH(Front!$C$4,0),EOMONTH(B184,1),""))</f>
        <v/>
      </c>
      <c r="C185" s="14" t="e">
        <f>INDEX(MutualFunds!$C$6:$O$244,MATCH(FFWork!B185,MutualFunds!$B$6:$B$244,0),MATCH(Front!$C$2,MutualFunds!$C$4:$O$4,0))</f>
        <v>#N/A</v>
      </c>
      <c r="D185" s="14" t="e">
        <f>INDEX(FamaFrench!$C$6:$F$244,MATCH(FFWork!$B185,FamaFrench!$B$6:$B$244,0),MATCH(FamaFrench!C$5,FFWork!$D$10:$F$10,0))</f>
        <v>#N/A</v>
      </c>
      <c r="E185" s="14" t="e">
        <f>INDEX(FamaFrench!$C$6:$F$244,MATCH(FFWork!$B185,FamaFrench!$B$6:$B$244,0),MATCH(FamaFrench!D$5,FFWork!$D$10:$F$10,0))</f>
        <v>#N/A</v>
      </c>
      <c r="F185" s="14" t="e">
        <f>INDEX(FamaFrench!$C$6:$F$244,MATCH(FFWork!$B185,FamaFrench!$B$6:$B$244,0),MATCH(FamaFrench!E$5,FFWork!$D$10:$G$10,0))</f>
        <v>#N/A</v>
      </c>
      <c r="G185" s="14" t="e">
        <f>INDEX(FamaFrench!$C$6:$F$244,MATCH(FFWork!$B185,FamaFrench!$B$6:$B$244,0),MATCH(FamaFrench!F$5,FFWork!$D$10:$G$10,0))</f>
        <v>#N/A</v>
      </c>
    </row>
    <row r="186" spans="1:7" x14ac:dyDescent="0.2">
      <c r="A186">
        <v>176</v>
      </c>
      <c r="B186" s="33" t="str">
        <f>IF(B185="","",IF(EOMONTH(B185,1)&lt;=EOMONTH(Front!$C$4,0),EOMONTH(B185,1),""))</f>
        <v/>
      </c>
      <c r="C186" s="14" t="e">
        <f>INDEX(MutualFunds!$C$6:$O$244,MATCH(FFWork!B186,MutualFunds!$B$6:$B$244,0),MATCH(Front!$C$2,MutualFunds!$C$4:$O$4,0))</f>
        <v>#N/A</v>
      </c>
      <c r="D186" s="14" t="e">
        <f>INDEX(FamaFrench!$C$6:$F$244,MATCH(FFWork!$B186,FamaFrench!$B$6:$B$244,0),MATCH(FamaFrench!C$5,FFWork!$D$10:$F$10,0))</f>
        <v>#N/A</v>
      </c>
      <c r="E186" s="14" t="e">
        <f>INDEX(FamaFrench!$C$6:$F$244,MATCH(FFWork!$B186,FamaFrench!$B$6:$B$244,0),MATCH(FamaFrench!D$5,FFWork!$D$10:$F$10,0))</f>
        <v>#N/A</v>
      </c>
      <c r="F186" s="14" t="e">
        <f>INDEX(FamaFrench!$C$6:$F$244,MATCH(FFWork!$B186,FamaFrench!$B$6:$B$244,0),MATCH(FamaFrench!E$5,FFWork!$D$10:$G$10,0))</f>
        <v>#N/A</v>
      </c>
      <c r="G186" s="14" t="e">
        <f>INDEX(FamaFrench!$C$6:$F$244,MATCH(FFWork!$B186,FamaFrench!$B$6:$B$244,0),MATCH(FamaFrench!F$5,FFWork!$D$10:$G$10,0))</f>
        <v>#N/A</v>
      </c>
    </row>
    <row r="187" spans="1:7" x14ac:dyDescent="0.2">
      <c r="A187">
        <v>177</v>
      </c>
      <c r="B187" s="33" t="str">
        <f>IF(B186="","",IF(EOMONTH(B186,1)&lt;=EOMONTH(Front!$C$4,0),EOMONTH(B186,1),""))</f>
        <v/>
      </c>
      <c r="C187" s="14" t="e">
        <f>INDEX(MutualFunds!$C$6:$O$244,MATCH(FFWork!B187,MutualFunds!$B$6:$B$244,0),MATCH(Front!$C$2,MutualFunds!$C$4:$O$4,0))</f>
        <v>#N/A</v>
      </c>
      <c r="D187" s="14" t="e">
        <f>INDEX(FamaFrench!$C$6:$F$244,MATCH(FFWork!$B187,FamaFrench!$B$6:$B$244,0),MATCH(FamaFrench!C$5,FFWork!$D$10:$F$10,0))</f>
        <v>#N/A</v>
      </c>
      <c r="E187" s="14" t="e">
        <f>INDEX(FamaFrench!$C$6:$F$244,MATCH(FFWork!$B187,FamaFrench!$B$6:$B$244,0),MATCH(FamaFrench!D$5,FFWork!$D$10:$F$10,0))</f>
        <v>#N/A</v>
      </c>
      <c r="F187" s="14" t="e">
        <f>INDEX(FamaFrench!$C$6:$F$244,MATCH(FFWork!$B187,FamaFrench!$B$6:$B$244,0),MATCH(FamaFrench!E$5,FFWork!$D$10:$G$10,0))</f>
        <v>#N/A</v>
      </c>
      <c r="G187" s="14" t="e">
        <f>INDEX(FamaFrench!$C$6:$F$244,MATCH(FFWork!$B187,FamaFrench!$B$6:$B$244,0),MATCH(FamaFrench!F$5,FFWork!$D$10:$G$10,0))</f>
        <v>#N/A</v>
      </c>
    </row>
    <row r="188" spans="1:7" x14ac:dyDescent="0.2">
      <c r="A188">
        <v>178</v>
      </c>
      <c r="B188" s="33" t="str">
        <f>IF(B187="","",IF(EOMONTH(B187,1)&lt;=EOMONTH(Front!$C$4,0),EOMONTH(B187,1),""))</f>
        <v/>
      </c>
      <c r="C188" s="14" t="e">
        <f>INDEX(MutualFunds!$C$6:$O$244,MATCH(FFWork!B188,MutualFunds!$B$6:$B$244,0),MATCH(Front!$C$2,MutualFunds!$C$4:$O$4,0))</f>
        <v>#N/A</v>
      </c>
      <c r="D188" s="14" t="e">
        <f>INDEX(FamaFrench!$C$6:$F$244,MATCH(FFWork!$B188,FamaFrench!$B$6:$B$244,0),MATCH(FamaFrench!C$5,FFWork!$D$10:$F$10,0))</f>
        <v>#N/A</v>
      </c>
      <c r="E188" s="14" t="e">
        <f>INDEX(FamaFrench!$C$6:$F$244,MATCH(FFWork!$B188,FamaFrench!$B$6:$B$244,0),MATCH(FamaFrench!D$5,FFWork!$D$10:$F$10,0))</f>
        <v>#N/A</v>
      </c>
      <c r="F188" s="14" t="e">
        <f>INDEX(FamaFrench!$C$6:$F$244,MATCH(FFWork!$B188,FamaFrench!$B$6:$B$244,0),MATCH(FamaFrench!E$5,FFWork!$D$10:$G$10,0))</f>
        <v>#N/A</v>
      </c>
      <c r="G188" s="14" t="e">
        <f>INDEX(FamaFrench!$C$6:$F$244,MATCH(FFWork!$B188,FamaFrench!$B$6:$B$244,0),MATCH(FamaFrench!F$5,FFWork!$D$10:$G$10,0))</f>
        <v>#N/A</v>
      </c>
    </row>
    <row r="189" spans="1:7" x14ac:dyDescent="0.2">
      <c r="A189">
        <v>179</v>
      </c>
      <c r="B189" s="33" t="str">
        <f>IF(B188="","",IF(EOMONTH(B188,1)&lt;=EOMONTH(Front!$C$4,0),EOMONTH(B188,1),""))</f>
        <v/>
      </c>
      <c r="C189" s="14" t="e">
        <f>INDEX(MutualFunds!$C$6:$O$244,MATCH(FFWork!B189,MutualFunds!$B$6:$B$244,0),MATCH(Front!$C$2,MutualFunds!$C$4:$O$4,0))</f>
        <v>#N/A</v>
      </c>
      <c r="D189" s="14" t="e">
        <f>INDEX(FamaFrench!$C$6:$F$244,MATCH(FFWork!$B189,FamaFrench!$B$6:$B$244,0),MATCH(FamaFrench!C$5,FFWork!$D$10:$F$10,0))</f>
        <v>#N/A</v>
      </c>
      <c r="E189" s="14" t="e">
        <f>INDEX(FamaFrench!$C$6:$F$244,MATCH(FFWork!$B189,FamaFrench!$B$6:$B$244,0),MATCH(FamaFrench!D$5,FFWork!$D$10:$F$10,0))</f>
        <v>#N/A</v>
      </c>
      <c r="F189" s="14" t="e">
        <f>INDEX(FamaFrench!$C$6:$F$244,MATCH(FFWork!$B189,FamaFrench!$B$6:$B$244,0),MATCH(FamaFrench!E$5,FFWork!$D$10:$G$10,0))</f>
        <v>#N/A</v>
      </c>
      <c r="G189" s="14" t="e">
        <f>INDEX(FamaFrench!$C$6:$F$244,MATCH(FFWork!$B189,FamaFrench!$B$6:$B$244,0),MATCH(FamaFrench!F$5,FFWork!$D$10:$G$10,0))</f>
        <v>#N/A</v>
      </c>
    </row>
    <row r="190" spans="1:7" x14ac:dyDescent="0.2">
      <c r="A190">
        <v>180</v>
      </c>
      <c r="B190" s="33" t="str">
        <f>IF(B189="","",IF(EOMONTH(B189,1)&lt;=EOMONTH(Front!$C$4,0),EOMONTH(B189,1),""))</f>
        <v/>
      </c>
      <c r="C190" s="14" t="e">
        <f>INDEX(MutualFunds!$C$6:$O$244,MATCH(FFWork!B190,MutualFunds!$B$6:$B$244,0),MATCH(Front!$C$2,MutualFunds!$C$4:$O$4,0))</f>
        <v>#N/A</v>
      </c>
      <c r="D190" s="14" t="e">
        <f>INDEX(FamaFrench!$C$6:$F$244,MATCH(FFWork!$B190,FamaFrench!$B$6:$B$244,0),MATCH(FamaFrench!C$5,FFWork!$D$10:$F$10,0))</f>
        <v>#N/A</v>
      </c>
      <c r="E190" s="14" t="e">
        <f>INDEX(FamaFrench!$C$6:$F$244,MATCH(FFWork!$B190,FamaFrench!$B$6:$B$244,0),MATCH(FamaFrench!D$5,FFWork!$D$10:$F$10,0))</f>
        <v>#N/A</v>
      </c>
      <c r="F190" s="14" t="e">
        <f>INDEX(FamaFrench!$C$6:$F$244,MATCH(FFWork!$B190,FamaFrench!$B$6:$B$244,0),MATCH(FamaFrench!E$5,FFWork!$D$10:$G$10,0))</f>
        <v>#N/A</v>
      </c>
      <c r="G190" s="14" t="e">
        <f>INDEX(FamaFrench!$C$6:$F$244,MATCH(FFWork!$B190,FamaFrench!$B$6:$B$244,0),MATCH(FamaFrench!F$5,FFWork!$D$10:$G$10,0))</f>
        <v>#N/A</v>
      </c>
    </row>
    <row r="191" spans="1:7" x14ac:dyDescent="0.2">
      <c r="A191">
        <v>181</v>
      </c>
      <c r="B191" s="33" t="str">
        <f>IF(B190="","",IF(EOMONTH(B190,1)&lt;=EOMONTH(Front!$C$4,0),EOMONTH(B190,1),""))</f>
        <v/>
      </c>
      <c r="C191" s="14" t="e">
        <f>INDEX(MutualFunds!$C$6:$O$244,MATCH(FFWork!B191,MutualFunds!$B$6:$B$244,0),MATCH(Front!$C$2,MutualFunds!$C$4:$O$4,0))</f>
        <v>#N/A</v>
      </c>
      <c r="D191" s="14" t="e">
        <f>INDEX(FamaFrench!$C$6:$F$244,MATCH(FFWork!$B191,FamaFrench!$B$6:$B$244,0),MATCH(FamaFrench!C$5,FFWork!$D$10:$F$10,0))</f>
        <v>#N/A</v>
      </c>
      <c r="E191" s="14" t="e">
        <f>INDEX(FamaFrench!$C$6:$F$244,MATCH(FFWork!$B191,FamaFrench!$B$6:$B$244,0),MATCH(FamaFrench!D$5,FFWork!$D$10:$F$10,0))</f>
        <v>#N/A</v>
      </c>
      <c r="F191" s="14" t="e">
        <f>INDEX(FamaFrench!$C$6:$F$244,MATCH(FFWork!$B191,FamaFrench!$B$6:$B$244,0),MATCH(FamaFrench!E$5,FFWork!$D$10:$G$10,0))</f>
        <v>#N/A</v>
      </c>
      <c r="G191" s="14" t="e">
        <f>INDEX(FamaFrench!$C$6:$F$244,MATCH(FFWork!$B191,FamaFrench!$B$6:$B$244,0),MATCH(FamaFrench!F$5,FFWork!$D$10:$G$10,0))</f>
        <v>#N/A</v>
      </c>
    </row>
    <row r="192" spans="1:7" x14ac:dyDescent="0.2">
      <c r="A192">
        <v>182</v>
      </c>
      <c r="B192" s="33" t="str">
        <f>IF(B191="","",IF(EOMONTH(B191,1)&lt;=EOMONTH(Front!$C$4,0),EOMONTH(B191,1),""))</f>
        <v/>
      </c>
      <c r="C192" s="14" t="e">
        <f>INDEX(MutualFunds!$C$6:$O$244,MATCH(FFWork!B192,MutualFunds!$B$6:$B$244,0),MATCH(Front!$C$2,MutualFunds!$C$4:$O$4,0))</f>
        <v>#N/A</v>
      </c>
      <c r="D192" s="14" t="e">
        <f>INDEX(FamaFrench!$C$6:$F$244,MATCH(FFWork!$B192,FamaFrench!$B$6:$B$244,0),MATCH(FamaFrench!C$5,FFWork!$D$10:$F$10,0))</f>
        <v>#N/A</v>
      </c>
      <c r="E192" s="14" t="e">
        <f>INDEX(FamaFrench!$C$6:$F$244,MATCH(FFWork!$B192,FamaFrench!$B$6:$B$244,0),MATCH(FamaFrench!D$5,FFWork!$D$10:$F$10,0))</f>
        <v>#N/A</v>
      </c>
      <c r="F192" s="14" t="e">
        <f>INDEX(FamaFrench!$C$6:$F$244,MATCH(FFWork!$B192,FamaFrench!$B$6:$B$244,0),MATCH(FamaFrench!E$5,FFWork!$D$10:$G$10,0))</f>
        <v>#N/A</v>
      </c>
      <c r="G192" s="14" t="e">
        <f>INDEX(FamaFrench!$C$6:$F$244,MATCH(FFWork!$B192,FamaFrench!$B$6:$B$244,0),MATCH(FamaFrench!F$5,FFWork!$D$10:$G$10,0))</f>
        <v>#N/A</v>
      </c>
    </row>
    <row r="193" spans="1:7" x14ac:dyDescent="0.2">
      <c r="A193">
        <v>183</v>
      </c>
      <c r="B193" s="33" t="str">
        <f>IF(B192="","",IF(EOMONTH(B192,1)&lt;=EOMONTH(Front!$C$4,0),EOMONTH(B192,1),""))</f>
        <v/>
      </c>
      <c r="C193" s="14" t="e">
        <f>INDEX(MutualFunds!$C$6:$O$244,MATCH(FFWork!B193,MutualFunds!$B$6:$B$244,0),MATCH(Front!$C$2,MutualFunds!$C$4:$O$4,0))</f>
        <v>#N/A</v>
      </c>
      <c r="D193" s="14" t="e">
        <f>INDEX(FamaFrench!$C$6:$F$244,MATCH(FFWork!$B193,FamaFrench!$B$6:$B$244,0),MATCH(FamaFrench!C$5,FFWork!$D$10:$F$10,0))</f>
        <v>#N/A</v>
      </c>
      <c r="E193" s="14" t="e">
        <f>INDEX(FamaFrench!$C$6:$F$244,MATCH(FFWork!$B193,FamaFrench!$B$6:$B$244,0),MATCH(FamaFrench!D$5,FFWork!$D$10:$F$10,0))</f>
        <v>#N/A</v>
      </c>
      <c r="F193" s="14" t="e">
        <f>INDEX(FamaFrench!$C$6:$F$244,MATCH(FFWork!$B193,FamaFrench!$B$6:$B$244,0),MATCH(FamaFrench!E$5,FFWork!$D$10:$G$10,0))</f>
        <v>#N/A</v>
      </c>
      <c r="G193" s="14" t="e">
        <f>INDEX(FamaFrench!$C$6:$F$244,MATCH(FFWork!$B193,FamaFrench!$B$6:$B$244,0),MATCH(FamaFrench!F$5,FFWork!$D$10:$G$10,0))</f>
        <v>#N/A</v>
      </c>
    </row>
    <row r="194" spans="1:7" x14ac:dyDescent="0.2">
      <c r="A194">
        <v>184</v>
      </c>
      <c r="B194" s="33" t="str">
        <f>IF(B193="","",IF(EOMONTH(B193,1)&lt;=EOMONTH(Front!$C$4,0),EOMONTH(B193,1),""))</f>
        <v/>
      </c>
      <c r="C194" s="14" t="e">
        <f>INDEX(MutualFunds!$C$6:$O$244,MATCH(FFWork!B194,MutualFunds!$B$6:$B$244,0),MATCH(Front!$C$2,MutualFunds!$C$4:$O$4,0))</f>
        <v>#N/A</v>
      </c>
      <c r="D194" s="14" t="e">
        <f>INDEX(FamaFrench!$C$6:$F$244,MATCH(FFWork!$B194,FamaFrench!$B$6:$B$244,0),MATCH(FamaFrench!C$5,FFWork!$D$10:$F$10,0))</f>
        <v>#N/A</v>
      </c>
      <c r="E194" s="14" t="e">
        <f>INDEX(FamaFrench!$C$6:$F$244,MATCH(FFWork!$B194,FamaFrench!$B$6:$B$244,0),MATCH(FamaFrench!D$5,FFWork!$D$10:$F$10,0))</f>
        <v>#N/A</v>
      </c>
      <c r="F194" s="14" t="e">
        <f>INDEX(FamaFrench!$C$6:$F$244,MATCH(FFWork!$B194,FamaFrench!$B$6:$B$244,0),MATCH(FamaFrench!E$5,FFWork!$D$10:$G$10,0))</f>
        <v>#N/A</v>
      </c>
      <c r="G194" s="14" t="e">
        <f>INDEX(FamaFrench!$C$6:$F$244,MATCH(FFWork!$B194,FamaFrench!$B$6:$B$244,0),MATCH(FamaFrench!F$5,FFWork!$D$10:$G$10,0))</f>
        <v>#N/A</v>
      </c>
    </row>
    <row r="195" spans="1:7" x14ac:dyDescent="0.2">
      <c r="A195">
        <v>185</v>
      </c>
      <c r="B195" s="33" t="str">
        <f>IF(B194="","",IF(EOMONTH(B194,1)&lt;=EOMONTH(Front!$C$4,0),EOMONTH(B194,1),""))</f>
        <v/>
      </c>
      <c r="C195" s="14" t="e">
        <f>INDEX(MutualFunds!$C$6:$O$244,MATCH(FFWork!B195,MutualFunds!$B$6:$B$244,0),MATCH(Front!$C$2,MutualFunds!$C$4:$O$4,0))</f>
        <v>#N/A</v>
      </c>
      <c r="D195" s="14" t="e">
        <f>INDEX(FamaFrench!$C$6:$F$244,MATCH(FFWork!$B195,FamaFrench!$B$6:$B$244,0),MATCH(FamaFrench!C$5,FFWork!$D$10:$F$10,0))</f>
        <v>#N/A</v>
      </c>
      <c r="E195" s="14" t="e">
        <f>INDEX(FamaFrench!$C$6:$F$244,MATCH(FFWork!$B195,FamaFrench!$B$6:$B$244,0),MATCH(FamaFrench!D$5,FFWork!$D$10:$F$10,0))</f>
        <v>#N/A</v>
      </c>
      <c r="F195" s="14" t="e">
        <f>INDEX(FamaFrench!$C$6:$F$244,MATCH(FFWork!$B195,FamaFrench!$B$6:$B$244,0),MATCH(FamaFrench!E$5,FFWork!$D$10:$G$10,0))</f>
        <v>#N/A</v>
      </c>
      <c r="G195" s="14" t="e">
        <f>INDEX(FamaFrench!$C$6:$F$244,MATCH(FFWork!$B195,FamaFrench!$B$6:$B$244,0),MATCH(FamaFrench!F$5,FFWork!$D$10:$G$10,0))</f>
        <v>#N/A</v>
      </c>
    </row>
    <row r="196" spans="1:7" x14ac:dyDescent="0.2">
      <c r="A196">
        <v>186</v>
      </c>
      <c r="B196" s="33" t="str">
        <f>IF(B195="","",IF(EOMONTH(B195,1)&lt;=EOMONTH(Front!$C$4,0),EOMONTH(B195,1),""))</f>
        <v/>
      </c>
      <c r="C196" s="14" t="e">
        <f>INDEX(MutualFunds!$C$6:$O$244,MATCH(FFWork!B196,MutualFunds!$B$6:$B$244,0),MATCH(Front!$C$2,MutualFunds!$C$4:$O$4,0))</f>
        <v>#N/A</v>
      </c>
      <c r="D196" s="14" t="e">
        <f>INDEX(FamaFrench!$C$6:$F$244,MATCH(FFWork!$B196,FamaFrench!$B$6:$B$244,0),MATCH(FamaFrench!C$5,FFWork!$D$10:$F$10,0))</f>
        <v>#N/A</v>
      </c>
      <c r="E196" s="14" t="e">
        <f>INDEX(FamaFrench!$C$6:$F$244,MATCH(FFWork!$B196,FamaFrench!$B$6:$B$244,0),MATCH(FamaFrench!D$5,FFWork!$D$10:$F$10,0))</f>
        <v>#N/A</v>
      </c>
      <c r="F196" s="14" t="e">
        <f>INDEX(FamaFrench!$C$6:$F$244,MATCH(FFWork!$B196,FamaFrench!$B$6:$B$244,0),MATCH(FamaFrench!E$5,FFWork!$D$10:$G$10,0))</f>
        <v>#N/A</v>
      </c>
      <c r="G196" s="14" t="e">
        <f>INDEX(FamaFrench!$C$6:$F$244,MATCH(FFWork!$B196,FamaFrench!$B$6:$B$244,0),MATCH(FamaFrench!F$5,FFWork!$D$10:$G$10,0))</f>
        <v>#N/A</v>
      </c>
    </row>
    <row r="197" spans="1:7" x14ac:dyDescent="0.2">
      <c r="A197">
        <v>187</v>
      </c>
      <c r="B197" s="33" t="str">
        <f>IF(B196="","",IF(EOMONTH(B196,1)&lt;=EOMONTH(Front!$C$4,0),EOMONTH(B196,1),""))</f>
        <v/>
      </c>
      <c r="C197" s="14" t="e">
        <f>INDEX(MutualFunds!$C$6:$O$244,MATCH(FFWork!B197,MutualFunds!$B$6:$B$244,0),MATCH(Front!$C$2,MutualFunds!$C$4:$O$4,0))</f>
        <v>#N/A</v>
      </c>
      <c r="D197" s="14" t="e">
        <f>INDEX(FamaFrench!$C$6:$F$244,MATCH(FFWork!$B197,FamaFrench!$B$6:$B$244,0),MATCH(FamaFrench!C$5,FFWork!$D$10:$F$10,0))</f>
        <v>#N/A</v>
      </c>
      <c r="E197" s="14" t="e">
        <f>INDEX(FamaFrench!$C$6:$F$244,MATCH(FFWork!$B197,FamaFrench!$B$6:$B$244,0),MATCH(FamaFrench!D$5,FFWork!$D$10:$F$10,0))</f>
        <v>#N/A</v>
      </c>
      <c r="F197" s="14" t="e">
        <f>INDEX(FamaFrench!$C$6:$F$244,MATCH(FFWork!$B197,FamaFrench!$B$6:$B$244,0),MATCH(FamaFrench!E$5,FFWork!$D$10:$G$10,0))</f>
        <v>#N/A</v>
      </c>
      <c r="G197" s="14" t="e">
        <f>INDEX(FamaFrench!$C$6:$F$244,MATCH(FFWork!$B197,FamaFrench!$B$6:$B$244,0),MATCH(FamaFrench!F$5,FFWork!$D$10:$G$10,0))</f>
        <v>#N/A</v>
      </c>
    </row>
    <row r="198" spans="1:7" x14ac:dyDescent="0.2">
      <c r="A198">
        <v>188</v>
      </c>
      <c r="B198" s="33" t="str">
        <f>IF(B197="","",IF(EOMONTH(B197,1)&lt;=EOMONTH(Front!$C$4,0),EOMONTH(B197,1),""))</f>
        <v/>
      </c>
      <c r="C198" s="14" t="e">
        <f>INDEX(MutualFunds!$C$6:$O$244,MATCH(FFWork!B198,MutualFunds!$B$6:$B$244,0),MATCH(Front!$C$2,MutualFunds!$C$4:$O$4,0))</f>
        <v>#N/A</v>
      </c>
      <c r="D198" s="14" t="e">
        <f>INDEX(FamaFrench!$C$6:$F$244,MATCH(FFWork!$B198,FamaFrench!$B$6:$B$244,0),MATCH(FamaFrench!C$5,FFWork!$D$10:$F$10,0))</f>
        <v>#N/A</v>
      </c>
      <c r="E198" s="14" t="e">
        <f>INDEX(FamaFrench!$C$6:$F$244,MATCH(FFWork!$B198,FamaFrench!$B$6:$B$244,0),MATCH(FamaFrench!D$5,FFWork!$D$10:$F$10,0))</f>
        <v>#N/A</v>
      </c>
      <c r="F198" s="14" t="e">
        <f>INDEX(FamaFrench!$C$6:$F$244,MATCH(FFWork!$B198,FamaFrench!$B$6:$B$244,0),MATCH(FamaFrench!E$5,FFWork!$D$10:$G$10,0))</f>
        <v>#N/A</v>
      </c>
      <c r="G198" s="14" t="e">
        <f>INDEX(FamaFrench!$C$6:$F$244,MATCH(FFWork!$B198,FamaFrench!$B$6:$B$244,0),MATCH(FamaFrench!F$5,FFWork!$D$10:$G$10,0))</f>
        <v>#N/A</v>
      </c>
    </row>
    <row r="199" spans="1:7" x14ac:dyDescent="0.2">
      <c r="A199">
        <v>189</v>
      </c>
      <c r="B199" s="33" t="str">
        <f>IF(B198="","",IF(EOMONTH(B198,1)&lt;=EOMONTH(Front!$C$4,0),EOMONTH(B198,1),""))</f>
        <v/>
      </c>
      <c r="C199" s="14" t="e">
        <f>INDEX(MutualFunds!$C$6:$O$244,MATCH(FFWork!B199,MutualFunds!$B$6:$B$244,0),MATCH(Front!$C$2,MutualFunds!$C$4:$O$4,0))</f>
        <v>#N/A</v>
      </c>
      <c r="D199" s="14" t="e">
        <f>INDEX(FamaFrench!$C$6:$F$244,MATCH(FFWork!$B199,FamaFrench!$B$6:$B$244,0),MATCH(FamaFrench!C$5,FFWork!$D$10:$F$10,0))</f>
        <v>#N/A</v>
      </c>
      <c r="E199" s="14" t="e">
        <f>INDEX(FamaFrench!$C$6:$F$244,MATCH(FFWork!$B199,FamaFrench!$B$6:$B$244,0),MATCH(FamaFrench!D$5,FFWork!$D$10:$F$10,0))</f>
        <v>#N/A</v>
      </c>
      <c r="F199" s="14" t="e">
        <f>INDEX(FamaFrench!$C$6:$F$244,MATCH(FFWork!$B199,FamaFrench!$B$6:$B$244,0),MATCH(FamaFrench!E$5,FFWork!$D$10:$G$10,0))</f>
        <v>#N/A</v>
      </c>
      <c r="G199" s="14" t="e">
        <f>INDEX(FamaFrench!$C$6:$F$244,MATCH(FFWork!$B199,FamaFrench!$B$6:$B$244,0),MATCH(FamaFrench!F$5,FFWork!$D$10:$G$10,0))</f>
        <v>#N/A</v>
      </c>
    </row>
    <row r="200" spans="1:7" x14ac:dyDescent="0.2">
      <c r="A200">
        <v>190</v>
      </c>
      <c r="B200" s="33" t="str">
        <f>IF(B199="","",IF(EOMONTH(B199,1)&lt;=EOMONTH(Front!$C$4,0),EOMONTH(B199,1),""))</f>
        <v/>
      </c>
      <c r="C200" s="14" t="e">
        <f>INDEX(MutualFunds!$C$6:$O$244,MATCH(FFWork!B200,MutualFunds!$B$6:$B$244,0),MATCH(Front!$C$2,MutualFunds!$C$4:$O$4,0))</f>
        <v>#N/A</v>
      </c>
      <c r="D200" s="14" t="e">
        <f>INDEX(FamaFrench!$C$6:$F$244,MATCH(FFWork!$B200,FamaFrench!$B$6:$B$244,0),MATCH(FamaFrench!C$5,FFWork!$D$10:$F$10,0))</f>
        <v>#N/A</v>
      </c>
      <c r="E200" s="14" t="e">
        <f>INDEX(FamaFrench!$C$6:$F$244,MATCH(FFWork!$B200,FamaFrench!$B$6:$B$244,0),MATCH(FamaFrench!D$5,FFWork!$D$10:$F$10,0))</f>
        <v>#N/A</v>
      </c>
      <c r="F200" s="14" t="e">
        <f>INDEX(FamaFrench!$C$6:$F$244,MATCH(FFWork!$B200,FamaFrench!$B$6:$B$244,0),MATCH(FamaFrench!E$5,FFWork!$D$10:$G$10,0))</f>
        <v>#N/A</v>
      </c>
      <c r="G200" s="14" t="e">
        <f>INDEX(FamaFrench!$C$6:$F$244,MATCH(FFWork!$B200,FamaFrench!$B$6:$B$244,0),MATCH(FamaFrench!F$5,FFWork!$D$10:$G$10,0))</f>
        <v>#N/A</v>
      </c>
    </row>
    <row r="201" spans="1:7" x14ac:dyDescent="0.2">
      <c r="A201">
        <v>191</v>
      </c>
      <c r="B201" s="33" t="str">
        <f>IF(B200="","",IF(EOMONTH(B200,1)&lt;=EOMONTH(Front!$C$4,0),EOMONTH(B200,1),""))</f>
        <v/>
      </c>
      <c r="C201" s="14" t="e">
        <f>INDEX(MutualFunds!$C$6:$O$244,MATCH(FFWork!B201,MutualFunds!$B$6:$B$244,0),MATCH(Front!$C$2,MutualFunds!$C$4:$O$4,0))</f>
        <v>#N/A</v>
      </c>
      <c r="D201" s="14" t="e">
        <f>INDEX(FamaFrench!$C$6:$F$244,MATCH(FFWork!$B201,FamaFrench!$B$6:$B$244,0),MATCH(FamaFrench!C$5,FFWork!$D$10:$F$10,0))</f>
        <v>#N/A</v>
      </c>
      <c r="E201" s="14" t="e">
        <f>INDEX(FamaFrench!$C$6:$F$244,MATCH(FFWork!$B201,FamaFrench!$B$6:$B$244,0),MATCH(FamaFrench!D$5,FFWork!$D$10:$F$10,0))</f>
        <v>#N/A</v>
      </c>
      <c r="F201" s="14" t="e">
        <f>INDEX(FamaFrench!$C$6:$F$244,MATCH(FFWork!$B201,FamaFrench!$B$6:$B$244,0),MATCH(FamaFrench!E$5,FFWork!$D$10:$G$10,0))</f>
        <v>#N/A</v>
      </c>
      <c r="G201" s="14" t="e">
        <f>INDEX(FamaFrench!$C$6:$F$244,MATCH(FFWork!$B201,FamaFrench!$B$6:$B$244,0),MATCH(FamaFrench!F$5,FFWork!$D$10:$G$10,0))</f>
        <v>#N/A</v>
      </c>
    </row>
    <row r="202" spans="1:7" x14ac:dyDescent="0.2">
      <c r="A202">
        <v>192</v>
      </c>
      <c r="B202" s="33" t="str">
        <f>IF(B201="","",IF(EOMONTH(B201,1)&lt;=EOMONTH(Front!$C$4,0),EOMONTH(B201,1),""))</f>
        <v/>
      </c>
      <c r="C202" s="14" t="e">
        <f>INDEX(MutualFunds!$C$6:$O$244,MATCH(FFWork!B202,MutualFunds!$B$6:$B$244,0),MATCH(Front!$C$2,MutualFunds!$C$4:$O$4,0))</f>
        <v>#N/A</v>
      </c>
      <c r="D202" s="14" t="e">
        <f>INDEX(FamaFrench!$C$6:$F$244,MATCH(FFWork!$B202,FamaFrench!$B$6:$B$244,0),MATCH(FamaFrench!C$5,FFWork!$D$10:$F$10,0))</f>
        <v>#N/A</v>
      </c>
      <c r="E202" s="14" t="e">
        <f>INDEX(FamaFrench!$C$6:$F$244,MATCH(FFWork!$B202,FamaFrench!$B$6:$B$244,0),MATCH(FamaFrench!D$5,FFWork!$D$10:$F$10,0))</f>
        <v>#N/A</v>
      </c>
      <c r="F202" s="14" t="e">
        <f>INDEX(FamaFrench!$C$6:$F$244,MATCH(FFWork!$B202,FamaFrench!$B$6:$B$244,0),MATCH(FamaFrench!E$5,FFWork!$D$10:$G$10,0))</f>
        <v>#N/A</v>
      </c>
      <c r="G202" s="14" t="e">
        <f>INDEX(FamaFrench!$C$6:$F$244,MATCH(FFWork!$B202,FamaFrench!$B$6:$B$244,0),MATCH(FamaFrench!F$5,FFWork!$D$10:$G$10,0))</f>
        <v>#N/A</v>
      </c>
    </row>
    <row r="203" spans="1:7" x14ac:dyDescent="0.2">
      <c r="A203">
        <v>193</v>
      </c>
      <c r="B203" s="33" t="str">
        <f>IF(B202="","",IF(EOMONTH(B202,1)&lt;=EOMONTH(Front!$C$4,0),EOMONTH(B202,1),""))</f>
        <v/>
      </c>
      <c r="C203" s="14" t="e">
        <f>INDEX(MutualFunds!$C$6:$O$244,MATCH(FFWork!B203,MutualFunds!$B$6:$B$244,0),MATCH(Front!$C$2,MutualFunds!$C$4:$O$4,0))</f>
        <v>#N/A</v>
      </c>
      <c r="D203" s="14" t="e">
        <f>INDEX(FamaFrench!$C$6:$F$244,MATCH(FFWork!$B203,FamaFrench!$B$6:$B$244,0),MATCH(FamaFrench!C$5,FFWork!$D$10:$F$10,0))</f>
        <v>#N/A</v>
      </c>
      <c r="E203" s="14" t="e">
        <f>INDEX(FamaFrench!$C$6:$F$244,MATCH(FFWork!$B203,FamaFrench!$B$6:$B$244,0),MATCH(FamaFrench!D$5,FFWork!$D$10:$F$10,0))</f>
        <v>#N/A</v>
      </c>
      <c r="F203" s="14" t="e">
        <f>INDEX(FamaFrench!$C$6:$F$244,MATCH(FFWork!$B203,FamaFrench!$B$6:$B$244,0),MATCH(FamaFrench!E$5,FFWork!$D$10:$G$10,0))</f>
        <v>#N/A</v>
      </c>
      <c r="G203" s="14" t="e">
        <f>INDEX(FamaFrench!$C$6:$F$244,MATCH(FFWork!$B203,FamaFrench!$B$6:$B$244,0),MATCH(FamaFrench!F$5,FFWork!$D$10:$G$10,0))</f>
        <v>#N/A</v>
      </c>
    </row>
    <row r="204" spans="1:7" x14ac:dyDescent="0.2">
      <c r="A204">
        <v>194</v>
      </c>
      <c r="B204" s="33" t="str">
        <f>IF(B203="","",IF(EOMONTH(B203,1)&lt;=EOMONTH(Front!$C$4,0),EOMONTH(B203,1),""))</f>
        <v/>
      </c>
      <c r="C204" s="14" t="e">
        <f>INDEX(MutualFunds!$C$6:$O$244,MATCH(FFWork!B204,MutualFunds!$B$6:$B$244,0),MATCH(Front!$C$2,MutualFunds!$C$4:$O$4,0))</f>
        <v>#N/A</v>
      </c>
      <c r="D204" s="14" t="e">
        <f>INDEX(FamaFrench!$C$6:$F$244,MATCH(FFWork!$B204,FamaFrench!$B$6:$B$244,0),MATCH(FamaFrench!C$5,FFWork!$D$10:$F$10,0))</f>
        <v>#N/A</v>
      </c>
      <c r="E204" s="14" t="e">
        <f>INDEX(FamaFrench!$C$6:$F$244,MATCH(FFWork!$B204,FamaFrench!$B$6:$B$244,0),MATCH(FamaFrench!D$5,FFWork!$D$10:$F$10,0))</f>
        <v>#N/A</v>
      </c>
      <c r="F204" s="14" t="e">
        <f>INDEX(FamaFrench!$C$6:$F$244,MATCH(FFWork!$B204,FamaFrench!$B$6:$B$244,0),MATCH(FamaFrench!E$5,FFWork!$D$10:$G$10,0))</f>
        <v>#N/A</v>
      </c>
      <c r="G204" s="14" t="e">
        <f>INDEX(FamaFrench!$C$6:$F$244,MATCH(FFWork!$B204,FamaFrench!$B$6:$B$244,0),MATCH(FamaFrench!F$5,FFWork!$D$10:$G$10,0))</f>
        <v>#N/A</v>
      </c>
    </row>
    <row r="205" spans="1:7" x14ac:dyDescent="0.2">
      <c r="A205">
        <v>195</v>
      </c>
      <c r="B205" s="33" t="str">
        <f>IF(B204="","",IF(EOMONTH(B204,1)&lt;=EOMONTH(Front!$C$4,0),EOMONTH(B204,1),""))</f>
        <v/>
      </c>
      <c r="C205" s="14" t="e">
        <f>INDEX(MutualFunds!$C$6:$O$244,MATCH(FFWork!B205,MutualFunds!$B$6:$B$244,0),MATCH(Front!$C$2,MutualFunds!$C$4:$O$4,0))</f>
        <v>#N/A</v>
      </c>
      <c r="D205" s="14" t="e">
        <f>INDEX(FamaFrench!$C$6:$F$244,MATCH(FFWork!$B205,FamaFrench!$B$6:$B$244,0),MATCH(FamaFrench!C$5,FFWork!$D$10:$F$10,0))</f>
        <v>#N/A</v>
      </c>
      <c r="E205" s="14" t="e">
        <f>INDEX(FamaFrench!$C$6:$F$244,MATCH(FFWork!$B205,FamaFrench!$B$6:$B$244,0),MATCH(FamaFrench!D$5,FFWork!$D$10:$F$10,0))</f>
        <v>#N/A</v>
      </c>
      <c r="F205" s="14" t="e">
        <f>INDEX(FamaFrench!$C$6:$F$244,MATCH(FFWork!$B205,FamaFrench!$B$6:$B$244,0),MATCH(FamaFrench!E$5,FFWork!$D$10:$G$10,0))</f>
        <v>#N/A</v>
      </c>
      <c r="G205" s="14" t="e">
        <f>INDEX(FamaFrench!$C$6:$F$244,MATCH(FFWork!$B205,FamaFrench!$B$6:$B$244,0),MATCH(FamaFrench!F$5,FFWork!$D$10:$G$10,0))</f>
        <v>#N/A</v>
      </c>
    </row>
    <row r="206" spans="1:7" x14ac:dyDescent="0.2">
      <c r="A206">
        <v>196</v>
      </c>
      <c r="B206" s="33" t="str">
        <f>IF(B205="","",IF(EOMONTH(B205,1)&lt;=EOMONTH(Front!$C$4,0),EOMONTH(B205,1),""))</f>
        <v/>
      </c>
      <c r="C206" s="14" t="e">
        <f>INDEX(MutualFunds!$C$6:$O$244,MATCH(FFWork!B206,MutualFunds!$B$6:$B$244,0),MATCH(Front!$C$2,MutualFunds!$C$4:$O$4,0))</f>
        <v>#N/A</v>
      </c>
      <c r="D206" s="14" t="e">
        <f>INDEX(FamaFrench!$C$6:$F$244,MATCH(FFWork!$B206,FamaFrench!$B$6:$B$244,0),MATCH(FamaFrench!C$5,FFWork!$D$10:$F$10,0))</f>
        <v>#N/A</v>
      </c>
      <c r="E206" s="14" t="e">
        <f>INDEX(FamaFrench!$C$6:$F$244,MATCH(FFWork!$B206,FamaFrench!$B$6:$B$244,0),MATCH(FamaFrench!D$5,FFWork!$D$10:$F$10,0))</f>
        <v>#N/A</v>
      </c>
      <c r="F206" s="14" t="e">
        <f>INDEX(FamaFrench!$C$6:$F$244,MATCH(FFWork!$B206,FamaFrench!$B$6:$B$244,0),MATCH(FamaFrench!E$5,FFWork!$D$10:$G$10,0))</f>
        <v>#N/A</v>
      </c>
      <c r="G206" s="14" t="e">
        <f>INDEX(FamaFrench!$C$6:$F$244,MATCH(FFWork!$B206,FamaFrench!$B$6:$B$244,0),MATCH(FamaFrench!F$5,FFWork!$D$10:$G$10,0))</f>
        <v>#N/A</v>
      </c>
    </row>
    <row r="207" spans="1:7" x14ac:dyDescent="0.2">
      <c r="A207">
        <v>197</v>
      </c>
      <c r="B207" s="33" t="str">
        <f>IF(B206="","",IF(EOMONTH(B206,1)&lt;=EOMONTH(Front!$C$4,0),EOMONTH(B206,1),""))</f>
        <v/>
      </c>
      <c r="C207" s="14" t="e">
        <f>INDEX(MutualFunds!$C$6:$O$244,MATCH(FFWork!B207,MutualFunds!$B$6:$B$244,0),MATCH(Front!$C$2,MutualFunds!$C$4:$O$4,0))</f>
        <v>#N/A</v>
      </c>
      <c r="D207" s="14" t="e">
        <f>INDEX(FamaFrench!$C$6:$F$244,MATCH(FFWork!$B207,FamaFrench!$B$6:$B$244,0),MATCH(FamaFrench!C$5,FFWork!$D$10:$F$10,0))</f>
        <v>#N/A</v>
      </c>
      <c r="E207" s="14" t="e">
        <f>INDEX(FamaFrench!$C$6:$F$244,MATCH(FFWork!$B207,FamaFrench!$B$6:$B$244,0),MATCH(FamaFrench!D$5,FFWork!$D$10:$F$10,0))</f>
        <v>#N/A</v>
      </c>
      <c r="F207" s="14" t="e">
        <f>INDEX(FamaFrench!$C$6:$F$244,MATCH(FFWork!$B207,FamaFrench!$B$6:$B$244,0),MATCH(FamaFrench!E$5,FFWork!$D$10:$G$10,0))</f>
        <v>#N/A</v>
      </c>
      <c r="G207" s="14" t="e">
        <f>INDEX(FamaFrench!$C$6:$F$244,MATCH(FFWork!$B207,FamaFrench!$B$6:$B$244,0),MATCH(FamaFrench!F$5,FFWork!$D$10:$G$10,0))</f>
        <v>#N/A</v>
      </c>
    </row>
    <row r="208" spans="1:7" x14ac:dyDescent="0.2">
      <c r="A208">
        <v>198</v>
      </c>
      <c r="B208" s="33" t="str">
        <f>IF(B207="","",IF(EOMONTH(B207,1)&lt;=EOMONTH(Front!$C$4,0),EOMONTH(B207,1),""))</f>
        <v/>
      </c>
      <c r="C208" s="14" t="e">
        <f>INDEX(MutualFunds!$C$6:$O$244,MATCH(FFWork!B208,MutualFunds!$B$6:$B$244,0),MATCH(Front!$C$2,MutualFunds!$C$4:$O$4,0))</f>
        <v>#N/A</v>
      </c>
      <c r="D208" s="14" t="e">
        <f>INDEX(FamaFrench!$C$6:$F$244,MATCH(FFWork!$B208,FamaFrench!$B$6:$B$244,0),MATCH(FamaFrench!C$5,FFWork!$D$10:$F$10,0))</f>
        <v>#N/A</v>
      </c>
      <c r="E208" s="14" t="e">
        <f>INDEX(FamaFrench!$C$6:$F$244,MATCH(FFWork!$B208,FamaFrench!$B$6:$B$244,0),MATCH(FamaFrench!D$5,FFWork!$D$10:$F$10,0))</f>
        <v>#N/A</v>
      </c>
      <c r="F208" s="14" t="e">
        <f>INDEX(FamaFrench!$C$6:$F$244,MATCH(FFWork!$B208,FamaFrench!$B$6:$B$244,0),MATCH(FamaFrench!E$5,FFWork!$D$10:$G$10,0))</f>
        <v>#N/A</v>
      </c>
      <c r="G208" s="14" t="e">
        <f>INDEX(FamaFrench!$C$6:$F$244,MATCH(FFWork!$B208,FamaFrench!$B$6:$B$244,0),MATCH(FamaFrench!F$5,FFWork!$D$10:$G$10,0))</f>
        <v>#N/A</v>
      </c>
    </row>
    <row r="209" spans="1:7" x14ac:dyDescent="0.2">
      <c r="A209">
        <v>199</v>
      </c>
      <c r="B209" s="33" t="str">
        <f>IF(B208="","",IF(EOMONTH(B208,1)&lt;=EOMONTH(Front!$C$4,0),EOMONTH(B208,1),""))</f>
        <v/>
      </c>
      <c r="C209" s="14" t="e">
        <f>INDEX(MutualFunds!$C$6:$O$244,MATCH(FFWork!B209,MutualFunds!$B$6:$B$244,0),MATCH(Front!$C$2,MutualFunds!$C$4:$O$4,0))</f>
        <v>#N/A</v>
      </c>
      <c r="D209" s="14" t="e">
        <f>INDEX(FamaFrench!$C$6:$F$244,MATCH(FFWork!$B209,FamaFrench!$B$6:$B$244,0),MATCH(FamaFrench!C$5,FFWork!$D$10:$F$10,0))</f>
        <v>#N/A</v>
      </c>
      <c r="E209" s="14" t="e">
        <f>INDEX(FamaFrench!$C$6:$F$244,MATCH(FFWork!$B209,FamaFrench!$B$6:$B$244,0),MATCH(FamaFrench!D$5,FFWork!$D$10:$F$10,0))</f>
        <v>#N/A</v>
      </c>
      <c r="F209" s="14" t="e">
        <f>INDEX(FamaFrench!$C$6:$F$244,MATCH(FFWork!$B209,FamaFrench!$B$6:$B$244,0),MATCH(FamaFrench!E$5,FFWork!$D$10:$G$10,0))</f>
        <v>#N/A</v>
      </c>
      <c r="G209" s="14" t="e">
        <f>INDEX(FamaFrench!$C$6:$F$244,MATCH(FFWork!$B209,FamaFrench!$B$6:$B$244,0),MATCH(FamaFrench!F$5,FFWork!$D$10:$G$10,0))</f>
        <v>#N/A</v>
      </c>
    </row>
    <row r="210" spans="1:7" x14ac:dyDescent="0.2">
      <c r="A210">
        <v>200</v>
      </c>
      <c r="B210" s="33" t="str">
        <f>IF(B209="","",IF(EOMONTH(B209,1)&lt;=EOMONTH(Front!$C$4,0),EOMONTH(B209,1),""))</f>
        <v/>
      </c>
      <c r="C210" s="14" t="e">
        <f>INDEX(MutualFunds!$C$6:$O$244,MATCH(FFWork!B210,MutualFunds!$B$6:$B$244,0),MATCH(Front!$C$2,MutualFunds!$C$4:$O$4,0))</f>
        <v>#N/A</v>
      </c>
      <c r="D210" s="14" t="e">
        <f>INDEX(FamaFrench!$C$6:$F$244,MATCH(FFWork!$B210,FamaFrench!$B$6:$B$244,0),MATCH(FamaFrench!C$5,FFWork!$D$10:$F$10,0))</f>
        <v>#N/A</v>
      </c>
      <c r="E210" s="14" t="e">
        <f>INDEX(FamaFrench!$C$6:$F$244,MATCH(FFWork!$B210,FamaFrench!$B$6:$B$244,0),MATCH(FamaFrench!D$5,FFWork!$D$10:$F$10,0))</f>
        <v>#N/A</v>
      </c>
      <c r="F210" s="14" t="e">
        <f>INDEX(FamaFrench!$C$6:$F$244,MATCH(FFWork!$B210,FamaFrench!$B$6:$B$244,0),MATCH(FamaFrench!E$5,FFWork!$D$10:$G$10,0))</f>
        <v>#N/A</v>
      </c>
      <c r="G210" s="14" t="e">
        <f>INDEX(FamaFrench!$C$6:$F$244,MATCH(FFWork!$B210,FamaFrench!$B$6:$B$244,0),MATCH(FamaFrench!F$5,FFWork!$D$10:$G$10,0))</f>
        <v>#N/A</v>
      </c>
    </row>
    <row r="211" spans="1:7" x14ac:dyDescent="0.2">
      <c r="A211">
        <v>201</v>
      </c>
      <c r="B211" s="33" t="str">
        <f>IF(B210="","",IF(EOMONTH(B210,1)&lt;=EOMONTH(Front!$C$4,0),EOMONTH(B210,1),""))</f>
        <v/>
      </c>
      <c r="C211" s="14" t="e">
        <f>INDEX(MutualFunds!$C$6:$O$244,MATCH(FFWork!B211,MutualFunds!$B$6:$B$244,0),MATCH(Front!$C$2,MutualFunds!$C$4:$O$4,0))</f>
        <v>#N/A</v>
      </c>
      <c r="D211" s="14" t="e">
        <f>INDEX(FamaFrench!$C$6:$F$244,MATCH(FFWork!$B211,FamaFrench!$B$6:$B$244,0),MATCH(FamaFrench!C$5,FFWork!$D$10:$F$10,0))</f>
        <v>#N/A</v>
      </c>
      <c r="E211" s="14" t="e">
        <f>INDEX(FamaFrench!$C$6:$F$244,MATCH(FFWork!$B211,FamaFrench!$B$6:$B$244,0),MATCH(FamaFrench!D$5,FFWork!$D$10:$F$10,0))</f>
        <v>#N/A</v>
      </c>
      <c r="F211" s="14" t="e">
        <f>INDEX(FamaFrench!$C$6:$F$244,MATCH(FFWork!$B211,FamaFrench!$B$6:$B$244,0),MATCH(FamaFrench!E$5,FFWork!$D$10:$G$10,0))</f>
        <v>#N/A</v>
      </c>
      <c r="G211" s="14" t="e">
        <f>INDEX(FamaFrench!$C$6:$F$244,MATCH(FFWork!$B211,FamaFrench!$B$6:$B$244,0),MATCH(FamaFrench!F$5,FFWork!$D$10:$G$10,0))</f>
        <v>#N/A</v>
      </c>
    </row>
    <row r="212" spans="1:7" x14ac:dyDescent="0.2">
      <c r="A212">
        <v>202</v>
      </c>
      <c r="B212" s="33" t="str">
        <f>IF(B211="","",IF(EOMONTH(B211,1)&lt;=EOMONTH(Front!$C$4,0),EOMONTH(B211,1),""))</f>
        <v/>
      </c>
      <c r="C212" s="14" t="e">
        <f>INDEX(MutualFunds!$C$6:$O$244,MATCH(FFWork!B212,MutualFunds!$B$6:$B$244,0),MATCH(Front!$C$2,MutualFunds!$C$4:$O$4,0))</f>
        <v>#N/A</v>
      </c>
      <c r="D212" s="14" t="e">
        <f>INDEX(FamaFrench!$C$6:$F$244,MATCH(FFWork!$B212,FamaFrench!$B$6:$B$244,0),MATCH(FamaFrench!C$5,FFWork!$D$10:$F$10,0))</f>
        <v>#N/A</v>
      </c>
      <c r="E212" s="14" t="e">
        <f>INDEX(FamaFrench!$C$6:$F$244,MATCH(FFWork!$B212,FamaFrench!$B$6:$B$244,0),MATCH(FamaFrench!D$5,FFWork!$D$10:$F$10,0))</f>
        <v>#N/A</v>
      </c>
      <c r="F212" s="14" t="e">
        <f>INDEX(FamaFrench!$C$6:$F$244,MATCH(FFWork!$B212,FamaFrench!$B$6:$B$244,0),MATCH(FamaFrench!E$5,FFWork!$D$10:$G$10,0))</f>
        <v>#N/A</v>
      </c>
      <c r="G212" s="14" t="e">
        <f>INDEX(FamaFrench!$C$6:$F$244,MATCH(FFWork!$B212,FamaFrench!$B$6:$B$244,0),MATCH(FamaFrench!F$5,FFWork!$D$10:$G$10,0))</f>
        <v>#N/A</v>
      </c>
    </row>
    <row r="213" spans="1:7" x14ac:dyDescent="0.2">
      <c r="A213">
        <v>203</v>
      </c>
      <c r="B213" s="33" t="str">
        <f>IF(B212="","",IF(EOMONTH(B212,1)&lt;=EOMONTH(Front!$C$4,0),EOMONTH(B212,1),""))</f>
        <v/>
      </c>
      <c r="C213" s="14" t="e">
        <f>INDEX(MutualFunds!$C$6:$O$244,MATCH(FFWork!B213,MutualFunds!$B$6:$B$244,0),MATCH(Front!$C$2,MutualFunds!$C$4:$O$4,0))</f>
        <v>#N/A</v>
      </c>
      <c r="D213" s="14" t="e">
        <f>INDEX(FamaFrench!$C$6:$F$244,MATCH(FFWork!$B213,FamaFrench!$B$6:$B$244,0),MATCH(FamaFrench!C$5,FFWork!$D$10:$F$10,0))</f>
        <v>#N/A</v>
      </c>
      <c r="E213" s="14" t="e">
        <f>INDEX(FamaFrench!$C$6:$F$244,MATCH(FFWork!$B213,FamaFrench!$B$6:$B$244,0),MATCH(FamaFrench!D$5,FFWork!$D$10:$F$10,0))</f>
        <v>#N/A</v>
      </c>
      <c r="F213" s="14" t="e">
        <f>INDEX(FamaFrench!$C$6:$F$244,MATCH(FFWork!$B213,FamaFrench!$B$6:$B$244,0),MATCH(FamaFrench!E$5,FFWork!$D$10:$G$10,0))</f>
        <v>#N/A</v>
      </c>
      <c r="G213" s="14" t="e">
        <f>INDEX(FamaFrench!$C$6:$F$244,MATCH(FFWork!$B213,FamaFrench!$B$6:$B$244,0),MATCH(FamaFrench!F$5,FFWork!$D$10:$G$10,0))</f>
        <v>#N/A</v>
      </c>
    </row>
    <row r="214" spans="1:7" x14ac:dyDescent="0.2">
      <c r="A214">
        <v>204</v>
      </c>
      <c r="B214" s="33" t="str">
        <f>IF(B213="","",IF(EOMONTH(B213,1)&lt;=EOMONTH(Front!$C$4,0),EOMONTH(B213,1),""))</f>
        <v/>
      </c>
      <c r="C214" s="14" t="e">
        <f>INDEX(MutualFunds!$C$6:$O$244,MATCH(FFWork!B214,MutualFunds!$B$6:$B$244,0),MATCH(Front!$C$2,MutualFunds!$C$4:$O$4,0))</f>
        <v>#N/A</v>
      </c>
      <c r="D214" s="14" t="e">
        <f>INDEX(FamaFrench!$C$6:$F$244,MATCH(FFWork!$B214,FamaFrench!$B$6:$B$244,0),MATCH(FamaFrench!C$5,FFWork!$D$10:$F$10,0))</f>
        <v>#N/A</v>
      </c>
      <c r="E214" s="14" t="e">
        <f>INDEX(FamaFrench!$C$6:$F$244,MATCH(FFWork!$B214,FamaFrench!$B$6:$B$244,0),MATCH(FamaFrench!D$5,FFWork!$D$10:$F$10,0))</f>
        <v>#N/A</v>
      </c>
      <c r="F214" s="14" t="e">
        <f>INDEX(FamaFrench!$C$6:$F$244,MATCH(FFWork!$B214,FamaFrench!$B$6:$B$244,0),MATCH(FamaFrench!E$5,FFWork!$D$10:$G$10,0))</f>
        <v>#N/A</v>
      </c>
      <c r="G214" s="14" t="e">
        <f>INDEX(FamaFrench!$C$6:$F$244,MATCH(FFWork!$B214,FamaFrench!$B$6:$B$244,0),MATCH(FamaFrench!F$5,FFWork!$D$10:$G$10,0))</f>
        <v>#N/A</v>
      </c>
    </row>
    <row r="215" spans="1:7" x14ac:dyDescent="0.2">
      <c r="A215">
        <v>205</v>
      </c>
      <c r="B215" s="33" t="str">
        <f>IF(B214="","",IF(EOMONTH(B214,1)&lt;=EOMONTH(Front!$C$4,0),EOMONTH(B214,1),""))</f>
        <v/>
      </c>
      <c r="C215" s="14" t="e">
        <f>INDEX(MutualFunds!$C$6:$O$244,MATCH(FFWork!B215,MutualFunds!$B$6:$B$244,0),MATCH(Front!$C$2,MutualFunds!$C$4:$O$4,0))</f>
        <v>#N/A</v>
      </c>
      <c r="D215" s="14" t="e">
        <f>INDEX(FamaFrench!$C$6:$F$244,MATCH(FFWork!$B215,FamaFrench!$B$6:$B$244,0),MATCH(FamaFrench!C$5,FFWork!$D$10:$F$10,0))</f>
        <v>#N/A</v>
      </c>
      <c r="E215" s="14" t="e">
        <f>INDEX(FamaFrench!$C$6:$F$244,MATCH(FFWork!$B215,FamaFrench!$B$6:$B$244,0),MATCH(FamaFrench!D$5,FFWork!$D$10:$F$10,0))</f>
        <v>#N/A</v>
      </c>
      <c r="F215" s="14" t="e">
        <f>INDEX(FamaFrench!$C$6:$F$244,MATCH(FFWork!$B215,FamaFrench!$B$6:$B$244,0),MATCH(FamaFrench!E$5,FFWork!$D$10:$G$10,0))</f>
        <v>#N/A</v>
      </c>
      <c r="G215" s="14" t="e">
        <f>INDEX(FamaFrench!$C$6:$F$244,MATCH(FFWork!$B215,FamaFrench!$B$6:$B$244,0),MATCH(FamaFrench!F$5,FFWork!$D$10:$G$10,0))</f>
        <v>#N/A</v>
      </c>
    </row>
    <row r="216" spans="1:7" x14ac:dyDescent="0.2">
      <c r="A216">
        <v>206</v>
      </c>
      <c r="B216" s="33" t="str">
        <f>IF(B215="","",IF(EOMONTH(B215,1)&lt;=EOMONTH(Front!$C$4,0),EOMONTH(B215,1),""))</f>
        <v/>
      </c>
      <c r="C216" s="14" t="e">
        <f>INDEX(MutualFunds!$C$6:$O$244,MATCH(FFWork!B216,MutualFunds!$B$6:$B$244,0),MATCH(Front!$C$2,MutualFunds!$C$4:$O$4,0))</f>
        <v>#N/A</v>
      </c>
      <c r="D216" s="14" t="e">
        <f>INDEX(FamaFrench!$C$6:$F$244,MATCH(FFWork!$B216,FamaFrench!$B$6:$B$244,0),MATCH(FamaFrench!C$5,FFWork!$D$10:$F$10,0))</f>
        <v>#N/A</v>
      </c>
      <c r="E216" s="14" t="e">
        <f>INDEX(FamaFrench!$C$6:$F$244,MATCH(FFWork!$B216,FamaFrench!$B$6:$B$244,0),MATCH(FamaFrench!D$5,FFWork!$D$10:$F$10,0))</f>
        <v>#N/A</v>
      </c>
      <c r="F216" s="14" t="e">
        <f>INDEX(FamaFrench!$C$6:$F$244,MATCH(FFWork!$B216,FamaFrench!$B$6:$B$244,0),MATCH(FamaFrench!E$5,FFWork!$D$10:$G$10,0))</f>
        <v>#N/A</v>
      </c>
      <c r="G216" s="14" t="e">
        <f>INDEX(FamaFrench!$C$6:$F$244,MATCH(FFWork!$B216,FamaFrench!$B$6:$B$244,0),MATCH(FamaFrench!F$5,FFWork!$D$10:$G$10,0))</f>
        <v>#N/A</v>
      </c>
    </row>
    <row r="217" spans="1:7" x14ac:dyDescent="0.2">
      <c r="A217">
        <v>207</v>
      </c>
      <c r="B217" s="33" t="str">
        <f>IF(B216="","",IF(EOMONTH(B216,1)&lt;=EOMONTH(Front!$C$4,0),EOMONTH(B216,1),""))</f>
        <v/>
      </c>
      <c r="C217" s="14" t="e">
        <f>INDEX(MutualFunds!$C$6:$O$244,MATCH(FFWork!B217,MutualFunds!$B$6:$B$244,0),MATCH(Front!$C$2,MutualFunds!$C$4:$O$4,0))</f>
        <v>#N/A</v>
      </c>
      <c r="D217" s="14" t="e">
        <f>INDEX(FamaFrench!$C$6:$F$244,MATCH(FFWork!$B217,FamaFrench!$B$6:$B$244,0),MATCH(FamaFrench!C$5,FFWork!$D$10:$F$10,0))</f>
        <v>#N/A</v>
      </c>
      <c r="E217" s="14" t="e">
        <f>INDEX(FamaFrench!$C$6:$F$244,MATCH(FFWork!$B217,FamaFrench!$B$6:$B$244,0),MATCH(FamaFrench!D$5,FFWork!$D$10:$F$10,0))</f>
        <v>#N/A</v>
      </c>
      <c r="F217" s="14" t="e">
        <f>INDEX(FamaFrench!$C$6:$F$244,MATCH(FFWork!$B217,FamaFrench!$B$6:$B$244,0),MATCH(FamaFrench!E$5,FFWork!$D$10:$G$10,0))</f>
        <v>#N/A</v>
      </c>
      <c r="G217" s="14" t="e">
        <f>INDEX(FamaFrench!$C$6:$F$244,MATCH(FFWork!$B217,FamaFrench!$B$6:$B$244,0),MATCH(FamaFrench!F$5,FFWork!$D$10:$G$10,0))</f>
        <v>#N/A</v>
      </c>
    </row>
    <row r="218" spans="1:7" x14ac:dyDescent="0.2">
      <c r="A218">
        <v>208</v>
      </c>
      <c r="B218" s="33" t="str">
        <f>IF(B217="","",IF(EOMONTH(B217,1)&lt;=EOMONTH(Front!$C$4,0),EOMONTH(B217,1),""))</f>
        <v/>
      </c>
      <c r="C218" s="14" t="e">
        <f>INDEX(MutualFunds!$C$6:$O$244,MATCH(FFWork!B218,MutualFunds!$B$6:$B$244,0),MATCH(Front!$C$2,MutualFunds!$C$4:$O$4,0))</f>
        <v>#N/A</v>
      </c>
      <c r="D218" s="14" t="e">
        <f>INDEX(FamaFrench!$C$6:$F$244,MATCH(FFWork!$B218,FamaFrench!$B$6:$B$244,0),MATCH(FamaFrench!C$5,FFWork!$D$10:$F$10,0))</f>
        <v>#N/A</v>
      </c>
      <c r="E218" s="14" t="e">
        <f>INDEX(FamaFrench!$C$6:$F$244,MATCH(FFWork!$B218,FamaFrench!$B$6:$B$244,0),MATCH(FamaFrench!D$5,FFWork!$D$10:$F$10,0))</f>
        <v>#N/A</v>
      </c>
      <c r="F218" s="14" t="e">
        <f>INDEX(FamaFrench!$C$6:$F$244,MATCH(FFWork!$B218,FamaFrench!$B$6:$B$244,0),MATCH(FamaFrench!E$5,FFWork!$D$10:$G$10,0))</f>
        <v>#N/A</v>
      </c>
      <c r="G218" s="14" t="e">
        <f>INDEX(FamaFrench!$C$6:$F$244,MATCH(FFWork!$B218,FamaFrench!$B$6:$B$244,0),MATCH(FamaFrench!F$5,FFWork!$D$10:$G$10,0))</f>
        <v>#N/A</v>
      </c>
    </row>
    <row r="219" spans="1:7" x14ac:dyDescent="0.2">
      <c r="A219">
        <v>209</v>
      </c>
      <c r="B219" s="33" t="str">
        <f>IF(B218="","",IF(EOMONTH(B218,1)&lt;=EOMONTH(Front!$C$4,0),EOMONTH(B218,1),""))</f>
        <v/>
      </c>
      <c r="C219" s="14" t="e">
        <f>INDEX(MutualFunds!$C$6:$O$244,MATCH(FFWork!B219,MutualFunds!$B$6:$B$244,0),MATCH(Front!$C$2,MutualFunds!$C$4:$O$4,0))</f>
        <v>#N/A</v>
      </c>
      <c r="D219" s="14" t="e">
        <f>INDEX(FamaFrench!$C$6:$F$244,MATCH(FFWork!$B219,FamaFrench!$B$6:$B$244,0),MATCH(FamaFrench!C$5,FFWork!$D$10:$F$10,0))</f>
        <v>#N/A</v>
      </c>
      <c r="E219" s="14" t="e">
        <f>INDEX(FamaFrench!$C$6:$F$244,MATCH(FFWork!$B219,FamaFrench!$B$6:$B$244,0),MATCH(FamaFrench!D$5,FFWork!$D$10:$F$10,0))</f>
        <v>#N/A</v>
      </c>
      <c r="F219" s="14" t="e">
        <f>INDEX(FamaFrench!$C$6:$F$244,MATCH(FFWork!$B219,FamaFrench!$B$6:$B$244,0),MATCH(FamaFrench!E$5,FFWork!$D$10:$G$10,0))</f>
        <v>#N/A</v>
      </c>
      <c r="G219" s="14" t="e">
        <f>INDEX(FamaFrench!$C$6:$F$244,MATCH(FFWork!$B219,FamaFrench!$B$6:$B$244,0),MATCH(FamaFrench!F$5,FFWork!$D$10:$G$10,0))</f>
        <v>#N/A</v>
      </c>
    </row>
    <row r="220" spans="1:7" x14ac:dyDescent="0.2">
      <c r="A220">
        <v>210</v>
      </c>
      <c r="B220" s="33" t="str">
        <f>IF(B219="","",IF(EOMONTH(B219,1)&lt;=EOMONTH(Front!$C$4,0),EOMONTH(B219,1),""))</f>
        <v/>
      </c>
      <c r="C220" s="14" t="e">
        <f>INDEX(MutualFunds!$C$6:$O$244,MATCH(FFWork!B220,MutualFunds!$B$6:$B$244,0),MATCH(Front!$C$2,MutualFunds!$C$4:$O$4,0))</f>
        <v>#N/A</v>
      </c>
      <c r="D220" s="14" t="e">
        <f>INDEX(FamaFrench!$C$6:$F$244,MATCH(FFWork!$B220,FamaFrench!$B$6:$B$244,0),MATCH(FamaFrench!C$5,FFWork!$D$10:$F$10,0))</f>
        <v>#N/A</v>
      </c>
      <c r="E220" s="14" t="e">
        <f>INDEX(FamaFrench!$C$6:$F$244,MATCH(FFWork!$B220,FamaFrench!$B$6:$B$244,0),MATCH(FamaFrench!D$5,FFWork!$D$10:$F$10,0))</f>
        <v>#N/A</v>
      </c>
      <c r="F220" s="14" t="e">
        <f>INDEX(FamaFrench!$C$6:$F$244,MATCH(FFWork!$B220,FamaFrench!$B$6:$B$244,0),MATCH(FamaFrench!E$5,FFWork!$D$10:$G$10,0))</f>
        <v>#N/A</v>
      </c>
      <c r="G220" s="14" t="e">
        <f>INDEX(FamaFrench!$C$6:$F$244,MATCH(FFWork!$B220,FamaFrench!$B$6:$B$244,0),MATCH(FamaFrench!F$5,FFWork!$D$10:$G$10,0))</f>
        <v>#N/A</v>
      </c>
    </row>
    <row r="221" spans="1:7" x14ac:dyDescent="0.2">
      <c r="A221">
        <v>211</v>
      </c>
      <c r="B221" s="33" t="str">
        <f>IF(B220="","",IF(EOMONTH(B220,1)&lt;=EOMONTH(Front!$C$4,0),EOMONTH(B220,1),""))</f>
        <v/>
      </c>
      <c r="C221" s="14" t="e">
        <f>INDEX(MutualFunds!$C$6:$O$244,MATCH(FFWork!B221,MutualFunds!$B$6:$B$244,0),MATCH(Front!$C$2,MutualFunds!$C$4:$O$4,0))</f>
        <v>#N/A</v>
      </c>
      <c r="D221" s="14" t="e">
        <f>INDEX(FamaFrench!$C$6:$F$244,MATCH(FFWork!$B221,FamaFrench!$B$6:$B$244,0),MATCH(FamaFrench!C$5,FFWork!$D$10:$F$10,0))</f>
        <v>#N/A</v>
      </c>
      <c r="E221" s="14" t="e">
        <f>INDEX(FamaFrench!$C$6:$F$244,MATCH(FFWork!$B221,FamaFrench!$B$6:$B$244,0),MATCH(FamaFrench!D$5,FFWork!$D$10:$F$10,0))</f>
        <v>#N/A</v>
      </c>
      <c r="F221" s="14" t="e">
        <f>INDEX(FamaFrench!$C$6:$F$244,MATCH(FFWork!$B221,FamaFrench!$B$6:$B$244,0),MATCH(FamaFrench!E$5,FFWork!$D$10:$G$10,0))</f>
        <v>#N/A</v>
      </c>
      <c r="G221" s="14" t="e">
        <f>INDEX(FamaFrench!$C$6:$F$244,MATCH(FFWork!$B221,FamaFrench!$B$6:$B$244,0),MATCH(FamaFrench!F$5,FFWork!$D$10:$G$10,0))</f>
        <v>#N/A</v>
      </c>
    </row>
    <row r="222" spans="1:7" x14ac:dyDescent="0.2">
      <c r="A222">
        <v>212</v>
      </c>
      <c r="B222" s="33" t="str">
        <f>IF(B221="","",IF(EOMONTH(B221,1)&lt;=EOMONTH(Front!$C$4,0),EOMONTH(B221,1),""))</f>
        <v/>
      </c>
      <c r="C222" s="14" t="e">
        <f>INDEX(MutualFunds!$C$6:$O$244,MATCH(FFWork!B222,MutualFunds!$B$6:$B$244,0),MATCH(Front!$C$2,MutualFunds!$C$4:$O$4,0))</f>
        <v>#N/A</v>
      </c>
      <c r="D222" s="14" t="e">
        <f>INDEX(FamaFrench!$C$6:$F$244,MATCH(FFWork!$B222,FamaFrench!$B$6:$B$244,0),MATCH(FamaFrench!C$5,FFWork!$D$10:$F$10,0))</f>
        <v>#N/A</v>
      </c>
      <c r="E222" s="14" t="e">
        <f>INDEX(FamaFrench!$C$6:$F$244,MATCH(FFWork!$B222,FamaFrench!$B$6:$B$244,0),MATCH(FamaFrench!D$5,FFWork!$D$10:$F$10,0))</f>
        <v>#N/A</v>
      </c>
      <c r="F222" s="14" t="e">
        <f>INDEX(FamaFrench!$C$6:$F$244,MATCH(FFWork!$B222,FamaFrench!$B$6:$B$244,0),MATCH(FamaFrench!E$5,FFWork!$D$10:$G$10,0))</f>
        <v>#N/A</v>
      </c>
      <c r="G222" s="14" t="e">
        <f>INDEX(FamaFrench!$C$6:$F$244,MATCH(FFWork!$B222,FamaFrench!$B$6:$B$244,0),MATCH(FamaFrench!F$5,FFWork!$D$10:$G$10,0))</f>
        <v>#N/A</v>
      </c>
    </row>
    <row r="223" spans="1:7" x14ac:dyDescent="0.2">
      <c r="A223">
        <v>213</v>
      </c>
      <c r="B223" s="33" t="str">
        <f>IF(B222="","",IF(EOMONTH(B222,1)&lt;=EOMONTH(Front!$C$4,0),EOMONTH(B222,1),""))</f>
        <v/>
      </c>
      <c r="C223" s="14" t="e">
        <f>INDEX(MutualFunds!$C$6:$O$244,MATCH(FFWork!B223,MutualFunds!$B$6:$B$244,0),MATCH(Front!$C$2,MutualFunds!$C$4:$O$4,0))</f>
        <v>#N/A</v>
      </c>
      <c r="D223" s="14" t="e">
        <f>INDEX(FamaFrench!$C$6:$F$244,MATCH(FFWork!$B223,FamaFrench!$B$6:$B$244,0),MATCH(FamaFrench!C$5,FFWork!$D$10:$F$10,0))</f>
        <v>#N/A</v>
      </c>
      <c r="E223" s="14" t="e">
        <f>INDEX(FamaFrench!$C$6:$F$244,MATCH(FFWork!$B223,FamaFrench!$B$6:$B$244,0),MATCH(FamaFrench!D$5,FFWork!$D$10:$F$10,0))</f>
        <v>#N/A</v>
      </c>
      <c r="F223" s="14" t="e">
        <f>INDEX(FamaFrench!$C$6:$F$244,MATCH(FFWork!$B223,FamaFrench!$B$6:$B$244,0),MATCH(FamaFrench!E$5,FFWork!$D$10:$G$10,0))</f>
        <v>#N/A</v>
      </c>
      <c r="G223" s="14" t="e">
        <f>INDEX(FamaFrench!$C$6:$F$244,MATCH(FFWork!$B223,FamaFrench!$B$6:$B$244,0),MATCH(FamaFrench!F$5,FFWork!$D$10:$G$10,0))</f>
        <v>#N/A</v>
      </c>
    </row>
    <row r="224" spans="1:7" x14ac:dyDescent="0.2">
      <c r="A224">
        <v>214</v>
      </c>
      <c r="B224" s="33" t="str">
        <f>IF(B223="","",IF(EOMONTH(B223,1)&lt;=EOMONTH(Front!$C$4,0),EOMONTH(B223,1),""))</f>
        <v/>
      </c>
      <c r="C224" s="14" t="e">
        <f>INDEX(MutualFunds!$C$6:$O$244,MATCH(FFWork!B224,MutualFunds!$B$6:$B$244,0),MATCH(Front!$C$2,MutualFunds!$C$4:$O$4,0))</f>
        <v>#N/A</v>
      </c>
      <c r="D224" s="14" t="e">
        <f>INDEX(FamaFrench!$C$6:$F$244,MATCH(FFWork!$B224,FamaFrench!$B$6:$B$244,0),MATCH(FamaFrench!C$5,FFWork!$D$10:$F$10,0))</f>
        <v>#N/A</v>
      </c>
      <c r="E224" s="14" t="e">
        <f>INDEX(FamaFrench!$C$6:$F$244,MATCH(FFWork!$B224,FamaFrench!$B$6:$B$244,0),MATCH(FamaFrench!D$5,FFWork!$D$10:$F$10,0))</f>
        <v>#N/A</v>
      </c>
      <c r="F224" s="14" t="e">
        <f>INDEX(FamaFrench!$C$6:$F$244,MATCH(FFWork!$B224,FamaFrench!$B$6:$B$244,0),MATCH(FamaFrench!E$5,FFWork!$D$10:$G$10,0))</f>
        <v>#N/A</v>
      </c>
      <c r="G224" s="14" t="e">
        <f>INDEX(FamaFrench!$C$6:$F$244,MATCH(FFWork!$B224,FamaFrench!$B$6:$B$244,0),MATCH(FamaFrench!F$5,FFWork!$D$10:$G$10,0))</f>
        <v>#N/A</v>
      </c>
    </row>
    <row r="225" spans="1:7" x14ac:dyDescent="0.2">
      <c r="A225">
        <v>215</v>
      </c>
      <c r="B225" s="33" t="str">
        <f>IF(B224="","",IF(EOMONTH(B224,1)&lt;=EOMONTH(Front!$C$4,0),EOMONTH(B224,1),""))</f>
        <v/>
      </c>
      <c r="C225" s="14" t="e">
        <f>INDEX(MutualFunds!$C$6:$O$244,MATCH(FFWork!B225,MutualFunds!$B$6:$B$244,0),MATCH(Front!$C$2,MutualFunds!$C$4:$O$4,0))</f>
        <v>#N/A</v>
      </c>
      <c r="D225" s="14" t="e">
        <f>INDEX(FamaFrench!$C$6:$F$244,MATCH(FFWork!$B225,FamaFrench!$B$6:$B$244,0),MATCH(FamaFrench!C$5,FFWork!$D$10:$F$10,0))</f>
        <v>#N/A</v>
      </c>
      <c r="E225" s="14" t="e">
        <f>INDEX(FamaFrench!$C$6:$F$244,MATCH(FFWork!$B225,FamaFrench!$B$6:$B$244,0),MATCH(FamaFrench!D$5,FFWork!$D$10:$F$10,0))</f>
        <v>#N/A</v>
      </c>
      <c r="F225" s="14" t="e">
        <f>INDEX(FamaFrench!$C$6:$F$244,MATCH(FFWork!$B225,FamaFrench!$B$6:$B$244,0),MATCH(FamaFrench!E$5,FFWork!$D$10:$G$10,0))</f>
        <v>#N/A</v>
      </c>
      <c r="G225" s="14" t="e">
        <f>INDEX(FamaFrench!$C$6:$F$244,MATCH(FFWork!$B225,FamaFrench!$B$6:$B$244,0),MATCH(FamaFrench!F$5,FFWork!$D$10:$G$10,0))</f>
        <v>#N/A</v>
      </c>
    </row>
    <row r="226" spans="1:7" x14ac:dyDescent="0.2">
      <c r="A226">
        <v>216</v>
      </c>
      <c r="B226" s="33" t="str">
        <f>IF(B225="","",IF(EOMONTH(B225,1)&lt;=EOMONTH(Front!$C$4,0),EOMONTH(B225,1),""))</f>
        <v/>
      </c>
      <c r="C226" s="14" t="e">
        <f>INDEX(MutualFunds!$C$6:$O$244,MATCH(FFWork!B226,MutualFunds!$B$6:$B$244,0),MATCH(Front!$C$2,MutualFunds!$C$4:$O$4,0))</f>
        <v>#N/A</v>
      </c>
      <c r="D226" s="14" t="e">
        <f>INDEX(FamaFrench!$C$6:$F$244,MATCH(FFWork!$B226,FamaFrench!$B$6:$B$244,0),MATCH(FamaFrench!C$5,FFWork!$D$10:$F$10,0))</f>
        <v>#N/A</v>
      </c>
      <c r="E226" s="14" t="e">
        <f>INDEX(FamaFrench!$C$6:$F$244,MATCH(FFWork!$B226,FamaFrench!$B$6:$B$244,0),MATCH(FamaFrench!D$5,FFWork!$D$10:$F$10,0))</f>
        <v>#N/A</v>
      </c>
      <c r="F226" s="14" t="e">
        <f>INDEX(FamaFrench!$C$6:$F$244,MATCH(FFWork!$B226,FamaFrench!$B$6:$B$244,0),MATCH(FamaFrench!E$5,FFWork!$D$10:$G$10,0))</f>
        <v>#N/A</v>
      </c>
      <c r="G226" s="14" t="e">
        <f>INDEX(FamaFrench!$C$6:$F$244,MATCH(FFWork!$B226,FamaFrench!$B$6:$B$244,0),MATCH(FamaFrench!F$5,FFWork!$D$10:$G$10,0))</f>
        <v>#N/A</v>
      </c>
    </row>
    <row r="227" spans="1:7" x14ac:dyDescent="0.2">
      <c r="A227">
        <v>217</v>
      </c>
      <c r="B227" s="33" t="str">
        <f>IF(B226="","",IF(EOMONTH(B226,1)&lt;=EOMONTH(Front!$C$4,0),EOMONTH(B226,1),""))</f>
        <v/>
      </c>
      <c r="C227" s="14" t="e">
        <f>INDEX(MutualFunds!$C$6:$O$244,MATCH(FFWork!B227,MutualFunds!$B$6:$B$244,0),MATCH(Front!$C$2,MutualFunds!$C$4:$O$4,0))</f>
        <v>#N/A</v>
      </c>
      <c r="D227" s="14" t="e">
        <f>INDEX(FamaFrench!$C$6:$F$244,MATCH(FFWork!$B227,FamaFrench!$B$6:$B$244,0),MATCH(FamaFrench!C$5,FFWork!$D$10:$F$10,0))</f>
        <v>#N/A</v>
      </c>
      <c r="E227" s="14" t="e">
        <f>INDEX(FamaFrench!$C$6:$F$244,MATCH(FFWork!$B227,FamaFrench!$B$6:$B$244,0),MATCH(FamaFrench!D$5,FFWork!$D$10:$F$10,0))</f>
        <v>#N/A</v>
      </c>
      <c r="F227" s="14" t="e">
        <f>INDEX(FamaFrench!$C$6:$F$244,MATCH(FFWork!$B227,FamaFrench!$B$6:$B$244,0),MATCH(FamaFrench!E$5,FFWork!$D$10:$G$10,0))</f>
        <v>#N/A</v>
      </c>
      <c r="G227" s="14" t="e">
        <f>INDEX(FamaFrench!$C$6:$F$244,MATCH(FFWork!$B227,FamaFrench!$B$6:$B$244,0),MATCH(FamaFrench!F$5,FFWork!$D$10:$G$10,0))</f>
        <v>#N/A</v>
      </c>
    </row>
    <row r="228" spans="1:7" x14ac:dyDescent="0.2">
      <c r="A228">
        <v>218</v>
      </c>
      <c r="B228" s="33" t="str">
        <f>IF(B227="","",IF(EOMONTH(B227,1)&lt;=EOMONTH(Front!$C$4,0),EOMONTH(B227,1),""))</f>
        <v/>
      </c>
      <c r="C228" s="14" t="e">
        <f>INDEX(MutualFunds!$C$6:$O$244,MATCH(FFWork!B228,MutualFunds!$B$6:$B$244,0),MATCH(Front!$C$2,MutualFunds!$C$4:$O$4,0))</f>
        <v>#N/A</v>
      </c>
      <c r="D228" s="14" t="e">
        <f>INDEX(FamaFrench!$C$6:$F$244,MATCH(FFWork!$B228,FamaFrench!$B$6:$B$244,0),MATCH(FamaFrench!C$5,FFWork!$D$10:$F$10,0))</f>
        <v>#N/A</v>
      </c>
      <c r="E228" s="14" t="e">
        <f>INDEX(FamaFrench!$C$6:$F$244,MATCH(FFWork!$B228,FamaFrench!$B$6:$B$244,0),MATCH(FamaFrench!D$5,FFWork!$D$10:$F$10,0))</f>
        <v>#N/A</v>
      </c>
      <c r="F228" s="14" t="e">
        <f>INDEX(FamaFrench!$C$6:$F$244,MATCH(FFWork!$B228,FamaFrench!$B$6:$B$244,0),MATCH(FamaFrench!E$5,FFWork!$D$10:$G$10,0))</f>
        <v>#N/A</v>
      </c>
      <c r="G228" s="14" t="e">
        <f>INDEX(FamaFrench!$C$6:$F$244,MATCH(FFWork!$B228,FamaFrench!$B$6:$B$244,0),MATCH(FamaFrench!F$5,FFWork!$D$10:$G$10,0))</f>
        <v>#N/A</v>
      </c>
    </row>
    <row r="229" spans="1:7" x14ac:dyDescent="0.2">
      <c r="A229">
        <v>219</v>
      </c>
      <c r="B229" s="33" t="str">
        <f>IF(B228="","",IF(EOMONTH(B228,1)&lt;=EOMONTH(Front!$C$4,0),EOMONTH(B228,1),""))</f>
        <v/>
      </c>
      <c r="C229" s="14" t="e">
        <f>INDEX(MutualFunds!$C$6:$O$244,MATCH(FFWork!B229,MutualFunds!$B$6:$B$244,0),MATCH(Front!$C$2,MutualFunds!$C$4:$O$4,0))</f>
        <v>#N/A</v>
      </c>
      <c r="D229" s="14" t="e">
        <f>INDEX(FamaFrench!$C$6:$F$244,MATCH(FFWork!$B229,FamaFrench!$B$6:$B$244,0),MATCH(FamaFrench!C$5,FFWork!$D$10:$F$10,0))</f>
        <v>#N/A</v>
      </c>
      <c r="E229" s="14" t="e">
        <f>INDEX(FamaFrench!$C$6:$F$244,MATCH(FFWork!$B229,FamaFrench!$B$6:$B$244,0),MATCH(FamaFrench!D$5,FFWork!$D$10:$F$10,0))</f>
        <v>#N/A</v>
      </c>
      <c r="F229" s="14" t="e">
        <f>INDEX(FamaFrench!$C$6:$F$244,MATCH(FFWork!$B229,FamaFrench!$B$6:$B$244,0),MATCH(FamaFrench!E$5,FFWork!$D$10:$G$10,0))</f>
        <v>#N/A</v>
      </c>
      <c r="G229" s="14" t="e">
        <f>INDEX(FamaFrench!$C$6:$F$244,MATCH(FFWork!$B229,FamaFrench!$B$6:$B$244,0),MATCH(FamaFrench!F$5,FFWork!$D$10:$G$10,0))</f>
        <v>#N/A</v>
      </c>
    </row>
    <row r="230" spans="1:7" x14ac:dyDescent="0.2">
      <c r="A230">
        <v>220</v>
      </c>
      <c r="B230" s="33" t="str">
        <f>IF(B229="","",IF(EOMONTH(B229,1)&lt;=EOMONTH(Front!$C$4,0),EOMONTH(B229,1),""))</f>
        <v/>
      </c>
      <c r="C230" s="14" t="e">
        <f>INDEX(MutualFunds!$C$6:$O$244,MATCH(FFWork!B230,MutualFunds!$B$6:$B$244,0),MATCH(Front!$C$2,MutualFunds!$C$4:$O$4,0))</f>
        <v>#N/A</v>
      </c>
      <c r="D230" s="14" t="e">
        <f>INDEX(FamaFrench!$C$6:$F$244,MATCH(FFWork!$B230,FamaFrench!$B$6:$B$244,0),MATCH(FamaFrench!C$5,FFWork!$D$10:$F$10,0))</f>
        <v>#N/A</v>
      </c>
      <c r="E230" s="14" t="e">
        <f>INDEX(FamaFrench!$C$6:$F$244,MATCH(FFWork!$B230,FamaFrench!$B$6:$B$244,0),MATCH(FamaFrench!D$5,FFWork!$D$10:$F$10,0))</f>
        <v>#N/A</v>
      </c>
      <c r="F230" s="14" t="e">
        <f>INDEX(FamaFrench!$C$6:$F$244,MATCH(FFWork!$B230,FamaFrench!$B$6:$B$244,0),MATCH(FamaFrench!E$5,FFWork!$D$10:$G$10,0))</f>
        <v>#N/A</v>
      </c>
      <c r="G230" s="14" t="e">
        <f>INDEX(FamaFrench!$C$6:$F$244,MATCH(FFWork!$B230,FamaFrench!$B$6:$B$244,0),MATCH(FamaFrench!F$5,FFWork!$D$10:$G$10,0))</f>
        <v>#N/A</v>
      </c>
    </row>
    <row r="231" spans="1:7" x14ac:dyDescent="0.2">
      <c r="A231">
        <v>221</v>
      </c>
      <c r="B231" s="33" t="str">
        <f>IF(B230="","",IF(EOMONTH(B230,1)&lt;=EOMONTH(Front!$C$4,0),EOMONTH(B230,1),""))</f>
        <v/>
      </c>
      <c r="C231" s="14" t="e">
        <f>INDEX(MutualFunds!$C$6:$O$244,MATCH(FFWork!B231,MutualFunds!$B$6:$B$244,0),MATCH(Front!$C$2,MutualFunds!$C$4:$O$4,0))</f>
        <v>#N/A</v>
      </c>
      <c r="D231" s="14" t="e">
        <f>INDEX(FamaFrench!$C$6:$F$244,MATCH(FFWork!$B231,FamaFrench!$B$6:$B$244,0),MATCH(FamaFrench!C$5,FFWork!$D$10:$F$10,0))</f>
        <v>#N/A</v>
      </c>
      <c r="E231" s="14" t="e">
        <f>INDEX(FamaFrench!$C$6:$F$244,MATCH(FFWork!$B231,FamaFrench!$B$6:$B$244,0),MATCH(FamaFrench!D$5,FFWork!$D$10:$F$10,0))</f>
        <v>#N/A</v>
      </c>
      <c r="F231" s="14" t="e">
        <f>INDEX(FamaFrench!$C$6:$F$244,MATCH(FFWork!$B231,FamaFrench!$B$6:$B$244,0),MATCH(FamaFrench!E$5,FFWork!$D$10:$G$10,0))</f>
        <v>#N/A</v>
      </c>
      <c r="G231" s="14" t="e">
        <f>INDEX(FamaFrench!$C$6:$F$244,MATCH(FFWork!$B231,FamaFrench!$B$6:$B$244,0),MATCH(FamaFrench!F$5,FFWork!$D$10:$G$10,0))</f>
        <v>#N/A</v>
      </c>
    </row>
    <row r="232" spans="1:7" x14ac:dyDescent="0.2">
      <c r="A232">
        <v>222</v>
      </c>
      <c r="B232" s="33" t="str">
        <f>IF(B231="","",IF(EOMONTH(B231,1)&lt;=EOMONTH(Front!$C$4,0),EOMONTH(B231,1),""))</f>
        <v/>
      </c>
      <c r="C232" s="14" t="e">
        <f>INDEX(MutualFunds!$C$6:$O$244,MATCH(FFWork!B232,MutualFunds!$B$6:$B$244,0),MATCH(Front!$C$2,MutualFunds!$C$4:$O$4,0))</f>
        <v>#N/A</v>
      </c>
      <c r="D232" s="14" t="e">
        <f>INDEX(FamaFrench!$C$6:$F$244,MATCH(FFWork!$B232,FamaFrench!$B$6:$B$244,0),MATCH(FamaFrench!C$5,FFWork!$D$10:$F$10,0))</f>
        <v>#N/A</v>
      </c>
      <c r="E232" s="14" t="e">
        <f>INDEX(FamaFrench!$C$6:$F$244,MATCH(FFWork!$B232,FamaFrench!$B$6:$B$244,0),MATCH(FamaFrench!D$5,FFWork!$D$10:$F$10,0))</f>
        <v>#N/A</v>
      </c>
      <c r="F232" s="14" t="e">
        <f>INDEX(FamaFrench!$C$6:$F$244,MATCH(FFWork!$B232,FamaFrench!$B$6:$B$244,0),MATCH(FamaFrench!E$5,FFWork!$D$10:$G$10,0))</f>
        <v>#N/A</v>
      </c>
      <c r="G232" s="14" t="e">
        <f>INDEX(FamaFrench!$C$6:$F$244,MATCH(FFWork!$B232,FamaFrench!$B$6:$B$244,0),MATCH(FamaFrench!F$5,FFWork!$D$10:$G$10,0))</f>
        <v>#N/A</v>
      </c>
    </row>
    <row r="233" spans="1:7" x14ac:dyDescent="0.2">
      <c r="A233">
        <v>223</v>
      </c>
      <c r="B233" s="33" t="str">
        <f>IF(B232="","",IF(EOMONTH(B232,1)&lt;=EOMONTH(Front!$C$4,0),EOMONTH(B232,1),""))</f>
        <v/>
      </c>
      <c r="C233" s="14" t="e">
        <f>INDEX(MutualFunds!$C$6:$O$244,MATCH(FFWork!B233,MutualFunds!$B$6:$B$244,0),MATCH(Front!$C$2,MutualFunds!$C$4:$O$4,0))</f>
        <v>#N/A</v>
      </c>
      <c r="D233" s="14" t="e">
        <f>INDEX(FamaFrench!$C$6:$F$244,MATCH(FFWork!$B233,FamaFrench!$B$6:$B$244,0),MATCH(FamaFrench!C$5,FFWork!$D$10:$F$10,0))</f>
        <v>#N/A</v>
      </c>
      <c r="E233" s="14" t="e">
        <f>INDEX(FamaFrench!$C$6:$F$244,MATCH(FFWork!$B233,FamaFrench!$B$6:$B$244,0),MATCH(FamaFrench!D$5,FFWork!$D$10:$F$10,0))</f>
        <v>#N/A</v>
      </c>
      <c r="F233" s="14" t="e">
        <f>INDEX(FamaFrench!$C$6:$F$244,MATCH(FFWork!$B233,FamaFrench!$B$6:$B$244,0),MATCH(FamaFrench!E$5,FFWork!$D$10:$G$10,0))</f>
        <v>#N/A</v>
      </c>
      <c r="G233" s="14" t="e">
        <f>INDEX(FamaFrench!$C$6:$F$244,MATCH(FFWork!$B233,FamaFrench!$B$6:$B$244,0),MATCH(FamaFrench!F$5,FFWork!$D$10:$G$10,0))</f>
        <v>#N/A</v>
      </c>
    </row>
    <row r="234" spans="1:7" x14ac:dyDescent="0.2">
      <c r="A234">
        <v>224</v>
      </c>
      <c r="B234" s="33" t="str">
        <f>IF(B233="","",IF(EOMONTH(B233,1)&lt;=EOMONTH(Front!$C$4,0),EOMONTH(B233,1),""))</f>
        <v/>
      </c>
      <c r="C234" s="14" t="e">
        <f>INDEX(MutualFunds!$C$6:$O$244,MATCH(FFWork!B234,MutualFunds!$B$6:$B$244,0),MATCH(Front!$C$2,MutualFunds!$C$4:$O$4,0))</f>
        <v>#N/A</v>
      </c>
      <c r="D234" s="14" t="e">
        <f>INDEX(FamaFrench!$C$6:$F$244,MATCH(FFWork!$B234,FamaFrench!$B$6:$B$244,0),MATCH(FamaFrench!C$5,FFWork!$D$10:$F$10,0))</f>
        <v>#N/A</v>
      </c>
      <c r="E234" s="14" t="e">
        <f>INDEX(FamaFrench!$C$6:$F$244,MATCH(FFWork!$B234,FamaFrench!$B$6:$B$244,0),MATCH(FamaFrench!D$5,FFWork!$D$10:$F$10,0))</f>
        <v>#N/A</v>
      </c>
      <c r="F234" s="14" t="e">
        <f>INDEX(FamaFrench!$C$6:$F$244,MATCH(FFWork!$B234,FamaFrench!$B$6:$B$244,0),MATCH(FamaFrench!E$5,FFWork!$D$10:$G$10,0))</f>
        <v>#N/A</v>
      </c>
      <c r="G234" s="14" t="e">
        <f>INDEX(FamaFrench!$C$6:$F$244,MATCH(FFWork!$B234,FamaFrench!$B$6:$B$244,0),MATCH(FamaFrench!F$5,FFWork!$D$10:$G$10,0))</f>
        <v>#N/A</v>
      </c>
    </row>
    <row r="235" spans="1:7" x14ac:dyDescent="0.2">
      <c r="A235">
        <v>225</v>
      </c>
      <c r="B235" s="33" t="str">
        <f>IF(B234="","",IF(EOMONTH(B234,1)&lt;=EOMONTH(Front!$C$4,0),EOMONTH(B234,1),""))</f>
        <v/>
      </c>
      <c r="C235" s="14" t="e">
        <f>INDEX(MutualFunds!$C$6:$O$244,MATCH(FFWork!B235,MutualFunds!$B$6:$B$244,0),MATCH(Front!$C$2,MutualFunds!$C$4:$O$4,0))</f>
        <v>#N/A</v>
      </c>
      <c r="D235" s="14" t="e">
        <f>INDEX(FamaFrench!$C$6:$F$244,MATCH(FFWork!$B235,FamaFrench!$B$6:$B$244,0),MATCH(FamaFrench!C$5,FFWork!$D$10:$F$10,0))</f>
        <v>#N/A</v>
      </c>
      <c r="E235" s="14" t="e">
        <f>INDEX(FamaFrench!$C$6:$F$244,MATCH(FFWork!$B235,FamaFrench!$B$6:$B$244,0),MATCH(FamaFrench!D$5,FFWork!$D$10:$F$10,0))</f>
        <v>#N/A</v>
      </c>
      <c r="F235" s="14" t="e">
        <f>INDEX(FamaFrench!$C$6:$F$244,MATCH(FFWork!$B235,FamaFrench!$B$6:$B$244,0),MATCH(FamaFrench!E$5,FFWork!$D$10:$G$10,0))</f>
        <v>#N/A</v>
      </c>
      <c r="G235" s="14" t="e">
        <f>INDEX(FamaFrench!$C$6:$F$244,MATCH(FFWork!$B235,FamaFrench!$B$6:$B$244,0),MATCH(FamaFrench!F$5,FFWork!$D$10:$G$10,0))</f>
        <v>#N/A</v>
      </c>
    </row>
    <row r="236" spans="1:7" x14ac:dyDescent="0.2">
      <c r="A236">
        <v>226</v>
      </c>
      <c r="B236" s="33" t="str">
        <f>IF(B235="","",IF(EOMONTH(B235,1)&lt;=EOMONTH(Front!$C$4,0),EOMONTH(B235,1),""))</f>
        <v/>
      </c>
      <c r="C236" s="14" t="e">
        <f>INDEX(MutualFunds!$C$6:$O$244,MATCH(FFWork!B236,MutualFunds!$B$6:$B$244,0),MATCH(Front!$C$2,MutualFunds!$C$4:$O$4,0))</f>
        <v>#N/A</v>
      </c>
      <c r="D236" s="14" t="e">
        <f>INDEX(FamaFrench!$C$6:$F$244,MATCH(FFWork!$B236,FamaFrench!$B$6:$B$244,0),MATCH(FamaFrench!C$5,FFWork!$D$10:$F$10,0))</f>
        <v>#N/A</v>
      </c>
      <c r="E236" s="14" t="e">
        <f>INDEX(FamaFrench!$C$6:$F$244,MATCH(FFWork!$B236,FamaFrench!$B$6:$B$244,0),MATCH(FamaFrench!D$5,FFWork!$D$10:$F$10,0))</f>
        <v>#N/A</v>
      </c>
      <c r="F236" s="14" t="e">
        <f>INDEX(FamaFrench!$C$6:$F$244,MATCH(FFWork!$B236,FamaFrench!$B$6:$B$244,0),MATCH(FamaFrench!E$5,FFWork!$D$10:$G$10,0))</f>
        <v>#N/A</v>
      </c>
      <c r="G236" s="14" t="e">
        <f>INDEX(FamaFrench!$C$6:$F$244,MATCH(FFWork!$B236,FamaFrench!$B$6:$B$244,0),MATCH(FamaFrench!F$5,FFWork!$D$10:$G$10,0))</f>
        <v>#N/A</v>
      </c>
    </row>
    <row r="237" spans="1:7" x14ac:dyDescent="0.2">
      <c r="A237">
        <v>227</v>
      </c>
      <c r="B237" s="33" t="str">
        <f>IF(B236="","",IF(EOMONTH(B236,1)&lt;=EOMONTH(Front!$C$4,0),EOMONTH(B236,1),""))</f>
        <v/>
      </c>
      <c r="C237" s="14" t="e">
        <f>INDEX(MutualFunds!$C$6:$O$244,MATCH(FFWork!B237,MutualFunds!$B$6:$B$244,0),MATCH(Front!$C$2,MutualFunds!$C$4:$O$4,0))</f>
        <v>#N/A</v>
      </c>
      <c r="D237" s="14" t="e">
        <f>INDEX(FamaFrench!$C$6:$F$244,MATCH(FFWork!$B237,FamaFrench!$B$6:$B$244,0),MATCH(FamaFrench!C$5,FFWork!$D$10:$F$10,0))</f>
        <v>#N/A</v>
      </c>
      <c r="E237" s="14" t="e">
        <f>INDEX(FamaFrench!$C$6:$F$244,MATCH(FFWork!$B237,FamaFrench!$B$6:$B$244,0),MATCH(FamaFrench!D$5,FFWork!$D$10:$F$10,0))</f>
        <v>#N/A</v>
      </c>
      <c r="F237" s="14" t="e">
        <f>INDEX(FamaFrench!$C$6:$F$244,MATCH(FFWork!$B237,FamaFrench!$B$6:$B$244,0),MATCH(FamaFrench!E$5,FFWork!$D$10:$G$10,0))</f>
        <v>#N/A</v>
      </c>
      <c r="G237" s="14" t="e">
        <f>INDEX(FamaFrench!$C$6:$F$244,MATCH(FFWork!$B237,FamaFrench!$B$6:$B$244,0),MATCH(FamaFrench!F$5,FFWork!$D$10:$G$10,0))</f>
        <v>#N/A</v>
      </c>
    </row>
    <row r="238" spans="1:7" x14ac:dyDescent="0.2">
      <c r="A238">
        <v>228</v>
      </c>
      <c r="B238" s="33" t="str">
        <f>IF(B237="","",IF(EOMONTH(B237,1)&lt;=EOMONTH(Front!$C$4,0),EOMONTH(B237,1),""))</f>
        <v/>
      </c>
      <c r="C238" s="14" t="e">
        <f>INDEX(MutualFunds!$C$6:$O$244,MATCH(FFWork!B238,MutualFunds!$B$6:$B$244,0),MATCH(Front!$C$2,MutualFunds!$C$4:$O$4,0))</f>
        <v>#N/A</v>
      </c>
      <c r="D238" s="14" t="e">
        <f>INDEX(FamaFrench!$C$6:$F$244,MATCH(FFWork!$B238,FamaFrench!$B$6:$B$244,0),MATCH(FamaFrench!C$5,FFWork!$D$10:$F$10,0))</f>
        <v>#N/A</v>
      </c>
      <c r="E238" s="14" t="e">
        <f>INDEX(FamaFrench!$C$6:$F$244,MATCH(FFWork!$B238,FamaFrench!$B$6:$B$244,0),MATCH(FamaFrench!D$5,FFWork!$D$10:$F$10,0))</f>
        <v>#N/A</v>
      </c>
      <c r="F238" s="14" t="e">
        <f>INDEX(FamaFrench!$C$6:$F$244,MATCH(FFWork!$B238,FamaFrench!$B$6:$B$244,0),MATCH(FamaFrench!E$5,FFWork!$D$10:$G$10,0))</f>
        <v>#N/A</v>
      </c>
      <c r="G238" s="14" t="e">
        <f>INDEX(FamaFrench!$C$6:$F$244,MATCH(FFWork!$B238,FamaFrench!$B$6:$B$244,0),MATCH(FamaFrench!F$5,FFWork!$D$10:$G$10,0))</f>
        <v>#N/A</v>
      </c>
    </row>
    <row r="239" spans="1:7" x14ac:dyDescent="0.2">
      <c r="A239">
        <v>229</v>
      </c>
      <c r="B239" s="33" t="str">
        <f>IF(B238="","",IF(EOMONTH(B238,1)&lt;=EOMONTH(Front!$C$4,0),EOMONTH(B238,1),""))</f>
        <v/>
      </c>
      <c r="C239" s="14" t="e">
        <f>INDEX(MutualFunds!$C$6:$O$244,MATCH(FFWork!B239,MutualFunds!$B$6:$B$244,0),MATCH(Front!$C$2,MutualFunds!$C$4:$O$4,0))</f>
        <v>#N/A</v>
      </c>
      <c r="D239" s="14" t="e">
        <f>INDEX(FamaFrench!$C$6:$F$244,MATCH(FFWork!$B239,FamaFrench!$B$6:$B$244,0),MATCH(FamaFrench!C$5,FFWork!$D$10:$F$10,0))</f>
        <v>#N/A</v>
      </c>
      <c r="E239" s="14" t="e">
        <f>INDEX(FamaFrench!$C$6:$F$244,MATCH(FFWork!$B239,FamaFrench!$B$6:$B$244,0),MATCH(FamaFrench!D$5,FFWork!$D$10:$F$10,0))</f>
        <v>#N/A</v>
      </c>
      <c r="F239" s="14" t="e">
        <f>INDEX(FamaFrench!$C$6:$F$244,MATCH(FFWork!$B239,FamaFrench!$B$6:$B$244,0),MATCH(FamaFrench!E$5,FFWork!$D$10:$G$10,0))</f>
        <v>#N/A</v>
      </c>
      <c r="G239" s="14" t="e">
        <f>INDEX(FamaFrench!$C$6:$F$244,MATCH(FFWork!$B239,FamaFrench!$B$6:$B$244,0),MATCH(FamaFrench!F$5,FFWork!$D$10:$G$10,0))</f>
        <v>#N/A</v>
      </c>
    </row>
    <row r="240" spans="1:7" x14ac:dyDescent="0.2">
      <c r="A240">
        <v>230</v>
      </c>
      <c r="B240" s="33" t="str">
        <f>IF(B239="","",IF(EOMONTH(B239,1)&lt;=EOMONTH(Front!$C$4,0),EOMONTH(B239,1),""))</f>
        <v/>
      </c>
      <c r="C240" s="14" t="e">
        <f>INDEX(MutualFunds!$C$6:$O$244,MATCH(FFWork!B240,MutualFunds!$B$6:$B$244,0),MATCH(Front!$C$2,MutualFunds!$C$4:$O$4,0))</f>
        <v>#N/A</v>
      </c>
      <c r="D240" s="14" t="e">
        <f>INDEX(FamaFrench!$C$6:$F$244,MATCH(FFWork!$B240,FamaFrench!$B$6:$B$244,0),MATCH(FamaFrench!C$5,FFWork!$D$10:$F$10,0))</f>
        <v>#N/A</v>
      </c>
      <c r="E240" s="14" t="e">
        <f>INDEX(FamaFrench!$C$6:$F$244,MATCH(FFWork!$B240,FamaFrench!$B$6:$B$244,0),MATCH(FamaFrench!D$5,FFWork!$D$10:$F$10,0))</f>
        <v>#N/A</v>
      </c>
      <c r="F240" s="14" t="e">
        <f>INDEX(FamaFrench!$C$6:$F$244,MATCH(FFWork!$B240,FamaFrench!$B$6:$B$244,0),MATCH(FamaFrench!E$5,FFWork!$D$10:$G$10,0))</f>
        <v>#N/A</v>
      </c>
      <c r="G240" s="14" t="e">
        <f>INDEX(FamaFrench!$C$6:$F$244,MATCH(FFWork!$B240,FamaFrench!$B$6:$B$244,0),MATCH(FamaFrench!F$5,FFWork!$D$10:$G$10,0))</f>
        <v>#N/A</v>
      </c>
    </row>
    <row r="241" spans="1:11" x14ac:dyDescent="0.2">
      <c r="A241">
        <v>231</v>
      </c>
      <c r="B241" s="33" t="str">
        <f>IF(B240="","",IF(EOMONTH(B240,1)&lt;=EOMONTH(Front!$C$4,0),EOMONTH(B240,1),""))</f>
        <v/>
      </c>
      <c r="C241" s="14" t="e">
        <f>INDEX(MutualFunds!$C$6:$O$244,MATCH(FFWork!B241,MutualFunds!$B$6:$B$244,0),MATCH(Front!$C$2,MutualFunds!$C$4:$O$4,0))</f>
        <v>#N/A</v>
      </c>
      <c r="D241" s="14" t="e">
        <f>INDEX(FamaFrench!$C$6:$F$244,MATCH(FFWork!$B241,FamaFrench!$B$6:$B$244,0),MATCH(FamaFrench!C$5,FFWork!$D$10:$F$10,0))</f>
        <v>#N/A</v>
      </c>
      <c r="E241" s="14" t="e">
        <f>INDEX(FamaFrench!$C$6:$F$244,MATCH(FFWork!$B241,FamaFrench!$B$6:$B$244,0),MATCH(FamaFrench!D$5,FFWork!$D$10:$F$10,0))</f>
        <v>#N/A</v>
      </c>
      <c r="F241" s="14" t="e">
        <f>INDEX(FamaFrench!$C$6:$F$244,MATCH(FFWork!$B241,FamaFrench!$B$6:$B$244,0),MATCH(FamaFrench!E$5,FFWork!$D$10:$G$10,0))</f>
        <v>#N/A</v>
      </c>
      <c r="G241" s="14" t="e">
        <f>INDEX(FamaFrench!$C$6:$F$244,MATCH(FFWork!$B241,FamaFrench!$B$6:$B$244,0),MATCH(FamaFrench!F$5,FFWork!$D$10:$G$10,0))</f>
        <v>#N/A</v>
      </c>
    </row>
    <row r="242" spans="1:11" x14ac:dyDescent="0.2">
      <c r="A242">
        <v>232</v>
      </c>
      <c r="B242" s="33" t="str">
        <f>IF(B241="","",IF(EOMONTH(B241,1)&lt;=EOMONTH(Front!$C$4,0),EOMONTH(B241,1),""))</f>
        <v/>
      </c>
      <c r="C242" s="14" t="e">
        <f>INDEX(MutualFunds!$C$6:$O$244,MATCH(FFWork!B242,MutualFunds!$B$6:$B$244,0),MATCH(Front!$C$2,MutualFunds!$C$4:$O$4,0))</f>
        <v>#N/A</v>
      </c>
      <c r="D242" s="14" t="e">
        <f>INDEX(FamaFrench!$C$6:$F$244,MATCH(FFWork!$B242,FamaFrench!$B$6:$B$244,0),MATCH(FamaFrench!C$5,FFWork!$D$10:$F$10,0))</f>
        <v>#N/A</v>
      </c>
      <c r="E242" s="14" t="e">
        <f>INDEX(FamaFrench!$C$6:$F$244,MATCH(FFWork!$B242,FamaFrench!$B$6:$B$244,0),MATCH(FamaFrench!D$5,FFWork!$D$10:$F$10,0))</f>
        <v>#N/A</v>
      </c>
      <c r="F242" s="14" t="e">
        <f>INDEX(FamaFrench!$C$6:$F$244,MATCH(FFWork!$B242,FamaFrench!$B$6:$B$244,0),MATCH(FamaFrench!E$5,FFWork!$D$10:$G$10,0))</f>
        <v>#N/A</v>
      </c>
      <c r="G242" s="14" t="e">
        <f>INDEX(FamaFrench!$C$6:$F$244,MATCH(FFWork!$B242,FamaFrench!$B$6:$B$244,0),MATCH(FamaFrench!F$5,FFWork!$D$10:$G$10,0))</f>
        <v>#N/A</v>
      </c>
    </row>
    <row r="243" spans="1:11" x14ac:dyDescent="0.2">
      <c r="A243">
        <v>233</v>
      </c>
      <c r="B243" s="33" t="str">
        <f>IF(B242="","",IF(EOMONTH(B242,1)&lt;=EOMONTH(Front!$C$4,0),EOMONTH(B242,1),""))</f>
        <v/>
      </c>
      <c r="C243" s="14" t="e">
        <f>INDEX(MutualFunds!$C$6:$O$244,MATCH(FFWork!B243,MutualFunds!$B$6:$B$244,0),MATCH(Front!$C$2,MutualFunds!$C$4:$O$4,0))</f>
        <v>#N/A</v>
      </c>
      <c r="D243" s="14" t="e">
        <f>INDEX(FamaFrench!$C$6:$F$244,MATCH(FFWork!$B243,FamaFrench!$B$6:$B$244,0),MATCH(FamaFrench!C$5,FFWork!$D$10:$F$10,0))</f>
        <v>#N/A</v>
      </c>
      <c r="E243" s="14" t="e">
        <f>INDEX(FamaFrench!$C$6:$F$244,MATCH(FFWork!$B243,FamaFrench!$B$6:$B$244,0),MATCH(FamaFrench!D$5,FFWork!$D$10:$F$10,0))</f>
        <v>#N/A</v>
      </c>
      <c r="F243" s="14" t="e">
        <f>INDEX(FamaFrench!$C$6:$F$244,MATCH(FFWork!$B243,FamaFrench!$B$6:$B$244,0),MATCH(FamaFrench!E$5,FFWork!$D$10:$G$10,0))</f>
        <v>#N/A</v>
      </c>
      <c r="G243" s="14" t="e">
        <f>INDEX(FamaFrench!$C$6:$F$244,MATCH(FFWork!$B243,FamaFrench!$B$6:$B$244,0),MATCH(FamaFrench!F$5,FFWork!$D$10:$G$10,0))</f>
        <v>#N/A</v>
      </c>
    </row>
    <row r="244" spans="1:11" x14ac:dyDescent="0.2">
      <c r="A244">
        <v>234</v>
      </c>
      <c r="B244" s="33" t="str">
        <f>IF(B243="","",IF(EOMONTH(B243,1)&lt;=EOMONTH(Front!$C$4,0),EOMONTH(B243,1),""))</f>
        <v/>
      </c>
      <c r="C244" s="14" t="e">
        <f>INDEX(MutualFunds!$C$6:$O$244,MATCH(FFWork!B244,MutualFunds!$B$6:$B$244,0),MATCH(Front!$C$2,MutualFunds!$C$4:$O$4,0))</f>
        <v>#N/A</v>
      </c>
      <c r="D244" s="14" t="e">
        <f>INDEX(FamaFrench!$C$6:$F$244,MATCH(FFWork!$B244,FamaFrench!$B$6:$B$244,0),MATCH(FamaFrench!C$5,FFWork!$D$10:$F$10,0))</f>
        <v>#N/A</v>
      </c>
      <c r="E244" s="14" t="e">
        <f>INDEX(FamaFrench!$C$6:$F$244,MATCH(FFWork!$B244,FamaFrench!$B$6:$B$244,0),MATCH(FamaFrench!D$5,FFWork!$D$10:$F$10,0))</f>
        <v>#N/A</v>
      </c>
      <c r="F244" s="14" t="e">
        <f>INDEX(FamaFrench!$C$6:$F$244,MATCH(FFWork!$B244,FamaFrench!$B$6:$B$244,0),MATCH(FamaFrench!E$5,FFWork!$D$10:$G$10,0))</f>
        <v>#N/A</v>
      </c>
      <c r="G244" s="14" t="e">
        <f>INDEX(FamaFrench!$C$6:$F$244,MATCH(FFWork!$B244,FamaFrench!$B$6:$B$244,0),MATCH(FamaFrench!F$5,FFWork!$D$10:$G$10,0))</f>
        <v>#N/A</v>
      </c>
    </row>
    <row r="245" spans="1:11" x14ac:dyDescent="0.2">
      <c r="A245">
        <v>235</v>
      </c>
      <c r="B245" s="33" t="str">
        <f>IF(B244="","",IF(EOMONTH(B244,1)&lt;=EOMONTH(Front!$C$4,0),EOMONTH(B244,1),""))</f>
        <v/>
      </c>
      <c r="C245" s="14" t="e">
        <f>INDEX(MutualFunds!$C$6:$O$244,MATCH(FFWork!B245,MutualFunds!$B$6:$B$244,0),MATCH(Front!$C$2,MutualFunds!$C$4:$O$4,0))</f>
        <v>#N/A</v>
      </c>
      <c r="D245" s="14" t="e">
        <f>INDEX(FamaFrench!$C$6:$F$244,MATCH(FFWork!$B245,FamaFrench!$B$6:$B$244,0),MATCH(FamaFrench!C$5,FFWork!$D$10:$F$10,0))</f>
        <v>#N/A</v>
      </c>
      <c r="E245" s="14" t="e">
        <f>INDEX(FamaFrench!$C$6:$F$244,MATCH(FFWork!$B245,FamaFrench!$B$6:$B$244,0),MATCH(FamaFrench!D$5,FFWork!$D$10:$F$10,0))</f>
        <v>#N/A</v>
      </c>
      <c r="F245" s="14" t="e">
        <f>INDEX(FamaFrench!$C$6:$F$244,MATCH(FFWork!$B245,FamaFrench!$B$6:$B$244,0),MATCH(FamaFrench!E$5,FFWork!$D$10:$G$10,0))</f>
        <v>#N/A</v>
      </c>
      <c r="G245" s="14" t="e">
        <f>INDEX(FamaFrench!$C$6:$F$244,MATCH(FFWork!$B245,FamaFrench!$B$6:$B$244,0),MATCH(FamaFrench!F$5,FFWork!$D$10:$G$10,0))</f>
        <v>#N/A</v>
      </c>
    </row>
    <row r="246" spans="1:11" x14ac:dyDescent="0.2">
      <c r="A246">
        <v>236</v>
      </c>
      <c r="B246" s="33" t="str">
        <f>IF(B245="","",IF(EOMONTH(B245,1)&lt;=EOMONTH(Front!$C$4,0),EOMONTH(B245,1),""))</f>
        <v/>
      </c>
      <c r="C246" s="14" t="e">
        <f>INDEX(MutualFunds!$C$6:$O$244,MATCH(FFWork!B246,MutualFunds!$B$6:$B$244,0),MATCH(Front!$C$2,MutualFunds!$C$4:$O$4,0))</f>
        <v>#N/A</v>
      </c>
      <c r="D246" s="14" t="e">
        <f>INDEX(FamaFrench!$C$6:$F$244,MATCH(FFWork!$B246,FamaFrench!$B$6:$B$244,0),MATCH(FamaFrench!C$5,FFWork!$D$10:$F$10,0))</f>
        <v>#N/A</v>
      </c>
      <c r="E246" s="14" t="e">
        <f>INDEX(FamaFrench!$C$6:$F$244,MATCH(FFWork!$B246,FamaFrench!$B$6:$B$244,0),MATCH(FamaFrench!D$5,FFWork!$D$10:$F$10,0))</f>
        <v>#N/A</v>
      </c>
      <c r="F246" s="14" t="e">
        <f>INDEX(FamaFrench!$C$6:$F$244,MATCH(FFWork!$B246,FamaFrench!$B$6:$B$244,0),MATCH(FamaFrench!E$5,FFWork!$D$10:$G$10,0))</f>
        <v>#N/A</v>
      </c>
      <c r="G246" s="14" t="e">
        <f>INDEX(FamaFrench!$C$6:$F$244,MATCH(FFWork!$B246,FamaFrench!$B$6:$B$244,0),MATCH(FamaFrench!F$5,FFWork!$D$10:$G$10,0))</f>
        <v>#N/A</v>
      </c>
    </row>
    <row r="247" spans="1:11" x14ac:dyDescent="0.2">
      <c r="A247">
        <v>237</v>
      </c>
      <c r="B247" s="33" t="str">
        <f>IF(B246="","",IF(EOMONTH(B246,1)&lt;=EOMONTH(Front!$C$4,0),EOMONTH(B246,1),""))</f>
        <v/>
      </c>
      <c r="C247" s="14" t="e">
        <f>INDEX(MutualFunds!$C$6:$O$244,MATCH(FFWork!B247,MutualFunds!$B$6:$B$244,0),MATCH(Front!$C$2,MutualFunds!$C$4:$O$4,0))</f>
        <v>#N/A</v>
      </c>
      <c r="D247" s="14" t="e">
        <f>INDEX(FamaFrench!$C$6:$F$244,MATCH(FFWork!$B247,FamaFrench!$B$6:$B$244,0),MATCH(FamaFrench!C$5,FFWork!$D$10:$F$10,0))</f>
        <v>#N/A</v>
      </c>
      <c r="E247" s="14" t="e">
        <f>INDEX(FamaFrench!$C$6:$F$244,MATCH(FFWork!$B247,FamaFrench!$B$6:$B$244,0),MATCH(FamaFrench!D$5,FFWork!$D$10:$F$10,0))</f>
        <v>#N/A</v>
      </c>
      <c r="F247" s="14" t="e">
        <f>INDEX(FamaFrench!$C$6:$F$244,MATCH(FFWork!$B247,FamaFrench!$B$6:$B$244,0),MATCH(FamaFrench!E$5,FFWork!$D$10:$G$10,0))</f>
        <v>#N/A</v>
      </c>
      <c r="G247" s="14" t="e">
        <f>INDEX(FamaFrench!$C$6:$F$244,MATCH(FFWork!$B247,FamaFrench!$B$6:$B$244,0),MATCH(FamaFrench!F$5,FFWork!$D$10:$G$10,0))</f>
        <v>#N/A</v>
      </c>
    </row>
    <row r="248" spans="1:11" x14ac:dyDescent="0.2">
      <c r="A248">
        <v>238</v>
      </c>
      <c r="B248" s="33" t="str">
        <f>IF(B247="","",IF(EOMONTH(B247,1)&lt;=EOMONTH(Front!$C$4,0),EOMONTH(B247,1),""))</f>
        <v/>
      </c>
      <c r="C248" s="14" t="e">
        <f>INDEX(MutualFunds!$C$6:$O$244,MATCH(FFWork!B248,MutualFunds!$B$6:$B$244,0),MATCH(Front!$C$2,MutualFunds!$C$4:$O$4,0))</f>
        <v>#N/A</v>
      </c>
      <c r="D248" s="14" t="e">
        <f>INDEX(FamaFrench!$C$6:$F$244,MATCH(FFWork!$B248,FamaFrench!$B$6:$B$244,0),MATCH(FamaFrench!C$5,FFWork!$D$10:$F$10,0))</f>
        <v>#N/A</v>
      </c>
      <c r="E248" s="14" t="e">
        <f>INDEX(FamaFrench!$C$6:$F$244,MATCH(FFWork!$B248,FamaFrench!$B$6:$B$244,0),MATCH(FamaFrench!D$5,FFWork!$D$10:$F$10,0))</f>
        <v>#N/A</v>
      </c>
      <c r="F248" s="14" t="e">
        <f>INDEX(FamaFrench!$C$6:$F$244,MATCH(FFWork!$B248,FamaFrench!$B$6:$B$244,0),MATCH(FamaFrench!E$5,FFWork!$D$10:$G$10,0))</f>
        <v>#N/A</v>
      </c>
      <c r="G248" s="14" t="e">
        <f>INDEX(FamaFrench!$C$6:$F$244,MATCH(FFWork!$B248,FamaFrench!$B$6:$B$244,0),MATCH(FamaFrench!F$5,FFWork!$D$10:$G$10,0))</f>
        <v>#N/A</v>
      </c>
    </row>
    <row r="249" spans="1:11" x14ac:dyDescent="0.2">
      <c r="A249">
        <v>239</v>
      </c>
      <c r="B249" s="33" t="str">
        <f>IF(B248="","",IF(EOMONTH(B248,1)&lt;=EOMONTH(Front!$C$4,0),EOMONTH(B248,1),""))</f>
        <v/>
      </c>
      <c r="C249" s="14" t="e">
        <f>INDEX(MutualFunds!$C$6:$O$244,MATCH(FFWork!B249,MutualFunds!$B$6:$B$244,0),MATCH(Front!$C$2,MutualFunds!$C$4:$O$4,0))</f>
        <v>#N/A</v>
      </c>
      <c r="D249" s="14" t="e">
        <f>INDEX(FamaFrench!$C$6:$F$244,MATCH(FFWork!$B249,FamaFrench!$B$6:$B$244,0),MATCH(FamaFrench!C$5,FFWork!$D$10:$F$10,0))</f>
        <v>#N/A</v>
      </c>
      <c r="E249" s="14" t="e">
        <f>INDEX(FamaFrench!$C$6:$F$244,MATCH(FFWork!$B249,FamaFrench!$B$6:$B$244,0),MATCH(FamaFrench!D$5,FFWork!$D$10:$F$10,0))</f>
        <v>#N/A</v>
      </c>
      <c r="F249" s="14" t="e">
        <f>INDEX(FamaFrench!$C$6:$F$244,MATCH(FFWork!$B249,FamaFrench!$B$6:$B$244,0),MATCH(FamaFrench!E$5,FFWork!$D$10:$G$10,0))</f>
        <v>#N/A</v>
      </c>
      <c r="G249" s="14" t="e">
        <f>INDEX(FamaFrench!$C$6:$F$244,MATCH(FFWork!$B249,FamaFrench!$B$6:$B$244,0),MATCH(FamaFrench!F$5,FFWork!$D$10:$G$10,0))</f>
        <v>#N/A</v>
      </c>
    </row>
    <row r="250" spans="1:11" x14ac:dyDescent="0.2">
      <c r="B250" s="33" t="str">
        <f>IF(B249="","",IF(EOMONTH(B249,1)&lt;=EOMONTH(Front!$C$4,0),EOMONTH(B249,1),""))</f>
        <v/>
      </c>
      <c r="C250" s="14" t="e">
        <f>INDEX(MutualFunds!$C$6:$O$244,MATCH(FFWork!B250,MutualFunds!$B$6:$B$244,0),MATCH(Front!$C$2,MutualFunds!$C$4:$O$4,0))</f>
        <v>#N/A</v>
      </c>
      <c r="D250" s="14" t="e">
        <f>INDEX(FamaFrench!$C$6:$F$244,MATCH(FFWork!$B250,FamaFrench!$B$6:$B$244,0),MATCH(FamaFrench!C$5,FFWork!$D$10:$F$10,0))</f>
        <v>#N/A</v>
      </c>
      <c r="E250" s="14" t="e">
        <f>INDEX(FamaFrench!$C$6:$F$244,MATCH(FFWork!$B250,FamaFrench!$B$6:$B$244,0),MATCH(FamaFrench!D$5,FFWork!$D$10:$F$10,0))</f>
        <v>#N/A</v>
      </c>
      <c r="F250" s="14" t="e">
        <f>INDEX(FamaFrench!$C$6:$F$244,MATCH(FFWork!$B250,FamaFrench!$B$6:$B$244,0),MATCH(FamaFrench!E$5,FFWork!$D$10:$G$10,0))</f>
        <v>#N/A</v>
      </c>
      <c r="G250" s="14" t="e">
        <f>INDEX(FamaFrench!$C$6:$F$244,MATCH(FFWork!$B250,FamaFrench!$B$6:$B$244,0),MATCH(FamaFrench!F$5,FFWork!$D$10:$G$10,0))</f>
        <v>#N/A</v>
      </c>
      <c r="H250" t="s">
        <v>61</v>
      </c>
      <c r="I250" t="s">
        <v>61</v>
      </c>
      <c r="J250" t="s">
        <v>61</v>
      </c>
      <c r="K250" t="s">
        <v>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74947-73B2-2D42-B5FB-5285B99567CF}">
  <sheetPr codeName="Sheet5"/>
  <dimension ref="A5:T250"/>
  <sheetViews>
    <sheetView zoomScale="75" workbookViewId="0">
      <selection activeCell="I62" sqref="I62"/>
    </sheetView>
  </sheetViews>
  <sheetFormatPr baseColWidth="10" defaultRowHeight="15" x14ac:dyDescent="0.2"/>
  <cols>
    <col min="2" max="2" width="11.33203125" bestFit="1" customWidth="1"/>
    <col min="5" max="5" width="8.5" bestFit="1" customWidth="1"/>
    <col min="6" max="6" width="15.33203125" bestFit="1" customWidth="1"/>
    <col min="7" max="7" width="14.6640625" bestFit="1" customWidth="1"/>
    <col min="8" max="8" width="14.33203125" bestFit="1" customWidth="1"/>
    <col min="9" max="9" width="14.5" bestFit="1" customWidth="1"/>
    <col min="10" max="10" width="13.6640625" bestFit="1" customWidth="1"/>
    <col min="11" max="11" width="11.33203125" bestFit="1" customWidth="1"/>
    <col min="12" max="12" width="21.5" bestFit="1" customWidth="1"/>
    <col min="13" max="13" width="19.6640625" bestFit="1" customWidth="1"/>
    <col min="14" max="14" width="17" bestFit="1" customWidth="1"/>
    <col min="15" max="15" width="24" bestFit="1" customWidth="1"/>
    <col min="16" max="16" width="22.33203125" bestFit="1" customWidth="1"/>
    <col min="17" max="17" width="9.1640625" bestFit="1" customWidth="1"/>
    <col min="18" max="18" width="12.1640625" bestFit="1" customWidth="1"/>
    <col min="19" max="19" width="19.33203125" bestFit="1" customWidth="1"/>
    <col min="20" max="20" width="11.1640625" bestFit="1" customWidth="1"/>
  </cols>
  <sheetData>
    <row r="5" spans="1:20" x14ac:dyDescent="0.2">
      <c r="B5" s="30">
        <f>1-VAR(D10:D248)/VAR(C10:C248)</f>
        <v>0.70096019888332273</v>
      </c>
    </row>
    <row r="7" spans="1:20" x14ac:dyDescent="0.2">
      <c r="D7" s="26">
        <f>SUM(E7:T7)</f>
        <v>1.000000046383648</v>
      </c>
      <c r="E7" s="25">
        <v>0</v>
      </c>
      <c r="F7" s="25">
        <v>0</v>
      </c>
      <c r="G7" s="25">
        <v>1.6267339098050271E-2</v>
      </c>
      <c r="H7" s="25">
        <v>0</v>
      </c>
      <c r="I7" s="25">
        <v>0</v>
      </c>
      <c r="J7" s="25">
        <v>0</v>
      </c>
      <c r="K7" s="25">
        <v>0</v>
      </c>
      <c r="L7" s="25">
        <v>0</v>
      </c>
      <c r="M7" s="25">
        <v>0.98373270728559781</v>
      </c>
      <c r="N7" s="25">
        <v>0</v>
      </c>
      <c r="O7" s="25">
        <v>0</v>
      </c>
      <c r="P7" s="25">
        <v>0</v>
      </c>
      <c r="Q7" s="25">
        <v>0</v>
      </c>
      <c r="R7" s="25">
        <v>0</v>
      </c>
      <c r="S7" s="25">
        <v>0</v>
      </c>
      <c r="T7" s="25">
        <v>0</v>
      </c>
    </row>
    <row r="8" spans="1:20" x14ac:dyDescent="0.2">
      <c r="D8" s="29"/>
    </row>
    <row r="9" spans="1:20" ht="28" x14ac:dyDescent="0.2">
      <c r="B9" s="3" t="s">
        <v>50</v>
      </c>
      <c r="C9" s="3" t="s">
        <v>62</v>
      </c>
      <c r="D9" s="3" t="s">
        <v>63</v>
      </c>
      <c r="E9" s="3" t="s">
        <v>30</v>
      </c>
      <c r="F9" s="3" t="s">
        <v>31</v>
      </c>
      <c r="G9" s="3" t="s">
        <v>32</v>
      </c>
      <c r="H9" s="3" t="s">
        <v>33</v>
      </c>
      <c r="I9" s="3" t="s">
        <v>34</v>
      </c>
      <c r="J9" s="3" t="s">
        <v>35</v>
      </c>
      <c r="K9" s="3" t="s">
        <v>36</v>
      </c>
      <c r="L9" s="3" t="s">
        <v>37</v>
      </c>
      <c r="M9" s="3" t="s">
        <v>38</v>
      </c>
      <c r="N9" s="3" t="s">
        <v>39</v>
      </c>
      <c r="O9" s="3" t="s">
        <v>40</v>
      </c>
      <c r="P9" s="3" t="s">
        <v>41</v>
      </c>
      <c r="Q9" s="3" t="s">
        <v>42</v>
      </c>
      <c r="R9" s="3" t="s">
        <v>43</v>
      </c>
      <c r="S9" s="3" t="s">
        <v>44</v>
      </c>
      <c r="T9" s="3" t="s">
        <v>45</v>
      </c>
    </row>
    <row r="10" spans="1:20" x14ac:dyDescent="0.2">
      <c r="B10" s="28">
        <f>EOMONTH(Front!C3,0)</f>
        <v>34365</v>
      </c>
      <c r="C10" s="14">
        <f>IF(B10="","",INDEX(MutualFunds!$C$6:$O$244,MATCH(B10,MutualFunds!$B$6:$B$244,0),MATCH(Front!$C$2,MutualFunds!$C$4:$O$4,0)))</f>
        <v>3.7826685006877504E-2</v>
      </c>
      <c r="D10" s="14">
        <f>IF(B10="","",C10-SUMPRODUCT($E$7:$T$7,E10:T10))</f>
        <v>-6.8055222581448749E-3</v>
      </c>
      <c r="E10" s="14" cm="1">
        <f t="array" ref="E10">INDEX(Benchmarks!C$6:C$244,MATCH(SolverWork!$B10,MutualFunds!$B$6:$B$244,0),0)</f>
        <v>2.5000000000000001E-3</v>
      </c>
      <c r="F10" s="14" cm="1">
        <f t="array" ref="F10">INDEX(Benchmarks!D$6:D$244,MATCH(SolverWork!$B10,MutualFunds!$B$6:$B$244,0),0)</f>
        <v>4.0569865081610769E-3</v>
      </c>
      <c r="G10" s="14" cm="1">
        <f t="array" ref="G10">INDEX(Benchmarks!E$6:E$244,MATCH(SolverWork!$B10,MutualFunds!$B$6:$B$244,0),0)</f>
        <v>1.8558409279204598E-2</v>
      </c>
      <c r="H10" s="14" cm="1">
        <f t="array" ref="H10">INDEX(Benchmarks!F$6:F$244,MATCH(SolverWork!$B10,MutualFunds!$B$6:$B$244,0),0)</f>
        <v>1.6804542744450427E-2</v>
      </c>
      <c r="I10" s="14" cm="1">
        <f t="array" ref="I10">INDEX(Benchmarks!G$6:G$244,MATCH(SolverWork!$B10,MutualFunds!$B$6:$B$244,0),0)</f>
        <v>9.9202066695779339E-3</v>
      </c>
      <c r="J10" s="14" cm="1">
        <f t="array" ref="J10">INDEX(Benchmarks!H$6:H$244,MATCH(SolverWork!$B10,MutualFunds!$B$6:$B$244,0),0)</f>
        <v>-4.1188822484251745E-3</v>
      </c>
      <c r="K10" s="14" cm="1">
        <f t="array" ref="K10">INDEX(Benchmarks!I$6:I$244,MATCH(SolverWork!$B10,MutualFunds!$B$6:$B$244,0),0)</f>
        <v>8.1403107425412347E-2</v>
      </c>
      <c r="L10" s="14" cm="1">
        <f t="array" ref="L10">INDEX(Benchmarks!J$6:J$244,MATCH(SolverWork!$B10,MutualFunds!$B$6:$B$244,0),0)</f>
        <v>1.9968304278922329E-2</v>
      </c>
      <c r="M10" s="14" cm="1">
        <f t="array" ref="M10">INDEX(Benchmarks!K$6:K$244,MATCH(SolverWork!$B10,MutualFunds!$B$6:$B$244,0),0)</f>
        <v>4.5063370364575223E-2</v>
      </c>
      <c r="N10" s="14" cm="1">
        <f t="array" ref="N10">INDEX(Benchmarks!L$6:L$244,MATCH(SolverWork!$B10,MutualFunds!$B$6:$B$244,0),0)</f>
        <v>1.7021276595744594E-2</v>
      </c>
      <c r="O10" s="14" cm="1">
        <f t="array" ref="O10">INDEX(Benchmarks!M$6:M$244,MATCH(SolverWork!$B10,MutualFunds!$B$6:$B$244,0),0)</f>
        <v>2.2797499537215018E-2</v>
      </c>
      <c r="P10" s="14" cm="1">
        <f t="array" ref="P10">INDEX(Benchmarks!N$6:N$244,MATCH(SolverWork!$B10,MutualFunds!$B$6:$B$244,0),0)</f>
        <v>2.0180722891566111E-2</v>
      </c>
      <c r="Q10" s="14" cm="1">
        <f t="array" ref="Q10">INDEX(Benchmarks!O$6:O$244,MATCH(SolverWork!$B10,MutualFunds!$B$6:$B$244,0),0)</f>
        <v>1.7677029873327581E-2</v>
      </c>
      <c r="R10" s="14" cm="1">
        <f t="array" ref="R10">INDEX(Benchmarks!P$6:P$244,MATCH(SolverWork!$B10,MutualFunds!$B$6:$B$244,0),0)</f>
        <v>4.9286518658908249E-2</v>
      </c>
      <c r="S10" s="14" cm="1">
        <f t="array" ref="S10">INDEX(Benchmarks!Q$6:Q$244,MATCH(SolverWork!$B10,MutualFunds!$B$6:$B$244,0),0)</f>
        <v>-6.9210597203579624E-2</v>
      </c>
      <c r="T10" s="14" cm="1">
        <f t="array" ref="T10">INDEX(Benchmarks!R$6:R$244,MATCH(SolverWork!$B10,MutualFunds!$B$6:$B$244,0),0)</f>
        <v>0.16086117306266362</v>
      </c>
    </row>
    <row r="11" spans="1:20" s="14" customFormat="1" x14ac:dyDescent="0.2">
      <c r="A11">
        <v>1</v>
      </c>
      <c r="B11" s="28">
        <f>IF(B10="","",IF(EOMONTH(B10,1)&lt;=EOMONTH(Front!$C$4,0),EOMONTH(B10,1),""))</f>
        <v>34393</v>
      </c>
      <c r="C11" s="14">
        <f>IF(B11="","",INDEX(MutualFunds!$C$6:$O$244,MATCH(B11,MutualFunds!$B$6:$B$244,0),MATCH(Front!$C$2,MutualFunds!$C$4:$O$4,0)))</f>
        <v>-1.4579191517561223E-2</v>
      </c>
      <c r="D11" s="14">
        <f t="shared" ref="D11:D74" si="0">IF(B11="","",C11-SUMPRODUCT($E$7:$T$7,E11:T11))</f>
        <v>2.5691951360811892E-2</v>
      </c>
      <c r="E11" s="14" cm="1">
        <f t="array" ref="E11">INDEX(Benchmarks!C$6:C$244,MATCH(SolverWork!$B11,MutualFunds!$B$6:$B$244,0),0)</f>
        <v>2.0999999999999999E-3</v>
      </c>
      <c r="F11" s="14" cm="1">
        <f t="array" ref="F11">INDEX(Benchmarks!D$6:D$244,MATCH(SolverWork!$B11,MutualFunds!$B$6:$B$244,0),0)</f>
        <v>-2.0015034767900727E-2</v>
      </c>
      <c r="G11" s="14" cm="1">
        <f t="array" ref="G11">INDEX(Benchmarks!E$6:E$244,MATCH(SolverWork!$B11,MutualFunds!$B$6:$B$244,0),0)</f>
        <v>-5.1325850008134069E-2</v>
      </c>
      <c r="H11" s="14" cm="1">
        <f t="array" ref="H11">INDEX(Benchmarks!F$6:F$244,MATCH(SolverWork!$B11,MutualFunds!$B$6:$B$244,0),0)</f>
        <v>-2.2661120609821932E-2</v>
      </c>
      <c r="I11" s="14" cm="1">
        <f t="array" ref="I11">INDEX(Benchmarks!G$6:G$244,MATCH(SolverWork!$B11,MutualFunds!$B$6:$B$244,0),0)</f>
        <v>-7.624279735850642E-3</v>
      </c>
      <c r="J11" s="14" cm="1">
        <f t="array" ref="J11">INDEX(Benchmarks!H$6:H$244,MATCH(SolverWork!$B11,MutualFunds!$B$6:$B$244,0),0)</f>
        <v>-5.1658421863595851E-2</v>
      </c>
      <c r="K11" s="14" cm="1">
        <f t="array" ref="K11">INDEX(Benchmarks!I$6:I$244,MATCH(SolverWork!$B11,MutualFunds!$B$6:$B$244,0),0)</f>
        <v>-2.1727633318642452E-2</v>
      </c>
      <c r="L11" s="14" cm="1">
        <f t="array" ref="L11">INDEX(Benchmarks!J$6:J$244,MATCH(SolverWork!$B11,MutualFunds!$B$6:$B$244,0),0)</f>
        <v>-1.9710556690047048E-2</v>
      </c>
      <c r="M11" s="14" cm="1">
        <f t="array" ref="M11">INDEX(Benchmarks!K$6:K$244,MATCH(SolverWork!$B11,MutualFunds!$B$6:$B$244,0),0)</f>
        <v>-4.0088336577332066E-2</v>
      </c>
      <c r="N11" s="14" cm="1">
        <f t="array" ref="N11">INDEX(Benchmarks!L$6:L$244,MATCH(SolverWork!$B11,MutualFunds!$B$6:$B$244,0),0)</f>
        <v>-1.2228984404716528E-2</v>
      </c>
      <c r="O11" s="14" cm="1">
        <f t="array" ref="O11">INDEX(Benchmarks!M$6:M$244,MATCH(SolverWork!$B11,MutualFunds!$B$6:$B$244,0),0)</f>
        <v>-5.3182602884668051E-3</v>
      </c>
      <c r="P11" s="14" cm="1">
        <f t="array" ref="P11">INDEX(Benchmarks!N$6:N$244,MATCH(SolverWork!$B11,MutualFunds!$B$6:$B$244,0),0)</f>
        <v>-1.1157211008033737E-2</v>
      </c>
      <c r="Q11" s="14" cm="1">
        <f t="array" ref="Q11">INDEX(Benchmarks!O$6:O$244,MATCH(SolverWork!$B11,MutualFunds!$B$6:$B$244,0),0)</f>
        <v>-1.8399352861656042E-2</v>
      </c>
      <c r="R11" s="14" cm="1">
        <f t="array" ref="R11">INDEX(Benchmarks!P$6:P$244,MATCH(SolverWork!$B11,MutualFunds!$B$6:$B$244,0),0)</f>
        <v>-3.7003129987257362E-2</v>
      </c>
      <c r="S11" s="14" cm="1">
        <f t="array" ref="S11">INDEX(Benchmarks!Q$6:Q$244,MATCH(SolverWork!$B11,MutualFunds!$B$6:$B$244,0),0)</f>
        <v>-5.8523795389334179E-2</v>
      </c>
      <c r="T11" s="14" cm="1">
        <f t="array" ref="T11">INDEX(Benchmarks!R$6:R$244,MATCH(SolverWork!$B11,MutualFunds!$B$6:$B$244,0),0)</f>
        <v>4.5192506045716271E-2</v>
      </c>
    </row>
    <row r="12" spans="1:20" x14ac:dyDescent="0.2">
      <c r="A12">
        <v>2</v>
      </c>
      <c r="B12" s="28">
        <f>IF(B11="","",IF(EOMONTH(B11,1)&lt;=EOMONTH(Front!$C$4,0),EOMONTH(B11,1),""))</f>
        <v>34424</v>
      </c>
      <c r="C12" s="14">
        <f>IF(B12="","",INDEX(MutualFunds!$C$6:$O$244,MATCH(B12,MutualFunds!$B$6:$B$244,0),MATCH(Front!$C$2,MutualFunds!$C$4:$O$4,0)))</f>
        <v>-3.8332212508406203E-2</v>
      </c>
      <c r="D12" s="14">
        <f t="shared" si="0"/>
        <v>4.9220384327762767E-3</v>
      </c>
      <c r="E12" s="14" cm="1">
        <f t="array" ref="E12">INDEX(Benchmarks!C$6:C$244,MATCH(SolverWork!$B12,MutualFunds!$B$6:$B$244,0),0)</f>
        <v>2.7000000000000001E-3</v>
      </c>
      <c r="F12" s="14" cm="1">
        <f t="array" ref="F12">INDEX(Benchmarks!D$6:D$244,MATCH(SolverWork!$B12,MutualFunds!$B$6:$B$244,0),0)</f>
        <v>-2.0903250551347268E-2</v>
      </c>
      <c r="G12" s="14" cm="1">
        <f t="array" ref="G12">INDEX(Benchmarks!E$6:E$244,MATCH(SolverWork!$B12,MutualFunds!$B$6:$B$244,0),0)</f>
        <v>-5.0930292377604373E-2</v>
      </c>
      <c r="H12" s="14" cm="1">
        <f t="array" ref="H12">INDEX(Benchmarks!F$6:F$244,MATCH(SolverWork!$B12,MutualFunds!$B$6:$B$244,0),0)</f>
        <v>-2.4785974709248551E-2</v>
      </c>
      <c r="I12" s="14" cm="1">
        <f t="array" ref="I12">INDEX(Benchmarks!G$6:G$244,MATCH(SolverWork!$B12,MutualFunds!$B$6:$B$244,0),0)</f>
        <v>-2.5163774048574582E-2</v>
      </c>
      <c r="J12" s="14" cm="1">
        <f t="array" ref="J12">INDEX(Benchmarks!H$6:H$244,MATCH(SolverWork!$B12,MutualFunds!$B$6:$B$244,0),0)</f>
        <v>-4.0961176671797439E-2</v>
      </c>
      <c r="K12" s="14" cm="1">
        <f t="array" ref="K12">INDEX(Benchmarks!I$6:I$244,MATCH(SolverWork!$B12,MutualFunds!$B$6:$B$244,0),0)</f>
        <v>-1.19385502545389E-2</v>
      </c>
      <c r="L12" s="14" cm="1">
        <f t="array" ref="L12">INDEX(Benchmarks!J$6:J$244,MATCH(SolverWork!$B12,MutualFunds!$B$6:$B$244,0),0)</f>
        <v>-4.8501041572321255E-2</v>
      </c>
      <c r="M12" s="14" cm="1">
        <f t="array" ref="M12">INDEX(Benchmarks!K$6:K$244,MATCH(SolverWork!$B12,MutualFunds!$B$6:$B$244,0),0)</f>
        <v>-4.3127315266133649E-2</v>
      </c>
      <c r="N12" s="14" cm="1">
        <f t="array" ref="N12">INDEX(Benchmarks!L$6:L$244,MATCH(SolverWork!$B12,MutualFunds!$B$6:$B$244,0),0)</f>
        <v>-5.520149411787361E-2</v>
      </c>
      <c r="O12" s="14" cm="1">
        <f t="array" ref="O12">INDEX(Benchmarks!M$6:M$244,MATCH(SolverWork!$B12,MutualFunds!$B$6:$B$244,0),0)</f>
        <v>-5.8295775830697276E-2</v>
      </c>
      <c r="P12" s="14" cm="1">
        <f t="array" ref="P12">INDEX(Benchmarks!N$6:N$244,MATCH(SolverWork!$B12,MutualFunds!$B$6:$B$244,0),0)</f>
        <v>-4.2272334407165831E-2</v>
      </c>
      <c r="Q12" s="14" cm="1">
        <f t="array" ref="Q12">INDEX(Benchmarks!O$6:O$244,MATCH(SolverWork!$B12,MutualFunds!$B$6:$B$244,0),0)</f>
        <v>-9.200061620812984E-2</v>
      </c>
      <c r="R12" s="14" cm="1">
        <f t="array" ref="R12">INDEX(Benchmarks!P$6:P$244,MATCH(SolverWork!$B12,MutualFunds!$B$6:$B$244,0),0)</f>
        <v>-3.0005459917780156E-2</v>
      </c>
      <c r="S12" s="14" cm="1">
        <f t="array" ref="S12">INDEX(Benchmarks!Q$6:Q$244,MATCH(SolverWork!$B12,MutualFunds!$B$6:$B$244,0),0)</f>
        <v>-0.11108980085124275</v>
      </c>
      <c r="T12" s="14" cm="1">
        <f t="array" ref="T12">INDEX(Benchmarks!R$6:R$244,MATCH(SolverWork!$B12,MutualFunds!$B$6:$B$244,0),0)</f>
        <v>-4.3283632664878051E-2</v>
      </c>
    </row>
    <row r="13" spans="1:20" x14ac:dyDescent="0.2">
      <c r="A13">
        <v>3</v>
      </c>
      <c r="B13" s="28">
        <f>IF(B12="","",IF(EOMONTH(B12,1)&lt;=EOMONTH(Front!$C$4,0),EOMONTH(B12,1),""))</f>
        <v>34454</v>
      </c>
      <c r="C13" s="14">
        <f>IF(B13="","",INDEX(MutualFunds!$C$6:$O$244,MATCH(B13,MutualFunds!$B$6:$B$244,0),MATCH(Front!$C$2,MutualFunds!$C$4:$O$4,0)))</f>
        <v>1.5384615384615429E-2</v>
      </c>
      <c r="D13" s="14">
        <f t="shared" si="0"/>
        <v>-3.6783453069215589E-3</v>
      </c>
      <c r="E13" s="14" cm="1">
        <f t="array" ref="E13">INDEX(Benchmarks!C$6:C$244,MATCH(SolverWork!$B13,MutualFunds!$B$6:$B$244,0),0)</f>
        <v>2.7000000000000001E-3</v>
      </c>
      <c r="F13" s="14" cm="1">
        <f t="array" ref="F13">INDEX(Benchmarks!D$6:D$244,MATCH(SolverWork!$B13,MutualFunds!$B$6:$B$244,0),0)</f>
        <v>-1.1849965723239582E-2</v>
      </c>
      <c r="G13" s="14" cm="1">
        <f t="array" ref="G13">INDEX(Benchmarks!E$6:E$244,MATCH(SolverWork!$B13,MutualFunds!$B$6:$B$244,0),0)</f>
        <v>-1.8429849128195792E-2</v>
      </c>
      <c r="H13" s="14" cm="1">
        <f t="array" ref="H13">INDEX(Benchmarks!F$6:F$244,MATCH(SolverWork!$B13,MutualFunds!$B$6:$B$244,0),0)</f>
        <v>-1.0644937073899484E-2</v>
      </c>
      <c r="I13" s="14" cm="1">
        <f t="array" ref="I13">INDEX(Benchmarks!G$6:G$244,MATCH(SolverWork!$B13,MutualFunds!$B$6:$B$244,0),0)</f>
        <v>-7.2184174968275474E-3</v>
      </c>
      <c r="J13" s="14" cm="1">
        <f t="array" ref="J13">INDEX(Benchmarks!H$6:H$244,MATCH(SolverWork!$B13,MutualFunds!$B$6:$B$244,0),0)</f>
        <v>-1.640659830584042E-2</v>
      </c>
      <c r="K13" s="14" cm="1">
        <f t="array" ref="K13">INDEX(Benchmarks!I$6:I$244,MATCH(SolverWork!$B13,MutualFunds!$B$6:$B$244,0),0)</f>
        <v>2.6217399233995985E-2</v>
      </c>
      <c r="L13" s="14" cm="1">
        <f t="array" ref="L13">INDEX(Benchmarks!J$6:J$244,MATCH(SolverWork!$B13,MutualFunds!$B$6:$B$244,0),0)</f>
        <v>3.3315882156964858E-3</v>
      </c>
      <c r="M13" s="14" cm="1">
        <f t="array" ref="M13">INDEX(Benchmarks!K$6:K$244,MATCH(SolverWork!$B13,MutualFunds!$B$6:$B$244,0),0)</f>
        <v>1.9682953665593479E-2</v>
      </c>
      <c r="N13" s="14" cm="1">
        <f t="array" ref="N13">INDEX(Benchmarks!L$6:L$244,MATCH(SolverWork!$B13,MutualFunds!$B$6:$B$244,0),0)</f>
        <v>9.0482983492969175E-3</v>
      </c>
      <c r="O13" s="14" cm="1">
        <f t="array" ref="O13">INDEX(Benchmarks!M$6:M$244,MATCH(SolverWork!$B13,MutualFunds!$B$6:$B$244,0),0)</f>
        <v>1.0701386721361358E-3</v>
      </c>
      <c r="P13" s="14" cm="1">
        <f t="array" ref="P13">INDEX(Benchmarks!N$6:N$244,MATCH(SolverWork!$B13,MutualFunds!$B$6:$B$244,0),0)</f>
        <v>8.2041184674706694E-4</v>
      </c>
      <c r="Q13" s="14" cm="1">
        <f t="array" ref="Q13">INDEX(Benchmarks!O$6:O$244,MATCH(SolverWork!$B13,MutualFunds!$B$6:$B$244,0),0)</f>
        <v>-2.2190833811995221E-2</v>
      </c>
      <c r="R13" s="14" cm="1">
        <f t="array" ref="R13">INDEX(Benchmarks!P$6:P$244,MATCH(SolverWork!$B13,MutualFunds!$B$6:$B$244,0),0)</f>
        <v>3.9631809415017476E-2</v>
      </c>
      <c r="S13" s="14" cm="1">
        <f t="array" ref="S13">INDEX(Benchmarks!Q$6:Q$244,MATCH(SolverWork!$B13,MutualFunds!$B$6:$B$244,0),0)</f>
        <v>4.4671437058317692E-2</v>
      </c>
      <c r="T13" s="14" cm="1">
        <f t="array" ref="T13">INDEX(Benchmarks!R$6:R$244,MATCH(SolverWork!$B13,MutualFunds!$B$6:$B$244,0),0)</f>
        <v>4.2098316812980326E-2</v>
      </c>
    </row>
    <row r="14" spans="1:20" x14ac:dyDescent="0.2">
      <c r="A14">
        <v>4</v>
      </c>
      <c r="B14" s="28">
        <f>IF(B13="","",IF(EOMONTH(B13,1)&lt;=EOMONTH(Front!$C$4,0),EOMONTH(B13,1),""))</f>
        <v>34485</v>
      </c>
      <c r="C14" s="14">
        <f>IF(B14="","",INDEX(MutualFunds!$C$6:$O$244,MATCH(B14,MutualFunds!$B$6:$B$244,0),MATCH(Front!$C$2,MutualFunds!$C$4:$O$4,0)))</f>
        <v>2.7548209366391085E-2</v>
      </c>
      <c r="D14" s="14">
        <f t="shared" si="0"/>
        <v>1.6950379896307804E-2</v>
      </c>
      <c r="E14" s="14" cm="1">
        <f t="array" ref="E14">INDEX(Benchmarks!C$6:C$244,MATCH(SolverWork!$B14,MutualFunds!$B$6:$B$244,0),0)</f>
        <v>3.0999999999999999E-3</v>
      </c>
      <c r="F14" s="14" cm="1">
        <f t="array" ref="F14">INDEX(Benchmarks!D$6:D$244,MATCH(SolverWork!$B14,MutualFunds!$B$6:$B$244,0),0)</f>
        <v>-4.6580773042616333E-3</v>
      </c>
      <c r="G14" s="14" cm="1">
        <f t="array" ref="G14">INDEX(Benchmarks!E$6:E$244,MATCH(SolverWork!$B14,MutualFunds!$B$6:$B$244,0),0)</f>
        <v>-1.5554532903819583E-2</v>
      </c>
      <c r="H14" s="14" cm="1">
        <f t="array" ref="H14">INDEX(Benchmarks!F$6:F$244,MATCH(SolverWork!$B14,MutualFunds!$B$6:$B$244,0),0)</f>
        <v>-1.8341026499569136E-3</v>
      </c>
      <c r="I14" s="14" cm="1">
        <f t="array" ref="I14">INDEX(Benchmarks!G$6:G$244,MATCH(SolverWork!$B14,MutualFunds!$B$6:$B$244,0),0)</f>
        <v>3.0705113608921844E-3</v>
      </c>
      <c r="J14" s="14" cm="1">
        <f t="array" ref="J14">INDEX(Benchmarks!H$6:H$244,MATCH(SolverWork!$B14,MutualFunds!$B$6:$B$244,0),0)</f>
        <v>-2.5654972350648158E-2</v>
      </c>
      <c r="K14" s="14" cm="1">
        <f t="array" ref="K14">INDEX(Benchmarks!I$6:I$244,MATCH(SolverWork!$B14,MutualFunds!$B$6:$B$244,0),0)</f>
        <v>1.4884258230772647E-2</v>
      </c>
      <c r="L14" s="14" cm="1">
        <f t="array" ref="L14">INDEX(Benchmarks!J$6:J$244,MATCH(SolverWork!$B14,MutualFunds!$B$6:$B$244,0),0)</f>
        <v>1.3756463165883998E-2</v>
      </c>
      <c r="M14" s="14" cm="1">
        <f t="array" ref="M14">INDEX(Benchmarks!K$6:K$244,MATCH(SolverWork!$B14,MutualFunds!$B$6:$B$244,0),0)</f>
        <v>1.1030293341859241E-2</v>
      </c>
      <c r="N14" s="14" cm="1">
        <f t="array" ref="N14">INDEX(Benchmarks!L$6:L$244,MATCH(SolverWork!$B14,MutualFunds!$B$6:$B$244,0),0)</f>
        <v>-2.7345801187542845E-2</v>
      </c>
      <c r="O14" s="14" cm="1">
        <f t="array" ref="O14">INDEX(Benchmarks!M$6:M$244,MATCH(SolverWork!$B14,MutualFunds!$B$6:$B$244,0),0)</f>
        <v>-2.5032292548216137E-2</v>
      </c>
      <c r="P14" s="14" cm="1">
        <f t="array" ref="P14">INDEX(Benchmarks!N$6:N$244,MATCH(SolverWork!$B14,MutualFunds!$B$6:$B$244,0),0)</f>
        <v>-3.8527748176080375E-3</v>
      </c>
      <c r="Q14" s="14" cm="1">
        <f t="array" ref="Q14">INDEX(Benchmarks!O$6:O$244,MATCH(SolverWork!$B14,MutualFunds!$B$6:$B$244,0),0)</f>
        <v>3.1995066425562615E-2</v>
      </c>
      <c r="R14" s="14" cm="1">
        <f t="array" ref="R14">INDEX(Benchmarks!P$6:P$244,MATCH(SolverWork!$B14,MutualFunds!$B$6:$B$244,0),0)</f>
        <v>-4.4227945742976615E-2</v>
      </c>
      <c r="S14" s="14" cm="1">
        <f t="array" ref="S14">INDEX(Benchmarks!Q$6:Q$244,MATCH(SolverWork!$B14,MutualFunds!$B$6:$B$244,0),0)</f>
        <v>4.1442802538399853E-2</v>
      </c>
      <c r="T14" s="14" cm="1">
        <f t="array" ref="T14">INDEX(Benchmarks!R$6:R$244,MATCH(SolverWork!$B14,MutualFunds!$B$6:$B$244,0),0)</f>
        <v>2.1417608483326415E-2</v>
      </c>
    </row>
    <row r="15" spans="1:20" x14ac:dyDescent="0.2">
      <c r="A15">
        <v>5</v>
      </c>
      <c r="B15" s="28">
        <f>IF(B14="","",IF(EOMONTH(B14,1)&lt;=EOMONTH(Front!$C$4,0),EOMONTH(B14,1),""))</f>
        <v>34515</v>
      </c>
      <c r="C15" s="14">
        <f>IF(B15="","",INDEX(MutualFunds!$C$6:$O$244,MATCH(B15,MutualFunds!$B$6:$B$244,0),MATCH(Front!$C$2,MutualFunds!$C$4:$O$4,0)))</f>
        <v>-2.0107238605898053E-2</v>
      </c>
      <c r="D15" s="14">
        <f t="shared" si="0"/>
        <v>9.2904554940206364E-3</v>
      </c>
      <c r="E15" s="14" cm="1">
        <f t="array" ref="E15">INDEX(Benchmarks!C$6:C$244,MATCH(SolverWork!$B15,MutualFunds!$B$6:$B$244,0),0)</f>
        <v>3.0999999999999999E-3</v>
      </c>
      <c r="F15" s="14" cm="1">
        <f t="array" ref="F15">INDEX(Benchmarks!D$6:D$244,MATCH(SolverWork!$B15,MutualFunds!$B$6:$B$244,0),0)</f>
        <v>-5.3768794185005096E-3</v>
      </c>
      <c r="G15" s="14" cm="1">
        <f t="array" ref="G15">INDEX(Benchmarks!E$6:E$244,MATCH(SolverWork!$B15,MutualFunds!$B$6:$B$244,0),0)</f>
        <v>-1.6735228122662735E-2</v>
      </c>
      <c r="H15" s="14" cm="1">
        <f t="array" ref="H15">INDEX(Benchmarks!F$6:F$244,MATCH(SolverWork!$B15,MutualFunds!$B$6:$B$244,0),0)</f>
        <v>-1.6952071462265142E-3</v>
      </c>
      <c r="I15" s="14" cm="1">
        <f t="array" ref="I15">INDEX(Benchmarks!G$6:G$244,MATCH(SolverWork!$B15,MutualFunds!$B$6:$B$244,0),0)</f>
        <v>-2.6191426134331655E-3</v>
      </c>
      <c r="J15" s="14" cm="1">
        <f t="array" ref="J15">INDEX(Benchmarks!H$6:H$244,MATCH(SolverWork!$B15,MutualFunds!$B$6:$B$244,0),0)</f>
        <v>-1.6096017863788649E-2</v>
      </c>
      <c r="K15" s="14" cm="1">
        <f t="array" ref="K15">INDEX(Benchmarks!I$6:I$244,MATCH(SolverWork!$B15,MutualFunds!$B$6:$B$244,0),0)</f>
        <v>2.4603800017511519E-2</v>
      </c>
      <c r="L15" s="14" cm="1">
        <f t="array" ref="L15">INDEX(Benchmarks!J$6:J$244,MATCH(SolverWork!$B15,MutualFunds!$B$6:$B$244,0),0)</f>
        <v>-2.3910907304290924E-2</v>
      </c>
      <c r="M15" s="14" cm="1">
        <f t="array" ref="M15">INDEX(Benchmarks!K$6:K$244,MATCH(SolverWork!$B15,MutualFunds!$B$6:$B$244,0),0)</f>
        <v>-2.960708356391813E-2</v>
      </c>
      <c r="N15" s="14" cm="1">
        <f t="array" ref="N15">INDEX(Benchmarks!L$6:L$244,MATCH(SolverWork!$B15,MutualFunds!$B$6:$B$244,0),0)</f>
        <v>-1.9808970099667814E-2</v>
      </c>
      <c r="O15" s="14" cm="1">
        <f t="array" ref="O15">INDEX(Benchmarks!M$6:M$244,MATCH(SolverWork!$B15,MutualFunds!$B$6:$B$244,0),0)</f>
        <v>-4.8974370688473615E-2</v>
      </c>
      <c r="P15" s="14" cm="1">
        <f t="array" ref="P15">INDEX(Benchmarks!N$6:N$244,MATCH(SolverWork!$B15,MutualFunds!$B$6:$B$244,0),0)</f>
        <v>-2.2712310730743836E-2</v>
      </c>
      <c r="Q15" s="14" cm="1">
        <f t="array" ref="Q15">INDEX(Benchmarks!O$6:O$244,MATCH(SolverWork!$B15,MutualFunds!$B$6:$B$244,0),0)</f>
        <v>-2.9331928857918441E-2</v>
      </c>
      <c r="R15" s="14" cm="1">
        <f t="array" ref="R15">INDEX(Benchmarks!P$6:P$244,MATCH(SolverWork!$B15,MutualFunds!$B$6:$B$244,0),0)</f>
        <v>-1.2357547484171992E-2</v>
      </c>
      <c r="S15" s="14" cm="1">
        <f t="array" ref="S15">INDEX(Benchmarks!Q$6:Q$244,MATCH(SolverWork!$B15,MutualFunds!$B$6:$B$244,0),0)</f>
        <v>-4.6120744690966227E-2</v>
      </c>
      <c r="T15" s="14" cm="1">
        <f t="array" ref="T15">INDEX(Benchmarks!R$6:R$244,MATCH(SolverWork!$B15,MutualFunds!$B$6:$B$244,0),0)</f>
        <v>4.8827581134117545E-2</v>
      </c>
    </row>
    <row r="16" spans="1:20" x14ac:dyDescent="0.2">
      <c r="A16">
        <v>6</v>
      </c>
      <c r="B16" s="28">
        <f>IF(B15="","",IF(EOMONTH(B15,1)&lt;=EOMONTH(Front!$C$4,0),EOMONTH(B15,1),""))</f>
        <v>34546</v>
      </c>
      <c r="C16" s="14">
        <f>IF(B16="","",INDEX(MutualFunds!$C$6:$O$244,MATCH(B16,MutualFunds!$B$6:$B$244,0),MATCH(Front!$C$2,MutualFunds!$C$4:$O$4,0)))</f>
        <v>2.872777017783857E-2</v>
      </c>
      <c r="D16" s="14">
        <f t="shared" si="0"/>
        <v>-3.0233758296362503E-3</v>
      </c>
      <c r="E16" s="14" cm="1">
        <f t="array" ref="E16">INDEX(Benchmarks!C$6:C$244,MATCH(SolverWork!$B16,MutualFunds!$B$6:$B$244,0),0)</f>
        <v>2.8000000000000004E-3</v>
      </c>
      <c r="F16" s="14" cm="1">
        <f t="array" ref="F16">INDEX(Benchmarks!D$6:D$244,MATCH(SolverWork!$B16,MutualFunds!$B$6:$B$244,0),0)</f>
        <v>7.8085894483932439E-3</v>
      </c>
      <c r="G16" s="14" cm="1">
        <f t="array" ref="G16">INDEX(Benchmarks!E$6:E$244,MATCH(SolverWork!$B16,MutualFunds!$B$6:$B$244,0),0)</f>
        <v>2.7954739944851172E-2</v>
      </c>
      <c r="H16" s="14" cm="1">
        <f t="array" ref="H16">INDEX(Benchmarks!F$6:F$244,MATCH(SolverWork!$B16,MutualFunds!$B$6:$B$244,0),0)</f>
        <v>1.9670493359914588E-2</v>
      </c>
      <c r="I16" s="14" cm="1">
        <f t="array" ref="I16">INDEX(Benchmarks!G$6:G$244,MATCH(SolverWork!$B16,MutualFunds!$B$6:$B$244,0),0)</f>
        <v>2.0285706896105773E-2</v>
      </c>
      <c r="J16" s="14" cm="1">
        <f t="array" ref="J16">INDEX(Benchmarks!H$6:H$244,MATCH(SolverWork!$B16,MutualFunds!$B$6:$B$244,0),0)</f>
        <v>1.6453900709219944E-2</v>
      </c>
      <c r="K16" s="14" cm="1">
        <f t="array" ref="K16">INDEX(Benchmarks!I$6:I$244,MATCH(SolverWork!$B16,MutualFunds!$B$6:$B$244,0),0)</f>
        <v>1.7219278755768321E-2</v>
      </c>
      <c r="L16" s="14" cm="1">
        <f t="array" ref="L16">INDEX(Benchmarks!J$6:J$244,MATCH(SolverWork!$B16,MutualFunds!$B$6:$B$244,0),0)</f>
        <v>3.1208053691275262E-2</v>
      </c>
      <c r="M16" s="14" cm="1">
        <f t="array" ref="M16">INDEX(Benchmarks!K$6:K$244,MATCH(SolverWork!$B16,MutualFunds!$B$6:$B$244,0),0)</f>
        <v>3.1813923174060052E-2</v>
      </c>
      <c r="N16" s="14" cm="1">
        <f t="array" ref="N16">INDEX(Benchmarks!L$6:L$244,MATCH(SolverWork!$B16,MutualFunds!$B$6:$B$244,0),0)</f>
        <v>3.1584968012540834E-2</v>
      </c>
      <c r="O16" s="14" cm="1">
        <f t="array" ref="O16">INDEX(Benchmarks!M$6:M$244,MATCH(SolverWork!$B16,MutualFunds!$B$6:$B$244,0),0)</f>
        <v>1.7325583257273784E-2</v>
      </c>
      <c r="P16" s="14" cm="1">
        <f t="array" ref="P16">INDEX(Benchmarks!N$6:N$244,MATCH(SolverWork!$B16,MutualFunds!$B$6:$B$244,0),0)</f>
        <v>1.5459750757830834E-2</v>
      </c>
      <c r="Q16" s="14" cm="1">
        <f t="array" ref="Q16">INDEX(Benchmarks!O$6:O$244,MATCH(SolverWork!$B16,MutualFunds!$B$6:$B$244,0),0)</f>
        <v>6.1665762344004296E-2</v>
      </c>
      <c r="R16" s="14" cm="1">
        <f t="array" ref="R16">INDEX(Benchmarks!P$6:P$244,MATCH(SolverWork!$B16,MutualFunds!$B$6:$B$244,0),0)</f>
        <v>5.053113871349204E-2</v>
      </c>
      <c r="S16" s="14" cm="1">
        <f t="array" ref="S16">INDEX(Benchmarks!Q$6:Q$244,MATCH(SolverWork!$B16,MutualFunds!$B$6:$B$244,0),0)</f>
        <v>5.4408439231947825E-2</v>
      </c>
      <c r="T16" s="14" cm="1">
        <f t="array" ref="T16">INDEX(Benchmarks!R$6:R$244,MATCH(SolverWork!$B16,MutualFunds!$B$6:$B$244,0),0)</f>
        <v>-3.6373761332622011E-2</v>
      </c>
    </row>
    <row r="17" spans="1:20" x14ac:dyDescent="0.2">
      <c r="A17">
        <v>7</v>
      </c>
      <c r="B17" s="28">
        <f>IF(B16="","",IF(EOMONTH(B16,1)&lt;=EOMONTH(Front!$C$4,0),EOMONTH(B16,1),""))</f>
        <v>34577</v>
      </c>
      <c r="C17" s="14">
        <f>IF(B17="","",INDEX(MutualFunds!$C$6:$O$244,MATCH(B17,MutualFunds!$B$6:$B$244,0),MATCH(Front!$C$2,MutualFunds!$C$4:$O$4,0)))</f>
        <v>2.2606382978723392E-2</v>
      </c>
      <c r="D17" s="14">
        <f t="shared" si="0"/>
        <v>-4.7084373395312601E-4</v>
      </c>
      <c r="E17" s="14" cm="1">
        <f t="array" ref="E17">INDEX(Benchmarks!C$6:C$244,MATCH(SolverWork!$B17,MutualFunds!$B$6:$B$244,0),0)</f>
        <v>3.7000000000000002E-3</v>
      </c>
      <c r="F17" s="14" cm="1">
        <f t="array" ref="F17">INDEX(Benchmarks!D$6:D$244,MATCH(SolverWork!$B17,MutualFunds!$B$6:$B$244,0),0)</f>
        <v>-1.4900168868581074E-3</v>
      </c>
      <c r="G17" s="14" cm="1">
        <f t="array" ref="G17">INDEX(Benchmarks!E$6:E$244,MATCH(SolverWork!$B17,MutualFunds!$B$6:$B$244,0),0)</f>
        <v>-1.8592174636943768E-2</v>
      </c>
      <c r="H17" s="14" cm="1">
        <f t="array" ref="H17">INDEX(Benchmarks!F$6:F$244,MATCH(SolverWork!$B17,MutualFunds!$B$6:$B$244,0),0)</f>
        <v>2.0772465008989161E-3</v>
      </c>
      <c r="I17" s="14" cm="1">
        <f t="array" ref="I17">INDEX(Benchmarks!G$6:G$244,MATCH(SolverWork!$B17,MutualFunds!$B$6:$B$244,0),0)</f>
        <v>2.5535294813512368E-3</v>
      </c>
      <c r="J17" s="14" cm="1">
        <f t="array" ref="J17">INDEX(Benchmarks!H$6:H$244,MATCH(SolverWork!$B17,MutualFunds!$B$6:$B$244,0),0)</f>
        <v>-1.9908828728253794E-2</v>
      </c>
      <c r="K17" s="14" cm="1">
        <f t="array" ref="K17">INDEX(Benchmarks!I$6:I$244,MATCH(SolverWork!$B17,MutualFunds!$B$6:$B$244,0),0)</f>
        <v>-6.7417146217499044E-2</v>
      </c>
      <c r="L17" s="14" cm="1">
        <f t="array" ref="L17">INDEX(Benchmarks!J$6:J$244,MATCH(SolverWork!$B17,MutualFunds!$B$6:$B$244,0),0)</f>
        <v>5.1090139928408627E-2</v>
      </c>
      <c r="M17" s="14" cm="1">
        <f t="array" ref="M17">INDEX(Benchmarks!K$6:K$244,MATCH(SolverWork!$B17,MutualFunds!$B$6:$B$244,0),0)</f>
        <v>2.3766285037504862E-2</v>
      </c>
      <c r="N17" s="14" cm="1">
        <f t="array" ref="N17">INDEX(Benchmarks!L$6:L$244,MATCH(SolverWork!$B17,MutualFunds!$B$6:$B$244,0),0)</f>
        <v>4.5259461568474366E-2</v>
      </c>
      <c r="O17" s="14" cm="1">
        <f t="array" ref="O17">INDEX(Benchmarks!M$6:M$244,MATCH(SolverWork!$B17,MutualFunds!$B$6:$B$244,0),0)</f>
        <v>8.7324697401350501E-2</v>
      </c>
      <c r="P17" s="14" cm="1">
        <f t="array" ref="P17">INDEX(Benchmarks!N$6:N$244,MATCH(SolverWork!$B17,MutualFunds!$B$6:$B$244,0),0)</f>
        <v>4.603801121098542E-2</v>
      </c>
      <c r="Q17" s="14" cm="1">
        <f t="array" ref="Q17">INDEX(Benchmarks!O$6:O$244,MATCH(SolverWork!$B17,MutualFunds!$B$6:$B$244,0),0)</f>
        <v>0.12298689479074333</v>
      </c>
      <c r="R17" s="14" cm="1">
        <f t="array" ref="R17">INDEX(Benchmarks!P$6:P$244,MATCH(SolverWork!$B17,MutualFunds!$B$6:$B$244,0),0)</f>
        <v>2.9908291943468914E-2</v>
      </c>
      <c r="S17" s="14" cm="1">
        <f t="array" ref="S17">INDEX(Benchmarks!Q$6:Q$244,MATCH(SolverWork!$B17,MutualFunds!$B$6:$B$244,0),0)</f>
        <v>7.98053081091009E-2</v>
      </c>
      <c r="T17" s="14" cm="1">
        <f t="array" ref="T17">INDEX(Benchmarks!R$6:R$244,MATCH(SolverWork!$B17,MutualFunds!$B$6:$B$244,0),0)</f>
        <v>6.3319909801258321E-3</v>
      </c>
    </row>
    <row r="18" spans="1:20" x14ac:dyDescent="0.2">
      <c r="A18">
        <v>8</v>
      </c>
      <c r="B18" s="28">
        <f>IF(B17="","",IF(EOMONTH(B17,1)&lt;=EOMONTH(Front!$C$4,0),EOMONTH(B17,1),""))</f>
        <v>34607</v>
      </c>
      <c r="C18" s="14">
        <f>IF(B18="","",INDEX(MutualFunds!$C$6:$O$244,MATCH(B18,MutualFunds!$B$6:$B$244,0),MATCH(Front!$C$2,MutualFunds!$C$4:$O$4,0)))</f>
        <v>-1.8855656697009161E-2</v>
      </c>
      <c r="D18" s="14">
        <f t="shared" si="0"/>
        <v>1.9214890725268999E-2</v>
      </c>
      <c r="E18" s="14" cm="1">
        <f t="array" ref="E18">INDEX(Benchmarks!C$6:C$244,MATCH(SolverWork!$B18,MutualFunds!$B$6:$B$244,0),0)</f>
        <v>3.7000000000000002E-3</v>
      </c>
      <c r="F18" s="14" cm="1">
        <f t="array" ref="F18">INDEX(Benchmarks!D$6:D$244,MATCH(SolverWork!$B18,MutualFunds!$B$6:$B$244,0),0)</f>
        <v>-1.36291285316354E-2</v>
      </c>
      <c r="G18" s="14" cm="1">
        <f t="array" ref="G18">INDEX(Benchmarks!E$6:E$244,MATCH(SolverWork!$B18,MutualFunds!$B$6:$B$244,0),0)</f>
        <v>-3.8642789820923736E-2</v>
      </c>
      <c r="H18" s="14" cm="1">
        <f t="array" ref="H18">INDEX(Benchmarks!F$6:F$244,MATCH(SolverWork!$B18,MutualFunds!$B$6:$B$244,0),0)</f>
        <v>-1.6104927197507814E-2</v>
      </c>
      <c r="I18" s="14" cm="1">
        <f t="array" ref="I18">INDEX(Benchmarks!G$6:G$244,MATCH(SolverWork!$B18,MutualFunds!$B$6:$B$244,0),0)</f>
        <v>-1.3562784770438886E-2</v>
      </c>
      <c r="J18" s="14" cm="1">
        <f t="array" ref="J18">INDEX(Benchmarks!H$6:H$244,MATCH(SolverWork!$B18,MutualFunds!$B$6:$B$244,0),0)</f>
        <v>-2.7432368296155675E-2</v>
      </c>
      <c r="K18" s="14" cm="1">
        <f t="array" ref="K18">INDEX(Benchmarks!I$6:I$244,MATCH(SolverWork!$B18,MutualFunds!$B$6:$B$244,0),0)</f>
        <v>-9.4135663453743298E-3</v>
      </c>
      <c r="L18" s="14" cm="1">
        <f t="array" ref="L18">INDEX(Benchmarks!J$6:J$244,MATCH(SolverWork!$B18,MutualFunds!$B$6:$B$244,0),0)</f>
        <v>-1.6408668730650066E-2</v>
      </c>
      <c r="M18" s="14" cm="1">
        <f t="array" ref="M18">INDEX(Benchmarks!K$6:K$244,MATCH(SolverWork!$B18,MutualFunds!$B$6:$B$244,0),0)</f>
        <v>-3.8061082832022121E-2</v>
      </c>
      <c r="N18" s="14" cm="1">
        <f t="array" ref="N18">INDEX(Benchmarks!L$6:L$244,MATCH(SolverWork!$B18,MutualFunds!$B$6:$B$244,0),0)</f>
        <v>-1.3614663759061722E-2</v>
      </c>
      <c r="O18" s="14" cm="1">
        <f t="array" ref="O18">INDEX(Benchmarks!M$6:M$244,MATCH(SolverWork!$B18,MutualFunds!$B$6:$B$244,0),0)</f>
        <v>4.4730099448472343E-3</v>
      </c>
      <c r="P18" s="14" cm="1">
        <f t="array" ref="P18">INDEX(Benchmarks!N$6:N$244,MATCH(SolverWork!$B18,MutualFunds!$B$6:$B$244,0),0)</f>
        <v>-2.076925516060504E-2</v>
      </c>
      <c r="Q18" s="14" cm="1">
        <f t="array" ref="Q18">INDEX(Benchmarks!O$6:O$244,MATCH(SolverWork!$B18,MutualFunds!$B$6:$B$244,0),0)</f>
        <v>1.0484932504341023E-2</v>
      </c>
      <c r="R18" s="14" cm="1">
        <f t="array" ref="R18">INDEX(Benchmarks!P$6:P$244,MATCH(SolverWork!$B18,MutualFunds!$B$6:$B$244,0),0)</f>
        <v>-4.146176418309782E-2</v>
      </c>
      <c r="S18" s="14" cm="1">
        <f t="array" ref="S18">INDEX(Benchmarks!Q$6:Q$244,MATCH(SolverWork!$B18,MutualFunds!$B$6:$B$244,0),0)</f>
        <v>-1.7802647509080081E-2</v>
      </c>
      <c r="T18" s="14" cm="1">
        <f t="array" ref="T18">INDEX(Benchmarks!R$6:R$244,MATCH(SolverWork!$B18,MutualFunds!$B$6:$B$244,0),0)</f>
        <v>-2.5165152772233412E-2</v>
      </c>
    </row>
    <row r="19" spans="1:20" x14ac:dyDescent="0.2">
      <c r="A19">
        <v>9</v>
      </c>
      <c r="B19" s="28">
        <f>IF(B18="","",IF(EOMONTH(B18,1)&lt;=EOMONTH(Front!$C$4,0),EOMONTH(B18,1),""))</f>
        <v>34638</v>
      </c>
      <c r="C19" s="14">
        <f>IF(B19="","",INDEX(MutualFunds!$C$6:$O$244,MATCH(B19,MutualFunds!$B$6:$B$244,0),MATCH(Front!$C$2,MutualFunds!$C$4:$O$4,0)))</f>
        <v>1.3916500994035842E-2</v>
      </c>
      <c r="D19" s="14">
        <f t="shared" si="0"/>
        <v>-5.2317400613656508E-3</v>
      </c>
      <c r="E19" s="14" cm="1">
        <f t="array" ref="E19">INDEX(Benchmarks!C$6:C$244,MATCH(SolverWork!$B19,MutualFunds!$B$6:$B$244,0),0)</f>
        <v>3.8E-3</v>
      </c>
      <c r="F19" s="14" cm="1">
        <f t="array" ref="F19">INDEX(Benchmarks!D$6:D$244,MATCH(SolverWork!$B19,MutualFunds!$B$6:$B$244,0),0)</f>
        <v>-5.244578920827133E-3</v>
      </c>
      <c r="G19" s="14" cm="1">
        <f t="array" ref="G19">INDEX(Benchmarks!E$6:E$244,MATCH(SolverWork!$B19,MutualFunds!$B$6:$B$244,0),0)</f>
        <v>-1.078431372549014E-2</v>
      </c>
      <c r="H19" s="14" cm="1">
        <f t="array" ref="H19">INDEX(Benchmarks!F$6:F$244,MATCH(SolverWork!$B19,MutualFunds!$B$6:$B$244,0),0)</f>
        <v>-2.0546473526830574E-3</v>
      </c>
      <c r="I19" s="14" cm="1">
        <f t="array" ref="I19">INDEX(Benchmarks!G$6:G$244,MATCH(SolverWork!$B19,MutualFunds!$B$6:$B$244,0),0)</f>
        <v>-3.1271627406247952E-4</v>
      </c>
      <c r="J19" s="14" cm="1">
        <f t="array" ref="J19">INDEX(Benchmarks!H$6:H$244,MATCH(SolverWork!$B19,MutualFunds!$B$6:$B$244,0),0)</f>
        <v>-7.8079250439196885E-3</v>
      </c>
      <c r="K19" s="14" cm="1">
        <f t="array" ref="K19">INDEX(Benchmarks!I$6:I$244,MATCH(SolverWork!$B19,MutualFunds!$B$6:$B$244,0),0)</f>
        <v>4.5014322739053746E-3</v>
      </c>
      <c r="L19" s="14" cm="1">
        <f t="array" ref="L19">INDEX(Benchmarks!J$6:J$244,MATCH(SolverWork!$B19,MutualFunds!$B$6:$B$244,0),0)</f>
        <v>2.2213229012095857E-2</v>
      </c>
      <c r="M19" s="14" cm="1">
        <f t="array" ref="M19">INDEX(Benchmarks!K$6:K$244,MATCH(SolverWork!$B19,MutualFunds!$B$6:$B$244,0),0)</f>
        <v>1.9643215073160861E-2</v>
      </c>
      <c r="N19" s="14" cm="1">
        <f t="array" ref="N19">INDEX(Benchmarks!L$6:L$244,MATCH(SolverWork!$B19,MutualFunds!$B$6:$B$244,0),0)</f>
        <v>9.8191523263225118E-3</v>
      </c>
      <c r="O19" s="14" cm="1">
        <f t="array" ref="O19">INDEX(Benchmarks!M$6:M$244,MATCH(SolverWork!$B19,MutualFunds!$B$6:$B$244,0),0)</f>
        <v>2.1170197434788953E-2</v>
      </c>
      <c r="P19" s="14" cm="1">
        <f t="array" ref="P19">INDEX(Benchmarks!N$6:N$244,MATCH(SolverWork!$B19,MutualFunds!$B$6:$B$244,0),0)</f>
        <v>-2.8009843922025702E-2</v>
      </c>
      <c r="Q19" s="14" cm="1">
        <f t="array" ref="Q19">INDEX(Benchmarks!O$6:O$244,MATCH(SolverWork!$B19,MutualFunds!$B$6:$B$244,0),0)</f>
        <v>-1.9363019369948338E-2</v>
      </c>
      <c r="R19" s="14" cm="1">
        <f t="array" ref="R19">INDEX(Benchmarks!P$6:P$244,MATCH(SolverWork!$B19,MutualFunds!$B$6:$B$244,0),0)</f>
        <v>4.1615563544089761E-2</v>
      </c>
      <c r="S19" s="14" cm="1">
        <f t="array" ref="S19">INDEX(Benchmarks!Q$6:Q$244,MATCH(SolverWork!$B19,MutualFunds!$B$6:$B$244,0),0)</f>
        <v>1.8290866027428555E-2</v>
      </c>
      <c r="T19" s="14" cm="1">
        <f t="array" ref="T19">INDEX(Benchmarks!R$6:R$244,MATCH(SolverWork!$B19,MutualFunds!$B$6:$B$244,0),0)</f>
        <v>2.691581785632588E-2</v>
      </c>
    </row>
    <row r="20" spans="1:20" x14ac:dyDescent="0.2">
      <c r="A20">
        <v>10</v>
      </c>
      <c r="B20" s="28">
        <f>IF(B19="","",IF(EOMONTH(B19,1)&lt;=EOMONTH(Front!$C$4,0),EOMONTH(B19,1),""))</f>
        <v>34668</v>
      </c>
      <c r="C20" s="14">
        <f>IF(B20="","",INDEX(MutualFunds!$C$6:$O$244,MATCH(B20,MutualFunds!$B$6:$B$244,0),MATCH(Front!$C$2,MutualFunds!$C$4:$O$4,0)))</f>
        <v>-3.9215686274509776E-2</v>
      </c>
      <c r="D20" s="14">
        <f t="shared" si="0"/>
        <v>4.8657020215805286E-3</v>
      </c>
      <c r="E20" s="14" cm="1">
        <f t="array" ref="E20">INDEX(Benchmarks!C$6:C$244,MATCH(SolverWork!$B20,MutualFunds!$B$6:$B$244,0),0)</f>
        <v>3.7000000000000002E-3</v>
      </c>
      <c r="F20" s="14" cm="1">
        <f t="array" ref="F20">INDEX(Benchmarks!D$6:D$244,MATCH(SolverWork!$B20,MutualFunds!$B$6:$B$244,0),0)</f>
        <v>-8.6180675250937273E-3</v>
      </c>
      <c r="G20" s="14" cm="1">
        <f t="array" ref="G20">INDEX(Benchmarks!E$6:E$244,MATCH(SolverWork!$B20,MutualFunds!$B$6:$B$244,0),0)</f>
        <v>-4.1625371655104231E-3</v>
      </c>
      <c r="H20" s="14" cm="1">
        <f t="array" ref="H20">INDEX(Benchmarks!F$6:F$244,MATCH(SolverWork!$B20,MutualFunds!$B$6:$B$244,0),0)</f>
        <v>-7.0124444723554326E-4</v>
      </c>
      <c r="I20" s="14" cm="1">
        <f t="array" ref="I20">INDEX(Benchmarks!G$6:G$244,MATCH(SolverWork!$B20,MutualFunds!$B$6:$B$244,0),0)</f>
        <v>-2.7110554997162666E-3</v>
      </c>
      <c r="J20" s="14" cm="1">
        <f t="array" ref="J20">INDEX(Benchmarks!H$6:H$244,MATCH(SolverWork!$B20,MutualFunds!$B$6:$B$244,0),0)</f>
        <v>6.88569742278185E-3</v>
      </c>
      <c r="K20" s="14" cm="1">
        <f t="array" ref="K20">INDEX(Benchmarks!I$6:I$244,MATCH(SolverWork!$B20,MutualFunds!$B$6:$B$244,0),0)</f>
        <v>-3.2717725873619499E-2</v>
      </c>
      <c r="L20" s="14" cm="1">
        <f t="array" ref="L20">INDEX(Benchmarks!J$6:J$244,MATCH(SolverWork!$B20,MutualFunds!$B$6:$B$244,0),0)</f>
        <v>-3.4795231601636369E-2</v>
      </c>
      <c r="M20" s="14" cm="1">
        <f t="array" ref="M20">INDEX(Benchmarks!K$6:K$244,MATCH(SolverWork!$B20,MutualFunds!$B$6:$B$244,0),0)</f>
        <v>-4.4741497935915059E-2</v>
      </c>
      <c r="N20" s="14" cm="1">
        <f t="array" ref="N20">INDEX(Benchmarks!L$6:L$244,MATCH(SolverWork!$B20,MutualFunds!$B$6:$B$244,0),0)</f>
        <v>-4.6034594978402746E-2</v>
      </c>
      <c r="O20" s="14" cm="1">
        <f t="array" ref="O20">INDEX(Benchmarks!M$6:M$244,MATCH(SolverWork!$B20,MutualFunds!$B$6:$B$244,0),0)</f>
        <v>-3.9797344021225312E-2</v>
      </c>
      <c r="P20" s="14" cm="1">
        <f t="array" ref="P20">INDEX(Benchmarks!N$6:N$244,MATCH(SolverWork!$B20,MutualFunds!$B$6:$B$244,0),0)</f>
        <v>-3.9211113702235338E-2</v>
      </c>
      <c r="Q20" s="14" cm="1">
        <f t="array" ref="Q20">INDEX(Benchmarks!O$6:O$244,MATCH(SolverWork!$B20,MutualFunds!$B$6:$B$244,0),0)</f>
        <v>-5.3193030305171543E-2</v>
      </c>
      <c r="R20" s="14" cm="1">
        <f t="array" ref="R20">INDEX(Benchmarks!P$6:P$244,MATCH(SolverWork!$B20,MutualFunds!$B$6:$B$244,0),0)</f>
        <v>-4.0107503037382433E-2</v>
      </c>
      <c r="S20" s="14" cm="1">
        <f t="array" ref="S20">INDEX(Benchmarks!Q$6:Q$244,MATCH(SolverWork!$B20,MutualFunds!$B$6:$B$244,0),0)</f>
        <v>-9.6639380547573109E-2</v>
      </c>
      <c r="T20" s="14" cm="1">
        <f t="array" ref="T20">INDEX(Benchmarks!R$6:R$244,MATCH(SolverWork!$B20,MutualFunds!$B$6:$B$244,0),0)</f>
        <v>-5.0802109143261616E-2</v>
      </c>
    </row>
    <row r="21" spans="1:20" x14ac:dyDescent="0.2">
      <c r="A21">
        <v>11</v>
      </c>
      <c r="B21" s="28">
        <f>IF(B20="","",IF(EOMONTH(B20,1)&lt;=EOMONTH(Front!$C$4,0),EOMONTH(B20,1),""))</f>
        <v>34699</v>
      </c>
      <c r="C21" s="14">
        <f>IF(B21="","",INDEX(MutualFunds!$C$6:$O$244,MATCH(B21,MutualFunds!$B$6:$B$244,0),MATCH(Front!$C$2,MutualFunds!$C$4:$O$4,0)))</f>
        <v>-1.3605442176870821E-2</v>
      </c>
      <c r="D21" s="14">
        <f t="shared" si="0"/>
        <v>-2.3257693122321885E-2</v>
      </c>
      <c r="E21" s="14" cm="1">
        <f t="array" ref="E21">INDEX(Benchmarks!C$6:C$244,MATCH(SolverWork!$B21,MutualFunds!$B$6:$B$244,0),0)</f>
        <v>4.4000000000000003E-3</v>
      </c>
      <c r="F21" s="14" cm="1">
        <f t="array" ref="F21">INDEX(Benchmarks!D$6:D$244,MATCH(SolverWork!$B21,MutualFunds!$B$6:$B$244,0),0)</f>
        <v>-2.45448967068925E-3</v>
      </c>
      <c r="G21" s="14" cm="1">
        <f t="array" ref="G21">INDEX(Benchmarks!E$6:E$244,MATCH(SolverWork!$B21,MutualFunds!$B$6:$B$244,0),0)</f>
        <v>8.4593949044585413E-3</v>
      </c>
      <c r="H21" s="14" cm="1">
        <f t="array" ref="H21">INDEX(Benchmarks!F$6:F$244,MATCH(SolverWork!$B21,MutualFunds!$B$6:$B$244,0),0)</f>
        <v>8.8517555383322514E-3</v>
      </c>
      <c r="I21" s="14" cm="1">
        <f t="array" ref="I21">INDEX(Benchmarks!G$6:G$244,MATCH(SolverWork!$B21,MutualFunds!$B$6:$B$244,0),0)</f>
        <v>8.0147268033991127E-3</v>
      </c>
      <c r="J21" s="14" cm="1">
        <f t="array" ref="J21">INDEX(Benchmarks!H$6:H$244,MATCH(SolverWork!$B21,MutualFunds!$B$6:$B$244,0),0)</f>
        <v>2.5400547088707025E-3</v>
      </c>
      <c r="K21" s="14" cm="1">
        <f t="array" ref="K21">INDEX(Benchmarks!I$6:I$244,MATCH(SolverWork!$B21,MutualFunds!$B$6:$B$244,0),0)</f>
        <v>3.3857140183067173E-2</v>
      </c>
      <c r="L21" s="14" cm="1">
        <f t="array" ref="L21">INDEX(Benchmarks!J$6:J$244,MATCH(SolverWork!$B21,MutualFunds!$B$6:$B$244,0),0)</f>
        <v>1.4811776501686262E-2</v>
      </c>
      <c r="M21" s="14" cm="1">
        <f t="array" ref="M21">INDEX(Benchmarks!K$6:K$244,MATCH(SolverWork!$B21,MutualFunds!$B$6:$B$244,0),0)</f>
        <v>9.6719759641107714E-3</v>
      </c>
      <c r="N21" s="14" cm="1">
        <f t="array" ref="N21">INDEX(Benchmarks!L$6:L$244,MATCH(SolverWork!$B21,MutualFunds!$B$6:$B$244,0),0)</f>
        <v>1.8463001633345064E-2</v>
      </c>
      <c r="O21" s="14" cm="1">
        <f t="array" ref="O21">INDEX(Benchmarks!M$6:M$244,MATCH(SolverWork!$B21,MutualFunds!$B$6:$B$244,0),0)</f>
        <v>7.1429621246638158E-3</v>
      </c>
      <c r="P21" s="14" cm="1">
        <f t="array" ref="P21">INDEX(Benchmarks!N$6:N$244,MATCH(SolverWork!$B21,MutualFunds!$B$6:$B$244,0),0)</f>
        <v>2.6976421636615712E-2</v>
      </c>
      <c r="Q21" s="14" cm="1">
        <f t="array" ref="Q21">INDEX(Benchmarks!O$6:O$244,MATCH(SolverWork!$B21,MutualFunds!$B$6:$B$244,0),0)</f>
        <v>-8.100262129310902E-2</v>
      </c>
      <c r="R21" s="14" cm="1">
        <f t="array" ref="R21">INDEX(Benchmarks!P$6:P$244,MATCH(SolverWork!$B21,MutualFunds!$B$6:$B$244,0),0)</f>
        <v>3.7922726141301883E-3</v>
      </c>
      <c r="S21" s="14" cm="1">
        <f t="array" ref="S21">INDEX(Benchmarks!Q$6:Q$244,MATCH(SolverWork!$B21,MutualFunds!$B$6:$B$244,0),0)</f>
        <v>-2.6085487974706237E-2</v>
      </c>
      <c r="T21" s="14" cm="1">
        <f t="array" ref="T21">INDEX(Benchmarks!R$6:R$244,MATCH(SolverWork!$B21,MutualFunds!$B$6:$B$244,0),0)</f>
        <v>1.0975433331793072E-2</v>
      </c>
    </row>
    <row r="22" spans="1:20" x14ac:dyDescent="0.2">
      <c r="A22">
        <v>12</v>
      </c>
      <c r="B22" s="28">
        <f>IF(B21="","",IF(EOMONTH(B21,1)&lt;=EOMONTH(Front!$C$4,0),EOMONTH(B21,1),""))</f>
        <v>34730</v>
      </c>
      <c r="C22" s="14">
        <f>IF(B22="","",INDEX(MutualFunds!$C$6:$O$244,MATCH(B22,MutualFunds!$B$6:$B$244,0),MATCH(Front!$C$2,MutualFunds!$C$4:$O$4,0)))</f>
        <v>2.5517241379310412E-2</v>
      </c>
      <c r="D22" s="14">
        <f t="shared" si="0"/>
        <v>9.3888783014153473E-4</v>
      </c>
      <c r="E22" s="14" cm="1">
        <f t="array" ref="E22">INDEX(Benchmarks!C$6:C$244,MATCH(SolverWork!$B22,MutualFunds!$B$6:$B$244,0),0)</f>
        <v>4.1999999999999997E-3</v>
      </c>
      <c r="F22" s="14" cm="1">
        <f t="array" ref="F22">INDEX(Benchmarks!D$6:D$244,MATCH(SolverWork!$B22,MutualFunds!$B$6:$B$244,0),0)</f>
        <v>1.1277424646298896E-2</v>
      </c>
      <c r="G22" s="14" cm="1">
        <f t="array" ref="G22">INDEX(Benchmarks!E$6:E$244,MATCH(SolverWork!$B22,MutualFunds!$B$6:$B$244,0),0)</f>
        <v>1.9540116451199092E-2</v>
      </c>
      <c r="H22" s="14" cm="1">
        <f t="array" ref="H22">INDEX(Benchmarks!F$6:F$244,MATCH(SolverWork!$B22,MutualFunds!$B$6:$B$244,0),0)</f>
        <v>1.9319014383218223E-2</v>
      </c>
      <c r="I22" s="14" cm="1">
        <f t="array" ref="I22">INDEX(Benchmarks!G$6:G$244,MATCH(SolverWork!$B22,MutualFunds!$B$6:$B$244,0),0)</f>
        <v>2.1943472390843911E-2</v>
      </c>
      <c r="J22" s="14" cm="1">
        <f t="array" ref="J22">INDEX(Benchmarks!H$6:H$244,MATCH(SolverWork!$B22,MutualFunds!$B$6:$B$244,0),0)</f>
        <v>1.0621711167413792E-2</v>
      </c>
      <c r="K22" s="14" cm="1">
        <f t="array" ref="K22">INDEX(Benchmarks!I$6:I$244,MATCH(SolverWork!$B22,MutualFunds!$B$6:$B$244,0),0)</f>
        <v>-2.4849837276566509E-2</v>
      </c>
      <c r="L22" s="14" cm="1">
        <f t="array" ref="L22">INDEX(Benchmarks!J$6:J$244,MATCH(SolverWork!$B22,MutualFunds!$B$6:$B$244,0),0)</f>
        <v>2.3891857906318734E-2</v>
      </c>
      <c r="M22" s="14" cm="1">
        <f t="array" ref="M22">INDEX(Benchmarks!K$6:K$244,MATCH(SolverWork!$B22,MutualFunds!$B$6:$B$244,0),0)</f>
        <v>2.4661666394912813E-2</v>
      </c>
      <c r="N22" s="14" cm="1">
        <f t="array" ref="N22">INDEX(Benchmarks!L$6:L$244,MATCH(SolverWork!$B22,MutualFunds!$B$6:$B$244,0),0)</f>
        <v>8.5870889159560728E-3</v>
      </c>
      <c r="O22" s="14" cm="1">
        <f t="array" ref="O22">INDEX(Benchmarks!M$6:M$244,MATCH(SolverWork!$B22,MutualFunds!$B$6:$B$244,0),0)</f>
        <v>-9.6023349142649265E-3</v>
      </c>
      <c r="P22" s="14" cm="1">
        <f t="array" ref="P22">INDEX(Benchmarks!N$6:N$244,MATCH(SolverWork!$B22,MutualFunds!$B$6:$B$244,0),0)</f>
        <v>2.1946113849685234E-4</v>
      </c>
      <c r="Q22" s="14" cm="1">
        <f t="array" ref="Q22">INDEX(Benchmarks!O$6:O$244,MATCH(SolverWork!$B22,MutualFunds!$B$6:$B$244,0),0)</f>
        <v>-0.10707136737734946</v>
      </c>
      <c r="R22" s="14" cm="1">
        <f t="array" ref="R22">INDEX(Benchmarks!P$6:P$244,MATCH(SolverWork!$B22,MutualFunds!$B$6:$B$244,0),0)</f>
        <v>-9.7390283986113716E-3</v>
      </c>
      <c r="S22" s="14" cm="1">
        <f t="array" ref="S22">INDEX(Benchmarks!Q$6:Q$244,MATCH(SolverWork!$B22,MutualFunds!$B$6:$B$244,0),0)</f>
        <v>-0.10842726174401265</v>
      </c>
      <c r="T22" s="14" cm="1">
        <f t="array" ref="T22">INDEX(Benchmarks!R$6:R$244,MATCH(SolverWork!$B22,MutualFunds!$B$6:$B$244,0),0)</f>
        <v>-5.8821684241155262E-2</v>
      </c>
    </row>
    <row r="23" spans="1:20" x14ac:dyDescent="0.2">
      <c r="A23">
        <v>13</v>
      </c>
      <c r="B23" s="28">
        <f>IF(B22="","",IF(EOMONTH(B22,1)&lt;=EOMONTH(Front!$C$4,0),EOMONTH(B22,1),""))</f>
        <v>34758</v>
      </c>
      <c r="C23" s="14">
        <f>IF(B23="","",INDEX(MutualFunds!$C$6:$O$244,MATCH(B23,MutualFunds!$B$6:$B$244,0),MATCH(Front!$C$2,MutualFunds!$C$4:$O$4,0)))</f>
        <v>3.7659717552118388E-2</v>
      </c>
      <c r="D23" s="14">
        <f t="shared" si="0"/>
        <v>3.326932469138455E-3</v>
      </c>
      <c r="E23" s="14" cm="1">
        <f t="array" ref="E23">INDEX(Benchmarks!C$6:C$244,MATCH(SolverWork!$B23,MutualFunds!$B$6:$B$244,0),0)</f>
        <v>4.0000000000000001E-3</v>
      </c>
      <c r="F23" s="14" cm="1">
        <f t="array" ref="F23">INDEX(Benchmarks!D$6:D$244,MATCH(SolverWork!$B23,MutualFunds!$B$6:$B$244,0),0)</f>
        <v>1.4699918896999217E-2</v>
      </c>
      <c r="G23" s="14" cm="1">
        <f t="array" ref="G23">INDEX(Benchmarks!E$6:E$244,MATCH(SolverWork!$B23,MutualFunds!$B$6:$B$244,0),0)</f>
        <v>2.2359887716581185E-2</v>
      </c>
      <c r="H23" s="14" cm="1">
        <f t="array" ref="H23">INDEX(Benchmarks!F$6:F$244,MATCH(SolverWork!$B23,MutualFunds!$B$6:$B$244,0),0)</f>
        <v>2.3974077673858223E-2</v>
      </c>
      <c r="I23" s="14" cm="1">
        <f t="array" ref="I23">INDEX(Benchmarks!G$6:G$244,MATCH(SolverWork!$B23,MutualFunds!$B$6:$B$244,0),0)</f>
        <v>2.6157765217376838E-2</v>
      </c>
      <c r="J23" s="14" cm="1">
        <f t="array" ref="J23">INDEX(Benchmarks!H$6:H$244,MATCH(SolverWork!$B23,MutualFunds!$B$6:$B$244,0),0)</f>
        <v>1.7645357246167181E-2</v>
      </c>
      <c r="K23" s="14" cm="1">
        <f t="array" ref="K23">INDEX(Benchmarks!I$6:I$244,MATCH(SolverWork!$B23,MutualFunds!$B$6:$B$244,0),0)</f>
        <v>8.0766070823489432E-3</v>
      </c>
      <c r="L23" s="14" cm="1">
        <f t="array" ref="L23">INDEX(Benchmarks!J$6:J$244,MATCH(SolverWork!$B23,MutualFunds!$B$6:$B$244,0),0)</f>
        <v>3.7457783236106809E-2</v>
      </c>
      <c r="M23" s="14" cm="1">
        <f t="array" ref="M23">INDEX(Benchmarks!K$6:K$244,MATCH(SolverWork!$B23,MutualFunds!$B$6:$B$244,0),0)</f>
        <v>3.4530771372876662E-2</v>
      </c>
      <c r="N23" s="14" cm="1">
        <f t="array" ref="N23">INDEX(Benchmarks!L$6:L$244,MATCH(SolverWork!$B23,MutualFunds!$B$6:$B$244,0),0)</f>
        <v>4.7018094720528293E-2</v>
      </c>
      <c r="O23" s="14" cm="1">
        <f t="array" ref="O23">INDEX(Benchmarks!M$6:M$244,MATCH(SolverWork!$B23,MutualFunds!$B$6:$B$244,0),0)</f>
        <v>5.814313289227465E-2</v>
      </c>
      <c r="P23" s="14" cm="1">
        <f t="array" ref="P23">INDEX(Benchmarks!N$6:N$244,MATCH(SolverWork!$B23,MutualFunds!$B$6:$B$244,0),0)</f>
        <v>3.4363449172137947E-2</v>
      </c>
      <c r="Q23" s="14" cm="1">
        <f t="array" ref="Q23">INDEX(Benchmarks!O$6:O$244,MATCH(SolverWork!$B23,MutualFunds!$B$6:$B$244,0),0)</f>
        <v>-2.6668970550453832E-2</v>
      </c>
      <c r="R23" s="14" cm="1">
        <f t="array" ref="R23">INDEX(Benchmarks!P$6:P$244,MATCH(SolverWork!$B23,MutualFunds!$B$6:$B$244,0),0)</f>
        <v>2.0666357879713763E-2</v>
      </c>
      <c r="S23" s="14" cm="1">
        <f t="array" ref="S23">INDEX(Benchmarks!Q$6:Q$244,MATCH(SolverWork!$B23,MutualFunds!$B$6:$B$244,0),0)</f>
        <v>9.9699330108757714E-2</v>
      </c>
      <c r="T23" s="14" cm="1">
        <f t="array" ref="T23">INDEX(Benchmarks!R$6:R$244,MATCH(SolverWork!$B23,MutualFunds!$B$6:$B$244,0),0)</f>
        <v>-4.8840602665060164E-2</v>
      </c>
    </row>
    <row r="24" spans="1:20" x14ac:dyDescent="0.2">
      <c r="A24">
        <v>14</v>
      </c>
      <c r="B24" s="28">
        <f>IF(B23="","",IF(EOMONTH(B23,1)&lt;=EOMONTH(Front!$C$4,0),EOMONTH(B23,1),""))</f>
        <v>34789</v>
      </c>
      <c r="C24" s="14">
        <f>IF(B24="","",INDEX(MutualFunds!$C$6:$O$244,MATCH(B24,MutualFunds!$B$6:$B$244,0),MATCH(Front!$C$2,MutualFunds!$C$4:$O$4,0)))</f>
        <v>2.5275437459494409E-2</v>
      </c>
      <c r="D24" s="14">
        <f t="shared" si="0"/>
        <v>2.0364182432849182E-4</v>
      </c>
      <c r="E24" s="14" cm="1">
        <f t="array" ref="E24">INDEX(Benchmarks!C$6:C$244,MATCH(SolverWork!$B24,MutualFunds!$B$6:$B$244,0),0)</f>
        <v>4.5999999999999999E-3</v>
      </c>
      <c r="F24" s="14" cm="1">
        <f t="array" ref="F24">INDEX(Benchmarks!D$6:D$244,MATCH(SolverWork!$B24,MutualFunds!$B$6:$B$244,0),0)</f>
        <v>-1.9982016185429133E-4</v>
      </c>
      <c r="G24" s="14" cm="1">
        <f t="array" ref="G24">INDEX(Benchmarks!E$6:E$244,MATCH(SolverWork!$B24,MutualFunds!$B$6:$B$244,0),0)</f>
        <v>1.7989017231584711E-3</v>
      </c>
      <c r="H24" s="14" cm="1">
        <f t="array" ref="H24">INDEX(Benchmarks!F$6:F$244,MATCH(SolverWork!$B24,MutualFunds!$B$6:$B$244,0),0)</f>
        <v>1.1519535751483933E-2</v>
      </c>
      <c r="I24" s="14" cm="1">
        <f t="array" ref="I24">INDEX(Benchmarks!G$6:G$244,MATCH(SolverWork!$B24,MutualFunds!$B$6:$B$244,0),0)</f>
        <v>4.4103721575798624E-3</v>
      </c>
      <c r="J24" s="14" cm="1">
        <f t="array" ref="J24">INDEX(Benchmarks!H$6:H$244,MATCH(SolverWork!$B24,MutualFunds!$B$6:$B$244,0),0)</f>
        <v>3.6952814098919892E-3</v>
      </c>
      <c r="K24" s="14" cm="1">
        <f t="array" ref="K24">INDEX(Benchmarks!I$6:I$244,MATCH(SolverWork!$B24,MutualFunds!$B$6:$B$244,0),0)</f>
        <v>1.3620226819598727E-2</v>
      </c>
      <c r="L24" s="14" cm="1">
        <f t="array" ref="L24">INDEX(Benchmarks!J$6:J$244,MATCH(SolverWork!$B24,MutualFunds!$B$6:$B$244,0),0)</f>
        <v>2.917177525049679E-2</v>
      </c>
      <c r="M24" s="14" cm="1">
        <f t="array" ref="M24">INDEX(Benchmarks!K$6:K$244,MATCH(SolverWork!$B24,MutualFunds!$B$6:$B$244,0),0)</f>
        <v>2.5456642953278232E-2</v>
      </c>
      <c r="N24" s="14" cm="1">
        <f t="array" ref="N24">INDEX(Benchmarks!L$6:L$244,MATCH(SolverWork!$B24,MutualFunds!$B$6:$B$244,0),0)</f>
        <v>1.9050731463503657E-2</v>
      </c>
      <c r="O24" s="14" cm="1">
        <f t="array" ref="O24">INDEX(Benchmarks!M$6:M$244,MATCH(SolverWork!$B24,MutualFunds!$B$6:$B$244,0),0)</f>
        <v>2.8936265021653425E-2</v>
      </c>
      <c r="P24" s="14" cm="1">
        <f t="array" ref="P24">INDEX(Benchmarks!N$6:N$244,MATCH(SolverWork!$B24,MutualFunds!$B$6:$B$244,0),0)</f>
        <v>-2.9534143754590177E-3</v>
      </c>
      <c r="Q24" s="14" cm="1">
        <f t="array" ref="Q24">INDEX(Benchmarks!O$6:O$244,MATCH(SolverWork!$B24,MutualFunds!$B$6:$B$244,0),0)</f>
        <v>3.9616264158258783E-3</v>
      </c>
      <c r="R24" s="14" cm="1">
        <f t="array" ref="R24">INDEX(Benchmarks!P$6:P$244,MATCH(SolverWork!$B24,MutualFunds!$B$6:$B$244,0),0)</f>
        <v>4.430422372598701E-2</v>
      </c>
      <c r="S24" s="14" cm="1">
        <f t="array" ref="S24">INDEX(Benchmarks!Q$6:Q$244,MATCH(SolverWork!$B24,MutualFunds!$B$6:$B$244,0),0)</f>
        <v>1.8642976845597565E-3</v>
      </c>
      <c r="T24" s="14" cm="1">
        <f t="array" ref="T24">INDEX(Benchmarks!R$6:R$244,MATCH(SolverWork!$B24,MutualFunds!$B$6:$B$244,0),0)</f>
        <v>9.1375831692029841E-2</v>
      </c>
    </row>
    <row r="25" spans="1:20" x14ac:dyDescent="0.2">
      <c r="A25">
        <v>15</v>
      </c>
      <c r="B25" s="28">
        <f>IF(B24="","",IF(EOMONTH(B24,1)&lt;=EOMONTH(Front!$C$4,0),EOMONTH(B24,1),""))</f>
        <v>34819</v>
      </c>
      <c r="C25" s="14">
        <f>IF(B25="","",INDEX(MutualFunds!$C$6:$O$244,MATCH(B25,MutualFunds!$B$6:$B$244,0),MATCH(Front!$C$2,MutualFunds!$C$4:$O$4,0)))</f>
        <v>3.4766118836915341E-2</v>
      </c>
      <c r="D25" s="14">
        <f t="shared" si="0"/>
        <v>4.2553731097780684E-3</v>
      </c>
      <c r="E25" s="14" cm="1">
        <f t="array" ref="E25">INDEX(Benchmarks!C$6:C$244,MATCH(SolverWork!$B25,MutualFunds!$B$6:$B$244,0),0)</f>
        <v>4.4000000000000003E-3</v>
      </c>
      <c r="F25" s="14" cm="1">
        <f t="array" ref="F25">INDEX(Benchmarks!D$6:D$244,MATCH(SolverWork!$B25,MutualFunds!$B$6:$B$244,0),0)</f>
        <v>6.0957329869091572E-3</v>
      </c>
      <c r="G25" s="14" cm="1">
        <f t="array" ref="G25">INDEX(Benchmarks!E$6:E$244,MATCH(SolverWork!$B25,MutualFunds!$B$6:$B$244,0),0)</f>
        <v>1.1530101124657393E-2</v>
      </c>
      <c r="H25" s="14" cm="1">
        <f t="array" ref="H25">INDEX(Benchmarks!F$6:F$244,MATCH(SolverWork!$B25,MutualFunds!$B$6:$B$244,0),0)</f>
        <v>1.4962043524923094E-2</v>
      </c>
      <c r="I25" s="14" cm="1">
        <f t="array" ref="I25">INDEX(Benchmarks!G$6:G$244,MATCH(SolverWork!$B25,MutualFunds!$B$6:$B$244,0),0)</f>
        <v>1.4357944492515927E-2</v>
      </c>
      <c r="J25" s="14" cm="1">
        <f t="array" ref="J25">INDEX(Benchmarks!H$6:H$244,MATCH(SolverWork!$B25,MutualFunds!$B$6:$B$244,0),0)</f>
        <v>1.3121872934957052E-2</v>
      </c>
      <c r="K25" s="14" cm="1">
        <f t="array" ref="K25">INDEX(Benchmarks!I$6:I$244,MATCH(SolverWork!$B25,MutualFunds!$B$6:$B$244,0),0)</f>
        <v>3.0622118245622148E-2</v>
      </c>
      <c r="L25" s="14" cm="1">
        <f t="array" ref="L25">INDEX(Benchmarks!J$6:J$244,MATCH(SolverWork!$B25,MutualFunds!$B$6:$B$244,0),0)</f>
        <v>2.5140697531117792E-2</v>
      </c>
      <c r="M25" s="14" cm="1">
        <f t="array" ref="M25">INDEX(Benchmarks!K$6:K$244,MATCH(SolverWork!$B25,MutualFunds!$B$6:$B$244,0),0)</f>
        <v>3.0824614692316232E-2</v>
      </c>
      <c r="N25" s="14" cm="1">
        <f t="array" ref="N25">INDEX(Benchmarks!L$6:L$244,MATCH(SolverWork!$B25,MutualFunds!$B$6:$B$244,0),0)</f>
        <v>9.1869458592718431E-3</v>
      </c>
      <c r="O25" s="14" cm="1">
        <f t="array" ref="O25">INDEX(Benchmarks!M$6:M$244,MATCH(SolverWork!$B25,MutualFunds!$B$6:$B$244,0),0)</f>
        <v>1.9596432583129229E-2</v>
      </c>
      <c r="P25" s="14" cm="1">
        <f t="array" ref="P25">INDEX(Benchmarks!N$6:N$244,MATCH(SolverWork!$B25,MutualFunds!$B$6:$B$244,0),0)</f>
        <v>2.8967007069913665E-2</v>
      </c>
      <c r="Q25" s="14" cm="1">
        <f t="array" ref="Q25">INDEX(Benchmarks!O$6:O$244,MATCH(SolverWork!$B25,MutualFunds!$B$6:$B$244,0),0)</f>
        <v>4.3008075792863275E-2</v>
      </c>
      <c r="R25" s="14" cm="1">
        <f t="array" ref="R25">INDEX(Benchmarks!P$6:P$244,MATCH(SolverWork!$B25,MutualFunds!$B$6:$B$244,0),0)</f>
        <v>2.9973174622916859E-2</v>
      </c>
      <c r="S25" s="14" cm="1">
        <f t="array" ref="S25">INDEX(Benchmarks!Q$6:Q$244,MATCH(SolverWork!$B25,MutualFunds!$B$6:$B$244,0),0)</f>
        <v>-1.14977788710588E-2</v>
      </c>
      <c r="T25" s="14" cm="1">
        <f t="array" ref="T25">INDEX(Benchmarks!R$6:R$244,MATCH(SolverWork!$B25,MutualFunds!$B$6:$B$244,0),0)</f>
        <v>4.8197493960254086E-2</v>
      </c>
    </row>
    <row r="26" spans="1:20" x14ac:dyDescent="0.2">
      <c r="A26">
        <v>16</v>
      </c>
      <c r="B26" s="28">
        <f>IF(B25="","",IF(EOMONTH(B25,1)&lt;=EOMONTH(Front!$C$4,0),EOMONTH(B25,1),""))</f>
        <v>34850</v>
      </c>
      <c r="C26" s="14">
        <f>IF(B26="","",INDEX(MutualFunds!$C$6:$O$244,MATCH(B26,MutualFunds!$B$6:$B$244,0),MATCH(Front!$C$2,MutualFunds!$C$4:$O$4,0)))</f>
        <v>2.6878436163714187E-2</v>
      </c>
      <c r="D26" s="14">
        <f t="shared" si="0"/>
        <v>-1.274403135831554E-2</v>
      </c>
      <c r="E26" s="14" cm="1">
        <f t="array" ref="E26">INDEX(Benchmarks!C$6:C$244,MATCH(SolverWork!$B26,MutualFunds!$B$6:$B$244,0),0)</f>
        <v>5.4000000000000003E-3</v>
      </c>
      <c r="F26" s="14" cm="1">
        <f t="array" ref="F26">INDEX(Benchmarks!D$6:D$244,MATCH(SolverWork!$B26,MutualFunds!$B$6:$B$244,0),0)</f>
        <v>2.3837902264600627E-2</v>
      </c>
      <c r="G26" s="14" cm="1">
        <f t="array" ref="G26">INDEX(Benchmarks!E$6:E$244,MATCH(SolverWork!$B26,MutualFunds!$B$6:$B$244,0),0)</f>
        <v>7.082126506586936E-2</v>
      </c>
      <c r="H26" s="14" cm="1">
        <f t="array" ref="H26">INDEX(Benchmarks!F$6:F$244,MATCH(SolverWork!$B26,MutualFunds!$B$6:$B$244,0),0)</f>
        <v>4.7821579778524886E-2</v>
      </c>
      <c r="I26" s="14" cm="1">
        <f t="array" ref="I26">INDEX(Benchmarks!G$6:G$244,MATCH(SolverWork!$B26,MutualFunds!$B$6:$B$244,0),0)</f>
        <v>3.2378863739810526E-2</v>
      </c>
      <c r="J26" s="14" cm="1">
        <f t="array" ref="J26">INDEX(Benchmarks!H$6:H$244,MATCH(SolverWork!$B26,MutualFunds!$B$6:$B$244,0),0)</f>
        <v>5.4416697726425538E-2</v>
      </c>
      <c r="K26" s="14" cm="1">
        <f t="array" ref="K26">INDEX(Benchmarks!I$6:I$244,MATCH(SolverWork!$B26,MutualFunds!$B$6:$B$244,0),0)</f>
        <v>-8.4451418395953323E-3</v>
      </c>
      <c r="L26" s="14" cm="1">
        <f t="array" ref="L26">INDEX(Benchmarks!J$6:J$244,MATCH(SolverWork!$B26,MutualFunds!$B$6:$B$244,0),0)</f>
        <v>3.3820877579643346E-2</v>
      </c>
      <c r="M26" s="14" cm="1">
        <f t="array" ref="M26">INDEX(Benchmarks!K$6:K$244,MATCH(SolverWork!$B26,MutualFunds!$B$6:$B$244,0),0)</f>
        <v>3.9106551711593732E-2</v>
      </c>
      <c r="N26" s="14" cm="1">
        <f t="array" ref="N26">INDEX(Benchmarks!L$6:L$244,MATCH(SolverWork!$B26,MutualFunds!$B$6:$B$244,0),0)</f>
        <v>2.4805129259584613E-2</v>
      </c>
      <c r="O26" s="14" cm="1">
        <f t="array" ref="O26">INDEX(Benchmarks!M$6:M$244,MATCH(SolverWork!$B26,MutualFunds!$B$6:$B$244,0),0)</f>
        <v>2.2166474203267957E-2</v>
      </c>
      <c r="P26" s="14" cm="1">
        <f t="array" ref="P26">INDEX(Benchmarks!N$6:N$244,MATCH(SolverWork!$B26,MutualFunds!$B$6:$B$244,0),0)</f>
        <v>1.9308458186213677E-2</v>
      </c>
      <c r="Q26" s="14" cm="1">
        <f t="array" ref="Q26">INDEX(Benchmarks!O$6:O$244,MATCH(SolverWork!$B26,MutualFunds!$B$6:$B$244,0),0)</f>
        <v>5.0561246341637507E-2</v>
      </c>
      <c r="R26" s="14" cm="1">
        <f t="array" ref="R26">INDEX(Benchmarks!P$6:P$244,MATCH(SolverWork!$B26,MutualFunds!$B$6:$B$244,0),0)</f>
        <v>1.8533951330487866E-2</v>
      </c>
      <c r="S26" s="14" cm="1">
        <f t="array" ref="S26">INDEX(Benchmarks!Q$6:Q$244,MATCH(SolverWork!$B26,MutualFunds!$B$6:$B$244,0),0)</f>
        <v>0.12019135057908736</v>
      </c>
      <c r="T26" s="14" cm="1">
        <f t="array" ref="T26">INDEX(Benchmarks!R$6:R$244,MATCH(SolverWork!$B26,MutualFunds!$B$6:$B$244,0),0)</f>
        <v>-6.2593110650531164E-2</v>
      </c>
    </row>
    <row r="27" spans="1:20" x14ac:dyDescent="0.2">
      <c r="A27">
        <v>17</v>
      </c>
      <c r="B27" s="28">
        <f>IF(B26="","",IF(EOMONTH(B26,1)&lt;=EOMONTH(Front!$C$4,0),EOMONTH(B26,1),""))</f>
        <v>34880</v>
      </c>
      <c r="C27" s="14">
        <f>IF(B27="","",INDEX(MutualFunds!$C$6:$O$244,MATCH(B27,MutualFunds!$B$6:$B$244,0),MATCH(Front!$C$2,MutualFunds!$C$4:$O$4,0)))</f>
        <v>4.1641879833432642E-3</v>
      </c>
      <c r="D27" s="14">
        <f t="shared" si="0"/>
        <v>-1.5818424269133822E-3</v>
      </c>
      <c r="E27" s="14" cm="1">
        <f t="array" ref="E27">INDEX(Benchmarks!C$6:C$244,MATCH(SolverWork!$B27,MutualFunds!$B$6:$B$244,0),0)</f>
        <v>4.6999999999999993E-3</v>
      </c>
      <c r="F27" s="14" cm="1">
        <f t="array" ref="F27">INDEX(Benchmarks!D$6:D$244,MATCH(SolverWork!$B27,MutualFunds!$B$6:$B$244,0),0)</f>
        <v>7.7609623593323919E-4</v>
      </c>
      <c r="G27" s="14" cm="1">
        <f t="array" ref="G27">INDEX(Benchmarks!E$6:E$244,MATCH(SolverWork!$B27,MutualFunds!$B$6:$B$244,0),0)</f>
        <v>6.0204170665735775E-3</v>
      </c>
      <c r="H27" s="14" cm="1">
        <f t="array" ref="H27">INDEX(Benchmarks!F$6:F$244,MATCH(SolverWork!$B27,MutualFunds!$B$6:$B$244,0),0)</f>
        <v>9.0334988396067756E-3</v>
      </c>
      <c r="I27" s="14" cm="1">
        <f t="array" ref="I27">INDEX(Benchmarks!G$6:G$244,MATCH(SolverWork!$B27,MutualFunds!$B$6:$B$244,0),0)</f>
        <v>5.5188403652301357E-3</v>
      </c>
      <c r="J27" s="14" cm="1">
        <f t="array" ref="J27">INDEX(Benchmarks!H$6:H$244,MATCH(SolverWork!$B27,MutualFunds!$B$6:$B$244,0),0)</f>
        <v>-4.2417815482501744E-3</v>
      </c>
      <c r="K27" s="14" cm="1">
        <f t="array" ref="K27">INDEX(Benchmarks!I$6:I$244,MATCH(SolverWork!$B27,MutualFunds!$B$6:$B$244,0),0)</f>
        <v>-1.7843172119487855E-2</v>
      </c>
      <c r="L27" s="14" cm="1">
        <f t="array" ref="L27">INDEX(Benchmarks!J$6:J$244,MATCH(SolverWork!$B27,MutualFunds!$B$6:$B$244,0),0)</f>
        <v>3.6202953602852722E-2</v>
      </c>
      <c r="M27" s="14" cm="1">
        <f t="array" ref="M27">INDEX(Benchmarks!K$6:K$244,MATCH(SolverWork!$B27,MutualFunds!$B$6:$B$244,0),0)</f>
        <v>5.7414927881250643E-3</v>
      </c>
      <c r="N27" s="14" cm="1">
        <f t="array" ref="N27">INDEX(Benchmarks!L$6:L$244,MATCH(SolverWork!$B27,MutualFunds!$B$6:$B$244,0),0)</f>
        <v>3.5385962352254448E-2</v>
      </c>
      <c r="O27" s="14" cm="1">
        <f t="array" ref="O27">INDEX(Benchmarks!M$6:M$244,MATCH(SolverWork!$B27,MutualFunds!$B$6:$B$244,0),0)</f>
        <v>6.0031944318196598E-2</v>
      </c>
      <c r="P27" s="14" cm="1">
        <f t="array" ref="P27">INDEX(Benchmarks!N$6:N$244,MATCH(SolverWork!$B27,MutualFunds!$B$6:$B$244,0),0)</f>
        <v>2.4996879290974883E-2</v>
      </c>
      <c r="Q27" s="14" cm="1">
        <f t="array" ref="Q27">INDEX(Benchmarks!O$6:O$244,MATCH(SolverWork!$B27,MutualFunds!$B$6:$B$244,0),0)</f>
        <v>9.1091698976976615E-4</v>
      </c>
      <c r="R27" s="14" cm="1">
        <f t="array" ref="R27">INDEX(Benchmarks!P$6:P$244,MATCH(SolverWork!$B27,MutualFunds!$B$6:$B$244,0),0)</f>
        <v>7.4809609470711984E-3</v>
      </c>
      <c r="S27" s="14" cm="1">
        <f t="array" ref="S27">INDEX(Benchmarks!Q$6:Q$244,MATCH(SolverWork!$B27,MutualFunds!$B$6:$B$244,0),0)</f>
        <v>-1.6313580363069992E-2</v>
      </c>
      <c r="T27" s="14" cm="1">
        <f t="array" ref="T27">INDEX(Benchmarks!R$6:R$244,MATCH(SolverWork!$B27,MutualFunds!$B$6:$B$244,0),0)</f>
        <v>-4.8393747201236702E-2</v>
      </c>
    </row>
    <row r="28" spans="1:20" x14ac:dyDescent="0.2">
      <c r="A28">
        <v>18</v>
      </c>
      <c r="B28" s="28">
        <f>IF(B27="","",IF(EOMONTH(B27,1)&lt;=EOMONTH(Front!$C$4,0),EOMONTH(B27,1),""))</f>
        <v>34911</v>
      </c>
      <c r="C28" s="14">
        <f>IF(B28="","",INDEX(MutualFunds!$C$6:$O$244,MATCH(B28,MutualFunds!$B$6:$B$244,0),MATCH(Front!$C$2,MutualFunds!$C$4:$O$4,0)))</f>
        <v>4.2061611374407414E-2</v>
      </c>
      <c r="D28" s="14">
        <f t="shared" si="0"/>
        <v>1.0479725143461197E-2</v>
      </c>
      <c r="E28" s="14" cm="1">
        <f t="array" ref="E28">INDEX(Benchmarks!C$6:C$244,MATCH(SolverWork!$B28,MutualFunds!$B$6:$B$244,0),0)</f>
        <v>4.5000000000000005E-3</v>
      </c>
      <c r="F28" s="14" cm="1">
        <f t="array" ref="F28">INDEX(Benchmarks!D$6:D$244,MATCH(SolverWork!$B28,MutualFunds!$B$6:$B$244,0),0)</f>
        <v>-5.4284606436602175E-3</v>
      </c>
      <c r="G28" s="14" cm="1">
        <f t="array" ref="G28">INDEX(Benchmarks!E$6:E$244,MATCH(SolverWork!$B28,MutualFunds!$B$6:$B$244,0),0)</f>
        <v>-2.2549869904596655E-2</v>
      </c>
      <c r="H28" s="14" cm="1">
        <f t="array" ref="H28">INDEX(Benchmarks!F$6:F$244,MATCH(SolverWork!$B28,MutualFunds!$B$6:$B$244,0),0)</f>
        <v>-4.8971737508345034E-3</v>
      </c>
      <c r="I28" s="14" cm="1">
        <f t="array" ref="I28">INDEX(Benchmarks!G$6:G$244,MATCH(SolverWork!$B28,MutualFunds!$B$6:$B$244,0),0)</f>
        <v>1.7952770874502854E-3</v>
      </c>
      <c r="J28" s="14" cm="1">
        <f t="array" ref="J28">INDEX(Benchmarks!H$6:H$244,MATCH(SolverWork!$B28,MutualFunds!$B$6:$B$244,0),0)</f>
        <v>-1.1093361732339367E-2</v>
      </c>
      <c r="K28" s="14" cm="1">
        <f t="array" ref="K28">INDEX(Benchmarks!I$6:I$244,MATCH(SolverWork!$B28,MutualFunds!$B$6:$B$244,0),0)</f>
        <v>2.6114978320494517E-2</v>
      </c>
      <c r="L28" s="14" cm="1">
        <f t="array" ref="L28">INDEX(Benchmarks!J$6:J$244,MATCH(SolverWork!$B28,MutualFunds!$B$6:$B$244,0),0)</f>
        <v>3.1047768675419939E-2</v>
      </c>
      <c r="M28" s="14" cm="1">
        <f t="array" ref="M28">INDEX(Benchmarks!K$6:K$244,MATCH(SolverWork!$B28,MutualFunds!$B$6:$B$244,0),0)</f>
        <v>3.2477025898078472E-2</v>
      </c>
      <c r="N28" s="14" cm="1">
        <f t="array" ref="N28">INDEX(Benchmarks!L$6:L$244,MATCH(SolverWork!$B28,MutualFunds!$B$6:$B$244,0),0)</f>
        <v>5.7201747586498534E-2</v>
      </c>
      <c r="O28" s="14" cm="1">
        <f t="array" ref="O28">INDEX(Benchmarks!M$6:M$244,MATCH(SolverWork!$B28,MutualFunds!$B$6:$B$244,0),0)</f>
        <v>7.6048608388867012E-2</v>
      </c>
      <c r="P28" s="14" cm="1">
        <f t="array" ref="P28">INDEX(Benchmarks!N$6:N$244,MATCH(SolverWork!$B28,MutualFunds!$B$6:$B$244,0),0)</f>
        <v>3.9184046277972312E-2</v>
      </c>
      <c r="Q28" s="14" cm="1">
        <f t="array" ref="Q28">INDEX(Benchmarks!O$6:O$244,MATCH(SolverWork!$B28,MutualFunds!$B$6:$B$244,0),0)</f>
        <v>2.099142311029456E-2</v>
      </c>
      <c r="R28" s="14" cm="1">
        <f t="array" ref="R28">INDEX(Benchmarks!P$6:P$244,MATCH(SolverWork!$B28,MutualFunds!$B$6:$B$244,0),0)</f>
        <v>5.0161845209730535E-2</v>
      </c>
      <c r="S28" s="14" cm="1">
        <f t="array" ref="S28">INDEX(Benchmarks!Q$6:Q$244,MATCH(SolverWork!$B28,MutualFunds!$B$6:$B$244,0),0)</f>
        <v>1.4184981295698007E-2</v>
      </c>
      <c r="T28" s="14" cm="1">
        <f t="array" ref="T28">INDEX(Benchmarks!R$6:R$244,MATCH(SolverWork!$B28,MutualFunds!$B$6:$B$244,0),0)</f>
        <v>7.8973211234544788E-2</v>
      </c>
    </row>
    <row r="29" spans="1:20" x14ac:dyDescent="0.2">
      <c r="A29">
        <v>19</v>
      </c>
      <c r="B29" s="28">
        <f>IF(B28="","",IF(EOMONTH(B28,1)&lt;=EOMONTH(Front!$C$4,0),EOMONTH(B28,1),""))</f>
        <v>34942</v>
      </c>
      <c r="C29" s="14">
        <f>IF(B29="","",INDEX(MutualFunds!$C$6:$O$244,MATCH(B29,MutualFunds!$B$6:$B$244,0),MATCH(Front!$C$2,MutualFunds!$C$4:$O$4,0)))</f>
        <v>1.4781125639568026E-2</v>
      </c>
      <c r="D29" s="14">
        <f t="shared" si="0"/>
        <v>1.0214143554010478E-2</v>
      </c>
      <c r="E29" s="14" cm="1">
        <f t="array" ref="E29">INDEX(Benchmarks!C$6:C$244,MATCH(SolverWork!$B29,MutualFunds!$B$6:$B$244,0),0)</f>
        <v>4.6999999999999993E-3</v>
      </c>
      <c r="F29" s="14" cm="1">
        <f t="array" ref="F29">INDEX(Benchmarks!D$6:D$244,MATCH(SolverWork!$B29,MutualFunds!$B$6:$B$244,0),0)</f>
        <v>4.1910331384014867E-3</v>
      </c>
      <c r="G29" s="14" cm="1">
        <f t="array" ref="G29">INDEX(Benchmarks!E$6:E$244,MATCH(SolverWork!$B29,MutualFunds!$B$6:$B$244,0),0)</f>
        <v>1.1623779946761333E-2</v>
      </c>
      <c r="H29" s="14" cm="1">
        <f t="array" ref="H29">INDEX(Benchmarks!F$6:F$244,MATCH(SolverWork!$B29,MutualFunds!$B$6:$B$244,0),0)</f>
        <v>1.4826966108852205E-2</v>
      </c>
      <c r="I29" s="14" cm="1">
        <f t="array" ref="I29">INDEX(Benchmarks!G$6:G$244,MATCH(SolverWork!$B29,MutualFunds!$B$6:$B$244,0),0)</f>
        <v>1.0651354833970532E-2</v>
      </c>
      <c r="J29" s="14" cm="1">
        <f t="array" ref="J29">INDEX(Benchmarks!H$6:H$244,MATCH(SolverWork!$B29,MutualFunds!$B$6:$B$244,0),0)</f>
        <v>6.7306829399623076E-3</v>
      </c>
      <c r="K29" s="14" cm="1">
        <f t="array" ref="K29">INDEX(Benchmarks!I$6:I$244,MATCH(SolverWork!$B29,MutualFunds!$B$6:$B$244,0),0)</f>
        <v>2.1198327422855205E-2</v>
      </c>
      <c r="L29" s="14" cm="1">
        <f t="array" ref="L29">INDEX(Benchmarks!J$6:J$244,MATCH(SolverWork!$B29,MutualFunds!$B$6:$B$244,0),0)</f>
        <v>-4.897870333417864E-3</v>
      </c>
      <c r="M29" s="14" cm="1">
        <f t="array" ref="M29">INDEX(Benchmarks!K$6:K$244,MATCH(SolverWork!$B29,MutualFunds!$B$6:$B$244,0),0)</f>
        <v>4.4502882573075522E-3</v>
      </c>
      <c r="N29" s="14" cm="1">
        <f t="array" ref="N29">INDEX(Benchmarks!L$6:L$244,MATCH(SolverWork!$B29,MutualFunds!$B$6:$B$244,0),0)</f>
        <v>1.0914665644631741E-2</v>
      </c>
      <c r="O29" s="14" cm="1">
        <f t="array" ref="O29">INDEX(Benchmarks!M$6:M$244,MATCH(SolverWork!$B29,MutualFunds!$B$6:$B$244,0),0)</f>
        <v>3.1010928961748646E-2</v>
      </c>
      <c r="P29" s="14" cm="1">
        <f t="array" ref="P29">INDEX(Benchmarks!N$6:N$244,MATCH(SolverWork!$B29,MutualFunds!$B$6:$B$244,0),0)</f>
        <v>2.9825383804054865E-2</v>
      </c>
      <c r="Q29" s="14" cm="1">
        <f t="array" ref="Q29">INDEX(Benchmarks!O$6:O$244,MATCH(SolverWork!$B29,MutualFunds!$B$6:$B$244,0),0)</f>
        <v>-2.4927380848490922E-2</v>
      </c>
      <c r="R29" s="14" cm="1">
        <f t="array" ref="R29">INDEX(Benchmarks!P$6:P$244,MATCH(SolverWork!$B29,MutualFunds!$B$6:$B$244,0),0)</f>
        <v>-4.0457141908502484E-2</v>
      </c>
      <c r="S29" s="14" cm="1">
        <f t="array" ref="S29">INDEX(Benchmarks!Q$6:Q$244,MATCH(SolverWork!$B29,MutualFunds!$B$6:$B$244,0),0)</f>
        <v>-4.9119387618770681E-2</v>
      </c>
      <c r="T29" s="14" cm="1">
        <f t="array" ref="T29">INDEX(Benchmarks!R$6:R$244,MATCH(SolverWork!$B29,MutualFunds!$B$6:$B$244,0),0)</f>
        <v>-4.0714868926957089E-2</v>
      </c>
    </row>
    <row r="30" spans="1:20" x14ac:dyDescent="0.2">
      <c r="A30">
        <v>20</v>
      </c>
      <c r="B30" s="28">
        <f>IF(B29="","",IF(EOMONTH(B29,1)&lt;=EOMONTH(Front!$C$4,0),EOMONTH(B29,1),""))</f>
        <v>34972</v>
      </c>
      <c r="C30" s="14">
        <f>IF(B30="","",INDEX(MutualFunds!$C$6:$O$244,MATCH(B30,MutualFunds!$B$6:$B$244,0),MATCH(Front!$C$2,MutualFunds!$C$4:$O$4,0)))</f>
        <v>2.9691876750700341E-2</v>
      </c>
      <c r="D30" s="14">
        <f t="shared" si="0"/>
        <v>-2.6782967630791313E-3</v>
      </c>
      <c r="E30" s="14" cm="1">
        <f t="array" ref="E30">INDEX(Benchmarks!C$6:C$244,MATCH(SolverWork!$B30,MutualFunds!$B$6:$B$244,0),0)</f>
        <v>4.3E-3</v>
      </c>
      <c r="F30" s="14" cm="1">
        <f t="array" ref="F30">INDEX(Benchmarks!D$6:D$244,MATCH(SolverWork!$B30,MutualFunds!$B$6:$B$244,0),0)</f>
        <v>1.6500048529554663E-3</v>
      </c>
      <c r="G30" s="14" cm="1">
        <f t="array" ref="G30">INDEX(Benchmarks!E$6:E$244,MATCH(SolverWork!$B30,MutualFunds!$B$6:$B$244,0),0)</f>
        <v>1.2893605824050511E-2</v>
      </c>
      <c r="H30" s="14" cm="1">
        <f t="array" ref="H30">INDEX(Benchmarks!F$6:F$244,MATCH(SolverWork!$B30,MutualFunds!$B$6:$B$244,0),0)</f>
        <v>1.1298351135538743E-2</v>
      </c>
      <c r="I30" s="14" cm="1">
        <f t="array" ref="I30">INDEX(Benchmarks!G$6:G$244,MATCH(SolverWork!$B30,MutualFunds!$B$6:$B$244,0),0)</f>
        <v>9.0839160627379598E-3</v>
      </c>
      <c r="J30" s="14" cm="1">
        <f t="array" ref="J30">INDEX(Benchmarks!H$6:H$244,MATCH(SolverWork!$B30,MutualFunds!$B$6:$B$244,0),0)</f>
        <v>1.0518809056872816E-2</v>
      </c>
      <c r="K30" s="14" cm="1">
        <f t="array" ref="K30">INDEX(Benchmarks!I$6:I$244,MATCH(SolverWork!$B30,MutualFunds!$B$6:$B$244,0),0)</f>
        <v>4.2242205924273909E-3</v>
      </c>
      <c r="L30" s="14" cm="1">
        <f t="array" ref="L30">INDEX(Benchmarks!J$6:J$244,MATCH(SolverWork!$B30,MutualFunds!$B$6:$B$244,0),0)</f>
        <v>4.7287443488405898E-2</v>
      </c>
      <c r="M30" s="14" cm="1">
        <f t="array" ref="M30">INDEX(Benchmarks!K$6:K$244,MATCH(SolverWork!$B30,MutualFunds!$B$6:$B$244,0),0)</f>
        <v>3.2692243144362802E-2</v>
      </c>
      <c r="N30" s="14" cm="1">
        <f t="array" ref="N30">INDEX(Benchmarks!L$6:L$244,MATCH(SolverWork!$B30,MutualFunds!$B$6:$B$244,0),0)</f>
        <v>2.7956351168694223E-2</v>
      </c>
      <c r="O30" s="14" cm="1">
        <f t="array" ref="O30">INDEX(Benchmarks!M$6:M$244,MATCH(SolverWork!$B30,MutualFunds!$B$6:$B$244,0),0)</f>
        <v>2.8510224813391691E-2</v>
      </c>
      <c r="P30" s="14" cm="1">
        <f t="array" ref="P30">INDEX(Benchmarks!N$6:N$244,MATCH(SolverWork!$B30,MutualFunds!$B$6:$B$244,0),0)</f>
        <v>1.84495021337127E-2</v>
      </c>
      <c r="Q30" s="14" cm="1">
        <f t="array" ref="Q30">INDEX(Benchmarks!O$6:O$244,MATCH(SolverWork!$B30,MutualFunds!$B$6:$B$244,0),0)</f>
        <v>-6.1263933549408562E-3</v>
      </c>
      <c r="R30" s="14" cm="1">
        <f t="array" ref="R30">INDEX(Benchmarks!P$6:P$244,MATCH(SolverWork!$B30,MutualFunds!$B$6:$B$244,0),0)</f>
        <v>2.8283075858389926E-2</v>
      </c>
      <c r="S30" s="14" cm="1">
        <f t="array" ref="S30">INDEX(Benchmarks!Q$6:Q$244,MATCH(SolverWork!$B30,MutualFunds!$B$6:$B$244,0),0)</f>
        <v>1.6017720326305322E-2</v>
      </c>
      <c r="T30" s="14" cm="1">
        <f t="array" ref="T30">INDEX(Benchmarks!R$6:R$244,MATCH(SolverWork!$B30,MutualFunds!$B$6:$B$244,0),0)</f>
        <v>7.9504069512665587E-3</v>
      </c>
    </row>
    <row r="31" spans="1:20" x14ac:dyDescent="0.2">
      <c r="A31">
        <v>21</v>
      </c>
      <c r="B31" s="28">
        <f>IF(B30="","",IF(EOMONTH(B30,1)&lt;=EOMONTH(Front!$C$4,0),EOMONTH(B30,1),""))</f>
        <v>35003</v>
      </c>
      <c r="C31" s="14">
        <f>IF(B31="","",INDEX(MutualFunds!$C$6:$O$244,MATCH(B31,MutualFunds!$B$6:$B$244,0),MATCH(Front!$C$2,MutualFunds!$C$4:$O$4,0)))</f>
        <v>-3.2644178454842292E-2</v>
      </c>
      <c r="D31" s="14">
        <f t="shared" si="0"/>
        <v>-1.5771011223055353E-2</v>
      </c>
      <c r="E31" s="14" cm="1">
        <f t="array" ref="E31">INDEX(Benchmarks!C$6:C$244,MATCH(SolverWork!$B31,MutualFunds!$B$6:$B$244,0),0)</f>
        <v>4.6999999999999993E-3</v>
      </c>
      <c r="F31" s="14" cm="1">
        <f t="array" ref="F31">INDEX(Benchmarks!D$6:D$244,MATCH(SolverWork!$B31,MutualFunds!$B$6:$B$244,0),0)</f>
        <v>4.7480620155038265E-3</v>
      </c>
      <c r="G31" s="14" cm="1">
        <f t="array" ref="G31">INDEX(Benchmarks!E$6:E$244,MATCH(SolverWork!$B31,MutualFunds!$B$6:$B$244,0),0)</f>
        <v>2.2168340838240406E-2</v>
      </c>
      <c r="H31" s="14" cm="1">
        <f t="array" ref="H31">INDEX(Benchmarks!F$6:F$244,MATCH(SolverWork!$B31,MutualFunds!$B$6:$B$244,0),0)</f>
        <v>1.5453319592491662E-2</v>
      </c>
      <c r="I31" s="14" cm="1">
        <f t="array" ref="I31">INDEX(Benchmarks!G$6:G$244,MATCH(SolverWork!$B31,MutualFunds!$B$6:$B$244,0),0)</f>
        <v>9.0291522921020634E-3</v>
      </c>
      <c r="J31" s="14" cm="1">
        <f t="array" ref="J31">INDEX(Benchmarks!H$6:H$244,MATCH(SolverWork!$B31,MutualFunds!$B$6:$B$244,0),0)</f>
        <v>1.676076217360626E-2</v>
      </c>
      <c r="K31" s="14" cm="1">
        <f t="array" ref="K31">INDEX(Benchmarks!I$6:I$244,MATCH(SolverWork!$B31,MutualFunds!$B$6:$B$244,0),0)</f>
        <v>1.0064516129032298E-2</v>
      </c>
      <c r="L31" s="14" cm="1">
        <f t="array" ref="L31">INDEX(Benchmarks!J$6:J$244,MATCH(SolverWork!$B31,MutualFunds!$B$6:$B$244,0),0)</f>
        <v>7.1366405570061318E-3</v>
      </c>
      <c r="M31" s="14" cm="1">
        <f t="array" ref="M31">INDEX(Benchmarks!K$6:K$244,MATCH(SolverWork!$B31,MutualFunds!$B$6:$B$244,0),0)</f>
        <v>-1.7518770110832992E-2</v>
      </c>
      <c r="N31" s="14" cm="1">
        <f t="array" ref="N31">INDEX(Benchmarks!L$6:L$244,MATCH(SolverWork!$B31,MutualFunds!$B$6:$B$244,0),0)</f>
        <v>-2.2818382989641155E-2</v>
      </c>
      <c r="O31" s="14" cm="1">
        <f t="array" ref="O31">INDEX(Benchmarks!M$6:M$244,MATCH(SolverWork!$B31,MutualFunds!$B$6:$B$244,0),0)</f>
        <v>-6.4908852768771647E-2</v>
      </c>
      <c r="P31" s="14" cm="1">
        <f t="array" ref="P31">INDEX(Benchmarks!N$6:N$244,MATCH(SolverWork!$B31,MutualFunds!$B$6:$B$244,0),0)</f>
        <v>-3.4219310864980375E-2</v>
      </c>
      <c r="Q31" s="14" cm="1">
        <f t="array" ref="Q31">INDEX(Benchmarks!O$6:O$244,MATCH(SolverWork!$B31,MutualFunds!$B$6:$B$244,0),0)</f>
        <v>-3.9236201935652651E-2</v>
      </c>
      <c r="R31" s="14" cm="1">
        <f t="array" ref="R31">INDEX(Benchmarks!P$6:P$244,MATCH(SolverWork!$B31,MutualFunds!$B$6:$B$244,0),0)</f>
        <v>-6.6025249154528336E-3</v>
      </c>
      <c r="S31" s="14" cm="1">
        <f t="array" ref="S31">INDEX(Benchmarks!Q$6:Q$244,MATCH(SolverWork!$B31,MutualFunds!$B$6:$B$244,0),0)</f>
        <v>-1.6535290018357515E-2</v>
      </c>
      <c r="T31" s="14" cm="1">
        <f t="array" ref="T31">INDEX(Benchmarks!R$6:R$244,MATCH(SolverWork!$B31,MutualFunds!$B$6:$B$244,0),0)</f>
        <v>-5.6440412063498938E-2</v>
      </c>
    </row>
    <row r="32" spans="1:20" x14ac:dyDescent="0.2">
      <c r="A32">
        <v>22</v>
      </c>
      <c r="B32" s="28">
        <f>IF(B31="","",IF(EOMONTH(B31,1)&lt;=EOMONTH(Front!$C$4,0),EOMONTH(B31,1),""))</f>
        <v>35033</v>
      </c>
      <c r="C32" s="14">
        <f>IF(B32="","",INDEX(MutualFunds!$C$6:$O$244,MATCH(B32,MutualFunds!$B$6:$B$244,0),MATCH(Front!$C$2,MutualFunds!$C$4:$O$4,0)))</f>
        <v>6.0742407199100013E-2</v>
      </c>
      <c r="D32" s="14">
        <f t="shared" si="0"/>
        <v>1.2896393843014345E-2</v>
      </c>
      <c r="E32" s="14" cm="1">
        <f t="array" ref="E32">INDEX(Benchmarks!C$6:C$244,MATCH(SolverWork!$B32,MutualFunds!$B$6:$B$244,0),0)</f>
        <v>4.1999999999999997E-3</v>
      </c>
      <c r="F32" s="14" cm="1">
        <f t="array" ref="F32">INDEX(Benchmarks!D$6:D$244,MATCH(SolverWork!$B32,MutualFunds!$B$6:$B$244,0),0)</f>
        <v>6.9437747130870753E-3</v>
      </c>
      <c r="G32" s="14" cm="1">
        <f t="array" ref="G32">INDEX(Benchmarks!E$6:E$244,MATCH(SolverWork!$B32,MutualFunds!$B$6:$B$244,0),0)</f>
        <v>2.0416807861741753E-2</v>
      </c>
      <c r="H32" s="14" cm="1">
        <f t="array" ref="H32">INDEX(Benchmarks!F$6:F$244,MATCH(SolverWork!$B32,MutualFunds!$B$6:$B$244,0),0)</f>
        <v>1.7756610604232208E-2</v>
      </c>
      <c r="I32" s="14" cm="1">
        <f t="array" ref="I32">INDEX(Benchmarks!G$6:G$244,MATCH(SolverWork!$B32,MutualFunds!$B$6:$B$244,0),0)</f>
        <v>1.1121124783243754E-2</v>
      </c>
      <c r="J32" s="14" cm="1">
        <f t="array" ref="J32">INDEX(Benchmarks!H$6:H$244,MATCH(SolverWork!$B32,MutualFunds!$B$6:$B$244,0),0)</f>
        <v>2.2644456012493486E-2</v>
      </c>
      <c r="K32" s="14" cm="1">
        <f t="array" ref="K32">INDEX(Benchmarks!I$6:I$244,MATCH(SolverWork!$B32,MutualFunds!$B$6:$B$244,0),0)</f>
        <v>2.6997104411514261E-2</v>
      </c>
      <c r="L32" s="14" cm="1">
        <f t="array" ref="L32">INDEX(Benchmarks!J$6:J$244,MATCH(SolverWork!$B32,MutualFunds!$B$6:$B$244,0),0)</f>
        <v>3.4324230902177691E-2</v>
      </c>
      <c r="M32" s="14" cm="1">
        <f t="array" ref="M32">INDEX(Benchmarks!K$6:K$244,MATCH(SolverWork!$B32,MutualFunds!$B$6:$B$244,0),0)</f>
        <v>4.8299589784305826E-2</v>
      </c>
      <c r="N32" s="14" cm="1">
        <f t="array" ref="N32">INDEX(Benchmarks!L$6:L$244,MATCH(SolverWork!$B32,MutualFunds!$B$6:$B$244,0),0)</f>
        <v>3.2245360114212536E-2</v>
      </c>
      <c r="O32" s="14" cm="1">
        <f t="array" ref="O32">INDEX(Benchmarks!M$6:M$244,MATCH(SolverWork!$B32,MutualFunds!$B$6:$B$244,0),0)</f>
        <v>5.242250287026403E-2</v>
      </c>
      <c r="P32" s="14" cm="1">
        <f t="array" ref="P32">INDEX(Benchmarks!N$6:N$244,MATCH(SolverWork!$B32,MutualFunds!$B$6:$B$244,0),0)</f>
        <v>2.7983860471170147E-2</v>
      </c>
      <c r="Q32" s="14" cm="1">
        <f t="array" ref="Q32">INDEX(Benchmarks!O$6:O$244,MATCH(SolverWork!$B32,MutualFunds!$B$6:$B$244,0),0)</f>
        <v>-1.8781270502961345E-2</v>
      </c>
      <c r="R32" s="14" cm="1">
        <f t="array" ref="R32">INDEX(Benchmarks!P$6:P$244,MATCH(SolverWork!$B32,MutualFunds!$B$6:$B$244,0),0)</f>
        <v>5.2462727751328986E-3</v>
      </c>
      <c r="S32" s="14" cm="1">
        <f t="array" ref="S32">INDEX(Benchmarks!Q$6:Q$244,MATCH(SolverWork!$B32,MutualFunds!$B$6:$B$244,0),0)</f>
        <v>-1.186415910049656E-2</v>
      </c>
      <c r="T32" s="14" cm="1">
        <f t="array" ref="T32">INDEX(Benchmarks!R$6:R$244,MATCH(SolverWork!$B32,MutualFunds!$B$6:$B$244,0),0)</f>
        <v>5.8646133975411796E-2</v>
      </c>
    </row>
    <row r="33" spans="1:20" x14ac:dyDescent="0.2">
      <c r="A33">
        <v>23</v>
      </c>
      <c r="B33" s="28">
        <f>IF(B32="","",IF(EOMONTH(B32,1)&lt;=EOMONTH(Front!$C$4,0),EOMONTH(B32,1),""))</f>
        <v>35064</v>
      </c>
      <c r="C33" s="14">
        <f>IF(B33="","",INDEX(MutualFunds!$C$6:$O$244,MATCH(B33,MutualFunds!$B$6:$B$244,0),MATCH(Front!$C$2,MutualFunds!$C$4:$O$4,0)))</f>
        <v>-2.2269353128313796E-2</v>
      </c>
      <c r="D33" s="14">
        <f t="shared" si="0"/>
        <v>-4.8225314307162398E-2</v>
      </c>
      <c r="E33" s="14" cm="1">
        <f t="array" ref="E33">INDEX(Benchmarks!C$6:C$244,MATCH(SolverWork!$B33,MutualFunds!$B$6:$B$244,0),0)</f>
        <v>4.8999999999999998E-3</v>
      </c>
      <c r="F33" s="14" cm="1">
        <f t="array" ref="F33">INDEX(Benchmarks!D$6:D$244,MATCH(SolverWork!$B33,MutualFunds!$B$6:$B$244,0),0)</f>
        <v>5.0761421319797063E-3</v>
      </c>
      <c r="G33" s="14" cm="1">
        <f t="array" ref="G33">INDEX(Benchmarks!E$6:E$244,MATCH(SolverWork!$B33,MutualFunds!$B$6:$B$244,0),0)</f>
        <v>2.1170610211706079E-2</v>
      </c>
      <c r="H33" s="14" cm="1">
        <f t="array" ref="H33">INDEX(Benchmarks!F$6:F$244,MATCH(SolverWork!$B33,MutualFunds!$B$6:$B$244,0),0)</f>
        <v>1.6302049290630172E-2</v>
      </c>
      <c r="I33" s="14" cm="1">
        <f t="array" ref="I33">INDEX(Benchmarks!G$6:G$244,MATCH(SolverWork!$B33,MutualFunds!$B$6:$B$244,0),0)</f>
        <v>1.2613768069046124E-2</v>
      </c>
      <c r="J33" s="14" cm="1">
        <f t="array" ref="J33">INDEX(Benchmarks!H$6:H$244,MATCH(SolverWork!$B33,MutualFunds!$B$6:$B$244,0),0)</f>
        <v>1.5949775176041361E-2</v>
      </c>
      <c r="K33" s="14" cm="1">
        <f t="array" ref="K33">INDEX(Benchmarks!I$6:I$244,MATCH(SolverWork!$B33,MutualFunds!$B$6:$B$244,0),0)</f>
        <v>0.10227216187080182</v>
      </c>
      <c r="L33" s="14" cm="1">
        <f t="array" ref="L33">INDEX(Benchmarks!J$6:J$244,MATCH(SolverWork!$B33,MutualFunds!$B$6:$B$244,0),0)</f>
        <v>9.3907696420813484E-3</v>
      </c>
      <c r="M33" s="14" cm="1">
        <f t="array" ref="M33">INDEX(Benchmarks!K$6:K$244,MATCH(SolverWork!$B33,MutualFunds!$B$6:$B$244,0),0)</f>
        <v>2.6035092148447361E-2</v>
      </c>
      <c r="N33" s="14" cm="1">
        <f t="array" ref="N33">INDEX(Benchmarks!L$6:L$244,MATCH(SolverWork!$B33,MutualFunds!$B$6:$B$244,0),0)</f>
        <v>1.2177286023146513E-2</v>
      </c>
      <c r="O33" s="14" cm="1">
        <f t="array" ref="O33">INDEX(Benchmarks!M$6:M$244,MATCH(SolverWork!$B33,MutualFunds!$B$6:$B$244,0),0)</f>
        <v>1.2109178975847122E-2</v>
      </c>
      <c r="P33" s="14" cm="1">
        <f t="array" ref="P33">INDEX(Benchmarks!N$6:N$244,MATCH(SolverWork!$B33,MutualFunds!$B$6:$B$244,0),0)</f>
        <v>1.8865535578627454E-2</v>
      </c>
      <c r="Q33" s="14" cm="1">
        <f t="array" ref="Q33">INDEX(Benchmarks!O$6:O$244,MATCH(SolverWork!$B33,MutualFunds!$B$6:$B$244,0),0)</f>
        <v>4.2482203370556595E-2</v>
      </c>
      <c r="R33" s="14" cm="1">
        <f t="array" ref="R33">INDEX(Benchmarks!P$6:P$244,MATCH(SolverWork!$B33,MutualFunds!$B$6:$B$244,0),0)</f>
        <v>2.9805397208727571E-2</v>
      </c>
      <c r="S33" s="14" cm="1">
        <f t="array" ref="S33">INDEX(Benchmarks!Q$6:Q$244,MATCH(SolverWork!$B33,MutualFunds!$B$6:$B$244,0),0)</f>
        <v>4.8391957275116658E-2</v>
      </c>
      <c r="T33" s="14" cm="1">
        <f t="array" ref="T33">INDEX(Benchmarks!R$6:R$244,MATCH(SolverWork!$B33,MutualFunds!$B$6:$B$244,0),0)</f>
        <v>5.061971995398467E-2</v>
      </c>
    </row>
    <row r="34" spans="1:20" x14ac:dyDescent="0.2">
      <c r="A34">
        <v>24</v>
      </c>
      <c r="B34" s="28">
        <f>IF(B33="","",IF(EOMONTH(B33,1)&lt;=EOMONTH(Front!$C$4,0),EOMONTH(B33,1),""))</f>
        <v>35095</v>
      </c>
      <c r="C34" s="14">
        <f>IF(B34="","",INDEX(MutualFunds!$C$6:$O$244,MATCH(B34,MutualFunds!$B$6:$B$244,0),MATCH(Front!$C$2,MutualFunds!$C$4:$O$4,0)))</f>
        <v>1.9522776572668082E-2</v>
      </c>
      <c r="D34" s="14">
        <f t="shared" si="0"/>
        <v>-8.0325611224952888E-3</v>
      </c>
      <c r="E34" s="14" cm="1">
        <f t="array" ref="E34">INDEX(Benchmarks!C$6:C$244,MATCH(SolverWork!$B34,MutualFunds!$B$6:$B$244,0),0)</f>
        <v>4.3E-3</v>
      </c>
      <c r="F34" s="14" cm="1">
        <f t="array" ref="F34">INDEX(Benchmarks!D$6:D$244,MATCH(SolverWork!$B34,MutualFunds!$B$6:$B$244,0),0)</f>
        <v>2.0964360587001989E-3</v>
      </c>
      <c r="G34" s="14" cm="1">
        <f t="array" ref="G34">INDEX(Benchmarks!E$6:E$244,MATCH(SolverWork!$B34,MutualFunds!$B$6:$B$244,0),0)</f>
        <v>-6.0975609756097563E-3</v>
      </c>
      <c r="H34" s="14" cm="1">
        <f t="array" ref="H34">INDEX(Benchmarks!F$6:F$244,MATCH(SolverWork!$B34,MutualFunds!$B$6:$B$244,0),0)</f>
        <v>6.0493786481463094E-3</v>
      </c>
      <c r="I34" s="14" cm="1">
        <f t="array" ref="I34">INDEX(Benchmarks!G$6:G$244,MATCH(SolverWork!$B34,MutualFunds!$B$6:$B$244,0),0)</f>
        <v>7.3293166857429093E-3</v>
      </c>
      <c r="J34" s="14" cm="1">
        <f t="array" ref="J34">INDEX(Benchmarks!H$6:H$244,MATCH(SolverWork!$B34,MutualFunds!$B$6:$B$244,0),0)</f>
        <v>-2.5052192066805606E-3</v>
      </c>
      <c r="K34" s="14" cm="1">
        <f t="array" ref="K34">INDEX(Benchmarks!I$6:I$244,MATCH(SolverWork!$B34,MutualFunds!$B$6:$B$244,0),0)</f>
        <v>-1.6174777878923067E-3</v>
      </c>
      <c r="L34" s="14" cm="1">
        <f t="array" ref="L34">INDEX(Benchmarks!J$6:J$244,MATCH(SolverWork!$B34,MutualFunds!$B$6:$B$244,0),0)</f>
        <v>3.7147397695669347E-2</v>
      </c>
      <c r="M34" s="14" cm="1">
        <f t="array" ref="M34">INDEX(Benchmarks!K$6:K$244,MATCH(SolverWork!$B34,MutualFunds!$B$6:$B$244,0),0)</f>
        <v>2.8111832190200803E-2</v>
      </c>
      <c r="N34" s="14" cm="1">
        <f t="array" ref="N34">INDEX(Benchmarks!L$6:L$244,MATCH(SolverWork!$B34,MutualFunds!$B$6:$B$244,0),0)</f>
        <v>-9.7377100675358024E-4</v>
      </c>
      <c r="O34" s="14" cm="1">
        <f t="array" ref="O34">INDEX(Benchmarks!M$6:M$244,MATCH(SolverWork!$B34,MutualFunds!$B$6:$B$244,0),0)</f>
        <v>-8.7522635164266668E-3</v>
      </c>
      <c r="P34" s="14" cm="1">
        <f t="array" ref="P34">INDEX(Benchmarks!N$6:N$244,MATCH(SolverWork!$B34,MutualFunds!$B$6:$B$244,0),0)</f>
        <v>5.536915068417479E-3</v>
      </c>
      <c r="Q34" s="14" cm="1">
        <f t="array" ref="Q34">INDEX(Benchmarks!O$6:O$244,MATCH(SolverWork!$B34,MutualFunds!$B$6:$B$244,0),0)</f>
        <v>7.013999637846359E-2</v>
      </c>
      <c r="R34" s="14" cm="1">
        <f t="array" ref="R34">INDEX(Benchmarks!P$6:P$244,MATCH(SolverWork!$B34,MutualFunds!$B$6:$B$244,0),0)</f>
        <v>4.7610737230179582E-3</v>
      </c>
      <c r="S34" s="14" cm="1">
        <f t="array" ref="S34">INDEX(Benchmarks!Q$6:Q$244,MATCH(SolverWork!$B34,MutualFunds!$B$6:$B$244,0),0)</f>
        <v>9.0301786660066247E-2</v>
      </c>
      <c r="T34" s="14" cm="1">
        <f t="array" ref="T34">INDEX(Benchmarks!R$6:R$244,MATCH(SolverWork!$B34,MutualFunds!$B$6:$B$244,0),0)</f>
        <v>-1.3604832627704032E-2</v>
      </c>
    </row>
    <row r="35" spans="1:20" x14ac:dyDescent="0.2">
      <c r="A35">
        <v>25</v>
      </c>
      <c r="B35" s="28">
        <f>IF(B34="","",IF(EOMONTH(B34,1)&lt;=EOMONTH(Front!$C$4,0),EOMONTH(B34,1),""))</f>
        <v>35124</v>
      </c>
      <c r="C35" s="14">
        <f>IF(B35="","",INDEX(MutualFunds!$C$6:$O$244,MATCH(B35,MutualFunds!$B$6:$B$244,0),MATCH(Front!$C$2,MutualFunds!$C$4:$O$4,0)))</f>
        <v>1.4361702127659552E-2</v>
      </c>
      <c r="D35" s="14">
        <f t="shared" si="0"/>
        <v>9.4766574569891734E-3</v>
      </c>
      <c r="E35" s="14" cm="1">
        <f t="array" ref="E35">INDEX(Benchmarks!C$6:C$244,MATCH(SolverWork!$B35,MutualFunds!$B$6:$B$244,0),0)</f>
        <v>3.9000000000000003E-3</v>
      </c>
      <c r="F35" s="14" cm="1">
        <f t="array" ref="F35">INDEX(Benchmarks!D$6:D$244,MATCH(SolverWork!$B35,MutualFunds!$B$6:$B$244,0),0)</f>
        <v>-1.6641308482312666E-2</v>
      </c>
      <c r="G35" s="14" cm="1">
        <f t="array" ref="G35">INDEX(Benchmarks!E$6:E$244,MATCH(SolverWork!$B35,MutualFunds!$B$6:$B$244,0),0)</f>
        <v>-5.9713701431492822E-2</v>
      </c>
      <c r="H35" s="14" cm="1">
        <f t="array" ref="H35">INDEX(Benchmarks!F$6:F$244,MATCH(SolverWork!$B35,MutualFunds!$B$6:$B$244,0),0)</f>
        <v>-2.3381207695480213E-2</v>
      </c>
      <c r="I35" s="14" cm="1">
        <f t="array" ref="I35">INDEX(Benchmarks!G$6:G$244,MATCH(SolverWork!$B35,MutualFunds!$B$6:$B$244,0),0)</f>
        <v>-8.319947398322142E-3</v>
      </c>
      <c r="J35" s="14" cm="1">
        <f t="array" ref="J35">INDEX(Benchmarks!H$6:H$244,MATCH(SolverWork!$B35,MutualFunds!$B$6:$B$244,0),0)</f>
        <v>-5.4583507743825831E-2</v>
      </c>
      <c r="K35" s="14" cm="1">
        <f t="array" ref="K35">INDEX(Benchmarks!I$6:I$244,MATCH(SolverWork!$B35,MutualFunds!$B$6:$B$244,0),0)</f>
        <v>4.0088012779937947E-2</v>
      </c>
      <c r="L35" s="14" cm="1">
        <f t="array" ref="L35">INDEX(Benchmarks!J$6:J$244,MATCH(SolverWork!$B35,MutualFunds!$B$6:$B$244,0),0)</f>
        <v>7.8848241077699912E-3</v>
      </c>
      <c r="M35" s="14" cm="1">
        <f t="array" ref="M35">INDEX(Benchmarks!K$6:K$244,MATCH(SolverWork!$B35,MutualFunds!$B$6:$B$244,0),0)</f>
        <v>5.9532713076255999E-3</v>
      </c>
      <c r="N35" s="14" cm="1">
        <f t="array" ref="N35">INDEX(Benchmarks!L$6:L$244,MATCH(SolverWork!$B35,MutualFunds!$B$6:$B$244,0),0)</f>
        <v>1.9415796755125177E-2</v>
      </c>
      <c r="O35" s="14" cm="1">
        <f t="array" ref="O35">INDEX(Benchmarks!M$6:M$244,MATCH(SolverWork!$B35,MutualFunds!$B$6:$B$244,0),0)</f>
        <v>4.8975686138054107E-2</v>
      </c>
      <c r="P35" s="14" cm="1">
        <f t="array" ref="P35">INDEX(Benchmarks!N$6:N$244,MATCH(SolverWork!$B35,MutualFunds!$B$6:$B$244,0),0)</f>
        <v>1.7219597934746738E-2</v>
      </c>
      <c r="Q35" s="14" cm="1">
        <f t="array" ref="Q35">INDEX(Benchmarks!O$6:O$244,MATCH(SolverWork!$B35,MutualFunds!$B$6:$B$244,0),0)</f>
        <v>-1.7530411666010878E-2</v>
      </c>
      <c r="R35" s="14" cm="1">
        <f t="array" ref="R35">INDEX(Benchmarks!P$6:P$244,MATCH(SolverWork!$B35,MutualFunds!$B$6:$B$244,0),0)</f>
        <v>1.6362254729014564E-2</v>
      </c>
      <c r="S35" s="14" cm="1">
        <f t="array" ref="S35">INDEX(Benchmarks!Q$6:Q$244,MATCH(SolverWork!$B35,MutualFunds!$B$6:$B$244,0),0)</f>
        <v>-4.8650337598679753E-3</v>
      </c>
      <c r="T35" s="14" cm="1">
        <f t="array" ref="T35">INDEX(Benchmarks!R$6:R$244,MATCH(SolverWork!$B35,MutualFunds!$B$6:$B$244,0),0)</f>
        <v>-1.8282374849546985E-2</v>
      </c>
    </row>
    <row r="36" spans="1:20" x14ac:dyDescent="0.2">
      <c r="A36">
        <v>26</v>
      </c>
      <c r="B36" s="28">
        <f>IF(B35="","",IF(EOMONTH(B35,1)&lt;=EOMONTH(Front!$C$4,0),EOMONTH(B35,1),""))</f>
        <v>35155</v>
      </c>
      <c r="C36" s="14">
        <f>IF(B36="","",INDEX(MutualFunds!$C$6:$O$244,MATCH(B36,MutualFunds!$B$6:$B$244,0),MATCH(Front!$C$2,MutualFunds!$C$4:$O$4,0)))</f>
        <v>2.7267960146827454E-2</v>
      </c>
      <c r="D36" s="14">
        <f t="shared" si="0"/>
        <v>6.1593256921105392E-3</v>
      </c>
      <c r="E36" s="14" cm="1">
        <f t="array" ref="E36">INDEX(Benchmarks!C$6:C$244,MATCH(SolverWork!$B36,MutualFunds!$B$6:$B$244,0),0)</f>
        <v>3.9000000000000003E-3</v>
      </c>
      <c r="F36" s="14" cm="1">
        <f t="array" ref="F36">INDEX(Benchmarks!D$6:D$244,MATCH(SolverWork!$B36,MutualFunds!$B$6:$B$244,0),0)</f>
        <v>-9.9603519969055331E-3</v>
      </c>
      <c r="G36" s="14" cm="1">
        <f t="array" ref="G36">INDEX(Benchmarks!E$6:E$244,MATCH(SolverWork!$B36,MutualFunds!$B$6:$B$244,0),0)</f>
        <v>-2.6011309264897736E-2</v>
      </c>
      <c r="H36" s="14" cm="1">
        <f t="array" ref="H36">INDEX(Benchmarks!F$6:F$244,MATCH(SolverWork!$B36,MutualFunds!$B$6:$B$244,0),0)</f>
        <v>-7.4201501667484938E-3</v>
      </c>
      <c r="I36" s="14" cm="1">
        <f t="array" ref="I36">INDEX(Benchmarks!G$6:G$244,MATCH(SolverWork!$B36,MutualFunds!$B$6:$B$244,0),0)</f>
        <v>-3.0796342825238051E-3</v>
      </c>
      <c r="J36" s="14" cm="1">
        <f t="array" ref="J36">INDEX(Benchmarks!H$6:H$244,MATCH(SolverWork!$B36,MutualFunds!$B$6:$B$244,0),0)</f>
        <v>-1.1157354113167494E-2</v>
      </c>
      <c r="K36" s="14" cm="1">
        <f t="array" ref="K36">INDEX(Benchmarks!I$6:I$244,MATCH(SolverWork!$B36,MutualFunds!$B$6:$B$244,0),0)</f>
        <v>6.5004926536644844E-2</v>
      </c>
      <c r="L36" s="14" cm="1">
        <f t="array" ref="L36">INDEX(Benchmarks!J$6:J$244,MATCH(SolverWork!$B36,MutualFunds!$B$6:$B$244,0),0)</f>
        <v>-6.0811452823615617E-3</v>
      </c>
      <c r="M36" s="14" cm="1">
        <f t="array" ref="M36">INDEX(Benchmarks!K$6:K$244,MATCH(SolverWork!$B36,MutualFunds!$B$6:$B$244,0),0)</f>
        <v>2.1887824897400862E-2</v>
      </c>
      <c r="N36" s="14" cm="1">
        <f t="array" ref="N36">INDEX(Benchmarks!L$6:L$244,MATCH(SolverWork!$B36,MutualFunds!$B$6:$B$244,0),0)</f>
        <v>7.4641827182578193E-3</v>
      </c>
      <c r="O36" s="14" cm="1">
        <f t="array" ref="O36">INDEX(Benchmarks!M$6:M$244,MATCH(SolverWork!$B36,MutualFunds!$B$6:$B$244,0),0)</f>
        <v>1.8700501720777835E-2</v>
      </c>
      <c r="P36" s="14" cm="1">
        <f t="array" ref="P36">INDEX(Benchmarks!N$6:N$244,MATCH(SolverWork!$B36,MutualFunds!$B$6:$B$244,0),0)</f>
        <v>2.0302923945031019E-2</v>
      </c>
      <c r="Q36" s="14" cm="1">
        <f t="array" ref="Q36">INDEX(Benchmarks!O$6:O$244,MATCH(SolverWork!$B36,MutualFunds!$B$6:$B$244,0),0)</f>
        <v>5.9677954847277065E-3</v>
      </c>
      <c r="R36" s="14" cm="1">
        <f t="array" ref="R36">INDEX(Benchmarks!P$6:P$244,MATCH(SolverWork!$B36,MutualFunds!$B$6:$B$244,0),0)</f>
        <v>1.0106836066317848E-2</v>
      </c>
      <c r="S36" s="14" cm="1">
        <f t="array" ref="S36">INDEX(Benchmarks!Q$6:Q$244,MATCH(SolverWork!$B36,MutualFunds!$B$6:$B$244,0),0)</f>
        <v>6.1594691719916283E-3</v>
      </c>
      <c r="T36" s="14" cm="1">
        <f t="array" ref="T36">INDEX(Benchmarks!R$6:R$244,MATCH(SolverWork!$B36,MutualFunds!$B$6:$B$244,0),0)</f>
        <v>3.4808107096933008E-2</v>
      </c>
    </row>
    <row r="37" spans="1:20" x14ac:dyDescent="0.2">
      <c r="A37">
        <v>27</v>
      </c>
      <c r="B37" s="28">
        <f>IF(B36="","",IF(EOMONTH(B36,1)&lt;=EOMONTH(Front!$C$4,0),EOMONTH(B36,1),""))</f>
        <v>35185</v>
      </c>
      <c r="C37" s="14">
        <f>IF(B37="","",INDEX(MutualFunds!$C$6:$O$244,MATCH(B37,MutualFunds!$B$6:$B$244,0),MATCH(Front!$C$2,MutualFunds!$C$4:$O$4,0)))</f>
        <v>2.7565084226646386E-2</v>
      </c>
      <c r="D37" s="14">
        <f t="shared" si="0"/>
        <v>1.9652210875300606E-2</v>
      </c>
      <c r="E37" s="14" cm="1">
        <f t="array" ref="E37">INDEX(Benchmarks!C$6:C$244,MATCH(SolverWork!$B37,MutualFunds!$B$6:$B$244,0),0)</f>
        <v>4.5999999999999999E-3</v>
      </c>
      <c r="F37" s="14" cm="1">
        <f t="array" ref="F37">INDEX(Benchmarks!D$6:D$244,MATCH(SolverWork!$B37,MutualFunds!$B$6:$B$244,0),0)</f>
        <v>-8.9861301035357253E-3</v>
      </c>
      <c r="G37" s="14" cm="1">
        <f t="array" ref="G37">INDEX(Benchmarks!E$6:E$244,MATCH(SolverWork!$B37,MutualFunds!$B$6:$B$244,0),0)</f>
        <v>-2.3937120400142967E-2</v>
      </c>
      <c r="H37" s="14" cm="1">
        <f t="array" ref="H37">INDEX(Benchmarks!F$6:F$244,MATCH(SolverWork!$B37,MutualFunds!$B$6:$B$244,0),0)</f>
        <v>-8.4641942309834177E-3</v>
      </c>
      <c r="I37" s="14" cm="1">
        <f t="array" ref="I37">INDEX(Benchmarks!G$6:G$244,MATCH(SolverWork!$B37,MutualFunds!$B$6:$B$244,0),0)</f>
        <v>-3.1649908259021088E-3</v>
      </c>
      <c r="J37" s="14" cm="1">
        <f t="array" ref="J37">INDEX(Benchmarks!H$6:H$244,MATCH(SolverWork!$B37,MutualFunds!$B$6:$B$244,0),0)</f>
        <v>-8.3281096086683312E-3</v>
      </c>
      <c r="K37" s="14" cm="1">
        <f t="array" ref="K37">INDEX(Benchmarks!I$6:I$244,MATCH(SolverWork!$B37,MutualFunds!$B$6:$B$244,0),0)</f>
        <v>5.7731096152734175E-2</v>
      </c>
      <c r="L37" s="14" cm="1">
        <f t="array" ref="L37">INDEX(Benchmarks!J$6:J$244,MATCH(SolverWork!$B37,MutualFunds!$B$6:$B$244,0),0)</f>
        <v>1.8578120518785202E-2</v>
      </c>
      <c r="M37" s="14" cm="1">
        <f t="array" ref="M37">INDEX(Benchmarks!K$6:K$244,MATCH(SolverWork!$B37,MutualFunds!$B$6:$B$244,0),0)</f>
        <v>8.4395553227401693E-3</v>
      </c>
      <c r="N37" s="14" cm="1">
        <f t="array" ref="N37">INDEX(Benchmarks!L$6:L$244,MATCH(SolverWork!$B37,MutualFunds!$B$6:$B$244,0),0)</f>
        <v>4.1621381664549199E-2</v>
      </c>
      <c r="O37" s="14" cm="1">
        <f t="array" ref="O37">INDEX(Benchmarks!M$6:M$244,MATCH(SolverWork!$B37,MutualFunds!$B$6:$B$244,0),0)</f>
        <v>8.8896125040703253E-2</v>
      </c>
      <c r="P37" s="14" cm="1">
        <f t="array" ref="P37">INDEX(Benchmarks!N$6:N$244,MATCH(SolverWork!$B37,MutualFunds!$B$6:$B$244,0),0)</f>
        <v>1.186790505675943E-2</v>
      </c>
      <c r="Q37" s="14" cm="1">
        <f t="array" ref="Q37">INDEX(Benchmarks!O$6:O$244,MATCH(SolverWork!$B37,MutualFunds!$B$6:$B$244,0),0)</f>
        <v>3.6442132360828119E-2</v>
      </c>
      <c r="R37" s="14" cm="1">
        <f t="array" ref="R37">INDEX(Benchmarks!P$6:P$244,MATCH(SolverWork!$B37,MutualFunds!$B$6:$B$244,0),0)</f>
        <v>5.4403569804696806E-3</v>
      </c>
      <c r="S37" s="14" cm="1">
        <f t="array" ref="S37">INDEX(Benchmarks!Q$6:Q$244,MATCH(SolverWork!$B37,MutualFunds!$B$6:$B$244,0),0)</f>
        <v>2.6183882040880034E-2</v>
      </c>
      <c r="T37" s="14" cm="1">
        <f t="array" ref="T37">INDEX(Benchmarks!R$6:R$244,MATCH(SolverWork!$B37,MutualFunds!$B$6:$B$244,0),0)</f>
        <v>5.6380029806259377E-2</v>
      </c>
    </row>
    <row r="38" spans="1:20" x14ac:dyDescent="0.2">
      <c r="A38">
        <v>28</v>
      </c>
      <c r="B38" s="28">
        <f>IF(B37="","",IF(EOMONTH(B37,1)&lt;=EOMONTH(Front!$C$4,0),EOMONTH(B37,1),""))</f>
        <v>35216</v>
      </c>
      <c r="C38" s="14">
        <f>IF(B38="","",INDEX(MutualFunds!$C$6:$O$244,MATCH(B38,MutualFunds!$B$6:$B$244,0),MATCH(Front!$C$2,MutualFunds!$C$4:$O$4,0)))</f>
        <v>-4.9677098857434489E-4</v>
      </c>
      <c r="D38" s="14">
        <f t="shared" si="0"/>
        <v>-1.1040218470099162E-2</v>
      </c>
      <c r="E38" s="14" cm="1">
        <f t="array" ref="E38">INDEX(Benchmarks!C$6:C$244,MATCH(SolverWork!$B38,MutualFunds!$B$6:$B$244,0),0)</f>
        <v>4.1999999999999997E-3</v>
      </c>
      <c r="F38" s="14" cm="1">
        <f t="array" ref="F38">INDEX(Benchmarks!D$6:D$244,MATCH(SolverWork!$B38,MutualFunds!$B$6:$B$244,0),0)</f>
        <v>-6.6035876207372526E-3</v>
      </c>
      <c r="G38" s="14" cm="1">
        <f t="array" ref="G38">INDEX(Benchmarks!E$6:E$244,MATCH(SolverWork!$B38,MutualFunds!$B$6:$B$244,0),0)</f>
        <v>-1.1530014641288481E-2</v>
      </c>
      <c r="H38" s="14" cm="1">
        <f t="array" ref="H38">INDEX(Benchmarks!F$6:F$244,MATCH(SolverWork!$B38,MutualFunds!$B$6:$B$244,0),0)</f>
        <v>-8.8847718292148832E-4</v>
      </c>
      <c r="I38" s="14" cm="1">
        <f t="array" ref="I38">INDEX(Benchmarks!G$6:G$244,MATCH(SolverWork!$B38,MutualFunds!$B$6:$B$244,0),0)</f>
        <v>-3.1969870774417944E-3</v>
      </c>
      <c r="J38" s="14" cm="1">
        <f t="array" ref="J38">INDEX(Benchmarks!H$6:H$244,MATCH(SolverWork!$B38,MutualFunds!$B$6:$B$244,0),0)</f>
        <v>-1.0113780025284491E-2</v>
      </c>
      <c r="K38" s="14" cm="1">
        <f t="array" ref="K38">INDEX(Benchmarks!I$6:I$244,MATCH(SolverWork!$B38,MutualFunds!$B$6:$B$244,0),0)</f>
        <v>-7.8977663727514014E-3</v>
      </c>
      <c r="L38" s="14" cm="1">
        <f t="array" ref="L38">INDEX(Benchmarks!J$6:J$244,MATCH(SolverWork!$B38,MutualFunds!$B$6:$B$244,0),0)</f>
        <v>3.5101989738455852E-2</v>
      </c>
      <c r="M38" s="14" cm="1">
        <f t="array" ref="M38">INDEX(Benchmarks!K$6:K$244,MATCH(SolverWork!$B38,MutualFunds!$B$6:$B$244,0),0)</f>
        <v>1.0908461272076734E-2</v>
      </c>
      <c r="N38" s="14" cm="1">
        <f t="array" ref="N38">INDEX(Benchmarks!L$6:L$244,MATCH(SolverWork!$B38,MutualFunds!$B$6:$B$244,0),0)</f>
        <v>1.6224318843135473E-2</v>
      </c>
      <c r="O38" s="14" cm="1">
        <f t="array" ref="O38">INDEX(Benchmarks!M$6:M$244,MATCH(SolverWork!$B38,MutualFunds!$B$6:$B$244,0),0)</f>
        <v>4.7155352870813433E-2</v>
      </c>
      <c r="P38" s="14" cm="1">
        <f t="array" ref="P38">INDEX(Benchmarks!N$6:N$244,MATCH(SolverWork!$B38,MutualFunds!$B$6:$B$244,0),0)</f>
        <v>2.2241399599890303E-2</v>
      </c>
      <c r="Q38" s="14" cm="1">
        <f t="array" ref="Q38">INDEX(Benchmarks!O$6:O$244,MATCH(SolverWork!$B38,MutualFunds!$B$6:$B$244,0),0)</f>
        <v>-6.9099615295057284E-3</v>
      </c>
      <c r="R38" s="14" cm="1">
        <f t="array" ref="R38">INDEX(Benchmarks!P$6:P$244,MATCH(SolverWork!$B38,MutualFunds!$B$6:$B$244,0),0)</f>
        <v>5.8946947747028165E-3</v>
      </c>
      <c r="S38" s="14" cm="1">
        <f t="array" ref="S38">INDEX(Benchmarks!Q$6:Q$244,MATCH(SolverWork!$B38,MutualFunds!$B$6:$B$244,0),0)</f>
        <v>-1.1429833981126824E-2</v>
      </c>
      <c r="T38" s="14" cm="1">
        <f t="array" ref="T38">INDEX(Benchmarks!R$6:R$244,MATCH(SolverWork!$B38,MutualFunds!$B$6:$B$244,0),0)</f>
        <v>-5.1899818151294241E-2</v>
      </c>
    </row>
    <row r="39" spans="1:20" x14ac:dyDescent="0.2">
      <c r="A39">
        <v>29</v>
      </c>
      <c r="B39" s="28">
        <f>IF(B38="","",IF(EOMONTH(B38,1)&lt;=EOMONTH(Front!$C$4,0),EOMONTH(B38,1),""))</f>
        <v>35246</v>
      </c>
      <c r="C39" s="14">
        <f>IF(B39="","",INDEX(MutualFunds!$C$6:$O$244,MATCH(B39,MutualFunds!$B$6:$B$244,0),MATCH(Front!$C$2,MutualFunds!$C$4:$O$4,0)))</f>
        <v>-1.043737574552688E-2</v>
      </c>
      <c r="D39" s="14">
        <f t="shared" si="0"/>
        <v>-4.3778201658693358E-3</v>
      </c>
      <c r="E39" s="14" cm="1">
        <f t="array" ref="E39">INDEX(Benchmarks!C$6:C$244,MATCH(SolverWork!$B39,MutualFunds!$B$6:$B$244,0),0)</f>
        <v>4.0000000000000001E-3</v>
      </c>
      <c r="F39" s="14" cm="1">
        <f t="array" ref="F39">INDEX(Benchmarks!D$6:D$244,MATCH(SolverWork!$B39,MutualFunds!$B$6:$B$244,0),0)</f>
        <v>5.0600257962098508E-3</v>
      </c>
      <c r="G39" s="14" cm="1">
        <f t="array" ref="G39">INDEX(Benchmarks!E$6:E$244,MATCH(SolverWork!$B39,MutualFunds!$B$6:$B$244,0),0)</f>
        <v>1.592297722643967E-2</v>
      </c>
      <c r="H39" s="14" cm="1">
        <f t="array" ref="H39">INDEX(Benchmarks!F$6:F$244,MATCH(SolverWork!$B39,MutualFunds!$B$6:$B$244,0),0)</f>
        <v>1.3427430611257563E-2</v>
      </c>
      <c r="I39" s="14" cm="1">
        <f t="array" ref="I39">INDEX(Benchmarks!G$6:G$244,MATCH(SolverWork!$B39,MutualFunds!$B$6:$B$244,0),0)</f>
        <v>1.2274117054740449E-2</v>
      </c>
      <c r="J39" s="14" cm="1">
        <f t="array" ref="J39">INDEX(Benchmarks!H$6:H$244,MATCH(SolverWork!$B39,MutualFunds!$B$6:$B$244,0),0)</f>
        <v>1.1311804415252645E-2</v>
      </c>
      <c r="K39" s="14" cm="1">
        <f t="array" ref="K39">INDEX(Benchmarks!I$6:I$244,MATCH(SolverWork!$B39,MutualFunds!$B$6:$B$244,0),0)</f>
        <v>3.8798384535099997E-2</v>
      </c>
      <c r="L39" s="14" cm="1">
        <f t="array" ref="L39">INDEX(Benchmarks!J$6:J$244,MATCH(SolverWork!$B39,MutualFunds!$B$6:$B$244,0),0)</f>
        <v>1.0941183582179787E-2</v>
      </c>
      <c r="M39" s="14" cm="1">
        <f t="array" ref="M39">INDEX(Benchmarks!K$6:K$244,MATCH(SolverWork!$B39,MutualFunds!$B$6:$B$244,0),0)</f>
        <v>-6.4230659434770191E-3</v>
      </c>
      <c r="N39" s="14" cm="1">
        <f t="array" ref="N39">INDEX(Benchmarks!L$6:L$244,MATCH(SolverWork!$B39,MutualFunds!$B$6:$B$244,0),0)</f>
        <v>-2.3167028199566134E-2</v>
      </c>
      <c r="O39" s="14" cm="1">
        <f t="array" ref="O39">INDEX(Benchmarks!M$6:M$244,MATCH(SolverWork!$B39,MutualFunds!$B$6:$B$244,0),0)</f>
        <v>-5.8391489817409319E-2</v>
      </c>
      <c r="P39" s="14" cm="1">
        <f t="array" ref="P39">INDEX(Benchmarks!N$6:N$244,MATCH(SolverWork!$B39,MutualFunds!$B$6:$B$244,0),0)</f>
        <v>-6.6513174725005818E-4</v>
      </c>
      <c r="Q39" s="14" cm="1">
        <f t="array" ref="Q39">INDEX(Benchmarks!O$6:O$244,MATCH(SolverWork!$B39,MutualFunds!$B$6:$B$244,0),0)</f>
        <v>4.1082905302901483E-3</v>
      </c>
      <c r="R39" s="14" cm="1">
        <f t="array" ref="R39">INDEX(Benchmarks!P$6:P$244,MATCH(SolverWork!$B39,MutualFunds!$B$6:$B$244,0),0)</f>
        <v>9.170535098174587E-3</v>
      </c>
      <c r="S39" s="14" cm="1">
        <f t="array" ref="S39">INDEX(Benchmarks!Q$6:Q$244,MATCH(SolverWork!$B39,MutualFunds!$B$6:$B$244,0),0)</f>
        <v>-2.1504187644945473E-2</v>
      </c>
      <c r="T39" s="14" cm="1">
        <f t="array" ref="T39">INDEX(Benchmarks!R$6:R$244,MATCH(SolverWork!$B39,MutualFunds!$B$6:$B$244,0),0)</f>
        <v>4.838084717223386E-3</v>
      </c>
    </row>
    <row r="40" spans="1:20" x14ac:dyDescent="0.2">
      <c r="A40">
        <v>30</v>
      </c>
      <c r="B40" s="28">
        <f>IF(B39="","",IF(EOMONTH(B39,1)&lt;=EOMONTH(Front!$C$4,0),EOMONTH(B39,1),""))</f>
        <v>35277</v>
      </c>
      <c r="C40" s="14">
        <f>IF(B40="","",INDEX(MutualFunds!$C$6:$O$244,MATCH(B40,MutualFunds!$B$6:$B$244,0),MATCH(Front!$C$2,MutualFunds!$C$4:$O$4,0)))</f>
        <v>-5.0728277247614161E-2</v>
      </c>
      <c r="D40" s="14">
        <f t="shared" si="0"/>
        <v>-7.3059925936005896E-3</v>
      </c>
      <c r="E40" s="14" cm="1">
        <f t="array" ref="E40">INDEX(Benchmarks!C$6:C$244,MATCH(SolverWork!$B40,MutualFunds!$B$6:$B$244,0),0)</f>
        <v>4.5000000000000005E-3</v>
      </c>
      <c r="F40" s="14" cm="1">
        <f t="array" ref="F40">INDEX(Benchmarks!D$6:D$244,MATCH(SolverWork!$B40,MutualFunds!$B$6:$B$244,0),0)</f>
        <v>-2.5666337611055371E-3</v>
      </c>
      <c r="G40" s="14" cm="1">
        <f t="array" ref="G40">INDEX(Benchmarks!E$6:E$244,MATCH(SolverWork!$B40,MutualFunds!$B$6:$B$244,0),0)</f>
        <v>-5.7408419901586443E-3</v>
      </c>
      <c r="H40" s="14" cm="1">
        <f t="array" ref="H40">INDEX(Benchmarks!F$6:F$244,MATCH(SolverWork!$B40,MutualFunds!$B$6:$B$244,0),0)</f>
        <v>2.7795331630713696E-3</v>
      </c>
      <c r="I40" s="14" cm="1">
        <f t="array" ref="I40">INDEX(Benchmarks!G$6:G$244,MATCH(SolverWork!$B40,MutualFunds!$B$6:$B$244,0),0)</f>
        <v>4.3588401367103541E-3</v>
      </c>
      <c r="J40" s="14" cm="1">
        <f t="array" ref="J40">INDEX(Benchmarks!H$6:H$244,MATCH(SolverWork!$B40,MutualFunds!$B$6:$B$244,0),0)</f>
        <v>-2.5257081003067033E-3</v>
      </c>
      <c r="K40" s="14" cm="1">
        <f t="array" ref="K40">INDEX(Benchmarks!I$6:I$244,MATCH(SolverWork!$B40,MutualFunds!$B$6:$B$244,0),0)</f>
        <v>-4.7324704825141679E-2</v>
      </c>
      <c r="L40" s="14" cm="1">
        <f t="array" ref="L40">INDEX(Benchmarks!J$6:J$244,MATCH(SolverWork!$B40,MutualFunds!$B$6:$B$244,0),0)</f>
        <v>-4.7386988758670243E-2</v>
      </c>
      <c r="M40" s="14" cm="1">
        <f t="array" ref="M40">INDEX(Benchmarks!K$6:K$244,MATCH(SolverWork!$B40,MutualFunds!$B$6:$B$244,0),0)</f>
        <v>-4.4045395776468849E-2</v>
      </c>
      <c r="N40" s="14" cm="1">
        <f t="array" ref="N40">INDEX(Benchmarks!L$6:L$244,MATCH(SolverWork!$B40,MutualFunds!$B$6:$B$244,0),0)</f>
        <v>-6.6693314383845487E-2</v>
      </c>
      <c r="O40" s="14" cm="1">
        <f t="array" ref="O40">INDEX(Benchmarks!M$6:M$244,MATCH(SolverWork!$B40,MutualFunds!$B$6:$B$244,0),0)</f>
        <v>-0.13143653268379604</v>
      </c>
      <c r="P40" s="14" cm="1">
        <f t="array" ref="P40">INDEX(Benchmarks!N$6:N$244,MATCH(SolverWork!$B40,MutualFunds!$B$6:$B$244,0),0)</f>
        <v>-4.3377534302682763E-2</v>
      </c>
      <c r="Q40" s="14" cm="1">
        <f t="array" ref="Q40">INDEX(Benchmarks!O$6:O$244,MATCH(SolverWork!$B40,MutualFunds!$B$6:$B$244,0),0)</f>
        <v>-7.019186054634248E-2</v>
      </c>
      <c r="R40" s="14" cm="1">
        <f t="array" ref="R40">INDEX(Benchmarks!P$6:P$244,MATCH(SolverWork!$B40,MutualFunds!$B$6:$B$244,0),0)</f>
        <v>-1.4387743869668554E-2</v>
      </c>
      <c r="S40" s="14" cm="1">
        <f t="array" ref="S40">INDEX(Benchmarks!Q$6:Q$244,MATCH(SolverWork!$B40,MutualFunds!$B$6:$B$244,0),0)</f>
        <v>-7.3787261424953884E-2</v>
      </c>
      <c r="T40" s="14" cm="1">
        <f t="array" ref="T40">INDEX(Benchmarks!R$6:R$244,MATCH(SolverWork!$B40,MutualFunds!$B$6:$B$244,0),0)</f>
        <v>-4.5242799360634217E-2</v>
      </c>
    </row>
    <row r="41" spans="1:20" x14ac:dyDescent="0.2">
      <c r="A41">
        <v>31</v>
      </c>
      <c r="B41" s="28">
        <f>IF(B40="","",IF(EOMONTH(B40,1)&lt;=EOMONTH(Front!$C$4,0),EOMONTH(B40,1),""))</f>
        <v>35308</v>
      </c>
      <c r="C41" s="14">
        <f>IF(B41="","",INDEX(MutualFunds!$C$6:$O$244,MATCH(B41,MutualFunds!$B$6:$B$244,0),MATCH(Front!$C$2,MutualFunds!$C$4:$O$4,0)))</f>
        <v>3.8624338624338644E-2</v>
      </c>
      <c r="D41" s="14">
        <f t="shared" si="0"/>
        <v>1.4993384175141355E-2</v>
      </c>
      <c r="E41" s="14" cm="1">
        <f t="array" ref="E41">INDEX(Benchmarks!C$6:C$244,MATCH(SolverWork!$B41,MutualFunds!$B$6:$B$244,0),0)</f>
        <v>4.0999999999999995E-3</v>
      </c>
      <c r="F41" s="14" cm="1">
        <f t="array" ref="F41">INDEX(Benchmarks!D$6:D$244,MATCH(SolverWork!$B41,MutualFunds!$B$6:$B$244,0),0)</f>
        <v>-4.6516231195565996E-3</v>
      </c>
      <c r="G41" s="14" cm="1">
        <f t="array" ref="G41">INDEX(Benchmarks!E$6:E$244,MATCH(SolverWork!$B41,MutualFunds!$B$6:$B$244,0),0)</f>
        <v>-2.1354596278984495E-2</v>
      </c>
      <c r="H41" s="14" cm="1">
        <f t="array" ref="H41">INDEX(Benchmarks!F$6:F$244,MATCH(SolverWork!$B41,MutualFunds!$B$6:$B$244,0),0)</f>
        <v>-3.2528591475942414E-3</v>
      </c>
      <c r="I41" s="14" cm="1">
        <f t="array" ref="I41">INDEX(Benchmarks!G$6:G$244,MATCH(SolverWork!$B41,MutualFunds!$B$6:$B$244,0),0)</f>
        <v>5.8905143949447754E-4</v>
      </c>
      <c r="J41" s="14" cm="1">
        <f t="array" ref="J41">INDEX(Benchmarks!H$6:H$244,MATCH(SolverWork!$B41,MutualFunds!$B$6:$B$244,0),0)</f>
        <v>-1.2570085006330264E-2</v>
      </c>
      <c r="K41" s="14" cm="1">
        <f t="array" ref="K41">INDEX(Benchmarks!I$6:I$244,MATCH(SolverWork!$B41,MutualFunds!$B$6:$B$244,0),0)</f>
        <v>3.2202174105285968E-2</v>
      </c>
      <c r="L41" s="14" cm="1">
        <f t="array" ref="L41">INDEX(Benchmarks!J$6:J$244,MATCH(SolverWork!$B41,MutualFunds!$B$6:$B$244,0),0)</f>
        <v>1.3432507924552081E-2</v>
      </c>
      <c r="M41" s="14" cm="1">
        <f t="array" ref="M41">INDEX(Benchmarks!K$6:K$244,MATCH(SolverWork!$B41,MutualFunds!$B$6:$B$244,0),0)</f>
        <v>2.437484972349109E-2</v>
      </c>
      <c r="N41" s="14" cm="1">
        <f t="array" ref="N41">INDEX(Benchmarks!L$6:L$244,MATCH(SolverWork!$B41,MutualFunds!$B$6:$B$244,0),0)</f>
        <v>5.3392129181669599E-2</v>
      </c>
      <c r="O41" s="14" cm="1">
        <f t="array" ref="O41">INDEX(Benchmarks!M$6:M$244,MATCH(SolverWork!$B41,MutualFunds!$B$6:$B$244,0),0)</f>
        <v>8.23521709241294E-2</v>
      </c>
      <c r="P41" s="14" cm="1">
        <f t="array" ref="P41">INDEX(Benchmarks!N$6:N$244,MATCH(SolverWork!$B41,MutualFunds!$B$6:$B$244,0),0)</f>
        <v>5.196751361404358E-2</v>
      </c>
      <c r="Q41" s="14" cm="1">
        <f t="array" ref="Q41">INDEX(Benchmarks!O$6:O$244,MATCH(SolverWork!$B41,MutualFunds!$B$6:$B$244,0),0)</f>
        <v>2.4169729024281328E-2</v>
      </c>
      <c r="R41" s="14" cm="1">
        <f t="array" ref="R41">INDEX(Benchmarks!P$6:P$244,MATCH(SolverWork!$B41,MutualFunds!$B$6:$B$244,0),0)</f>
        <v>2.7765988897283378E-2</v>
      </c>
      <c r="S41" s="14" cm="1">
        <f t="array" ref="S41">INDEX(Benchmarks!Q$6:Q$244,MATCH(SolverWork!$B41,MutualFunds!$B$6:$B$244,0),0)</f>
        <v>3.4236331719320952E-2</v>
      </c>
      <c r="T41" s="14" cm="1">
        <f t="array" ref="T41">INDEX(Benchmarks!R$6:R$244,MATCH(SolverWork!$B41,MutualFunds!$B$6:$B$244,0),0)</f>
        <v>-4.5170316188490899E-2</v>
      </c>
    </row>
    <row r="42" spans="1:20" x14ac:dyDescent="0.2">
      <c r="A42">
        <v>32</v>
      </c>
      <c r="B42" s="28">
        <f>IF(B41="","",IF(EOMONTH(B41,1)&lt;=EOMONTH(Front!$C$4,0),EOMONTH(B41,1),""))</f>
        <v>35338</v>
      </c>
      <c r="C42" s="14">
        <f>IF(B42="","",INDEX(MutualFunds!$C$6:$O$244,MATCH(B42,MutualFunds!$B$6:$B$244,0),MATCH(Front!$C$2,MutualFunds!$C$4:$O$4,0)))</f>
        <v>4.2791645440652053E-2</v>
      </c>
      <c r="D42" s="14">
        <f t="shared" si="0"/>
        <v>2.4327650435825576E-3</v>
      </c>
      <c r="E42" s="14" cm="1">
        <f t="array" ref="E42">INDEX(Benchmarks!C$6:C$244,MATCH(SolverWork!$B42,MutualFunds!$B$6:$B$244,0),0)</f>
        <v>4.4000000000000003E-3</v>
      </c>
      <c r="F42" s="14" cm="1">
        <f t="array" ref="F42">INDEX(Benchmarks!D$6:D$244,MATCH(SolverWork!$B42,MutualFunds!$B$6:$B$244,0),0)</f>
        <v>7.2586258327532035E-3</v>
      </c>
      <c r="G42" s="14" cm="1">
        <f t="array" ref="G42">INDEX(Benchmarks!E$6:E$244,MATCH(SolverWork!$B42,MutualFunds!$B$6:$B$244,0),0)</f>
        <v>2.1820565648997925E-2</v>
      </c>
      <c r="H42" s="14" cm="1">
        <f t="array" ref="H42">INDEX(Benchmarks!F$6:F$244,MATCH(SolverWork!$B42,MutualFunds!$B$6:$B$244,0),0)</f>
        <v>2.045252186665264E-2</v>
      </c>
      <c r="I42" s="14" cm="1">
        <f t="array" ref="I42">INDEX(Benchmarks!G$6:G$244,MATCH(SolverWork!$B42,MutualFunds!$B$6:$B$244,0),0)</f>
        <v>1.6470744408387833E-2</v>
      </c>
      <c r="J42" s="14" cm="1">
        <f t="array" ref="J42">INDEX(Benchmarks!H$6:H$244,MATCH(SolverWork!$B42,MutualFunds!$B$6:$B$244,0),0)</f>
        <v>2.4910706108617994E-2</v>
      </c>
      <c r="K42" s="14" cm="1">
        <f t="array" ref="K42">INDEX(Benchmarks!I$6:I$244,MATCH(SolverWork!$B42,MutualFunds!$B$6:$B$244,0),0)</f>
        <v>3.5468486735014342E-2</v>
      </c>
      <c r="L42" s="14" cm="1">
        <f t="array" ref="L42">INDEX(Benchmarks!J$6:J$244,MATCH(SolverWork!$B42,MutualFunds!$B$6:$B$244,0),0)</f>
        <v>6.7356229289895014E-2</v>
      </c>
      <c r="M42" s="14" cm="1">
        <f t="array" ref="M42">INDEX(Benchmarks!K$6:K$244,MATCH(SolverWork!$B42,MutualFunds!$B$6:$B$244,0),0)</f>
        <v>4.0665434380776383E-2</v>
      </c>
      <c r="N42" s="14" cm="1">
        <f t="array" ref="N42">INDEX(Benchmarks!L$6:L$244,MATCH(SolverWork!$B42,MutualFunds!$B$6:$B$244,0),0)</f>
        <v>4.7689319218780522E-2</v>
      </c>
      <c r="O42" s="14" cm="1">
        <f t="array" ref="O42">INDEX(Benchmarks!M$6:M$244,MATCH(SolverWork!$B42,MutualFunds!$B$6:$B$244,0),0)</f>
        <v>5.9905232382296565E-2</v>
      </c>
      <c r="P42" s="14" cm="1">
        <f t="array" ref="P42">INDEX(Benchmarks!N$6:N$244,MATCH(SolverWork!$B42,MutualFunds!$B$6:$B$244,0),0)</f>
        <v>3.2776668404919655E-2</v>
      </c>
      <c r="Q42" s="14" cm="1">
        <f t="array" ref="Q42">INDEX(Benchmarks!O$6:O$244,MATCH(SolverWork!$B42,MutualFunds!$B$6:$B$244,0),0)</f>
        <v>7.3019625596270638E-3</v>
      </c>
      <c r="R42" s="14" cm="1">
        <f t="array" ref="R42">INDEX(Benchmarks!P$6:P$244,MATCH(SolverWork!$B42,MutualFunds!$B$6:$B$244,0),0)</f>
        <v>1.9207191958138959E-2</v>
      </c>
      <c r="S42" s="14" cm="1">
        <f t="array" ref="S42">INDEX(Benchmarks!Q$6:Q$244,MATCH(SolverWork!$B42,MutualFunds!$B$6:$B$244,0),0)</f>
        <v>2.3985641946029E-2</v>
      </c>
      <c r="T42" s="14" cm="1">
        <f t="array" ref="T42">INDEX(Benchmarks!R$6:R$244,MATCH(SolverWork!$B42,MutualFunds!$B$6:$B$244,0),0)</f>
        <v>3.4159450621066213E-2</v>
      </c>
    </row>
    <row r="43" spans="1:20" x14ac:dyDescent="0.2">
      <c r="A43">
        <v>33</v>
      </c>
      <c r="B43" s="28">
        <f>IF(B42="","",IF(EOMONTH(B42,1)&lt;=EOMONTH(Front!$C$4,0),EOMONTH(B42,1),""))</f>
        <v>35369</v>
      </c>
      <c r="C43" s="14">
        <f>IF(B43="","",INDEX(MutualFunds!$C$6:$O$244,MATCH(B43,MutualFunds!$B$6:$B$244,0),MATCH(Front!$C$2,MutualFunds!$C$4:$O$4,0)))</f>
        <v>1.563263312164144E-2</v>
      </c>
      <c r="D43" s="14">
        <f t="shared" si="0"/>
        <v>-1.6231819014004965E-2</v>
      </c>
      <c r="E43" s="14" cm="1">
        <f t="array" ref="E43">INDEX(Benchmarks!C$6:C$244,MATCH(SolverWork!$B43,MutualFunds!$B$6:$B$244,0),0)</f>
        <v>4.1999999999999997E-3</v>
      </c>
      <c r="F43" s="14" cm="1">
        <f t="array" ref="F43">INDEX(Benchmarks!D$6:D$244,MATCH(SolverWork!$B43,MutualFunds!$B$6:$B$244,0),0)</f>
        <v>1.1056268509378129E-2</v>
      </c>
      <c r="G43" s="14" cm="1">
        <f t="array" ref="G43">INDEX(Benchmarks!E$6:E$244,MATCH(SolverWork!$B43,MutualFunds!$B$6:$B$244,0),0)</f>
        <v>3.3910732288516203E-2</v>
      </c>
      <c r="H43" s="14" cm="1">
        <f t="array" ref="H43">INDEX(Benchmarks!F$6:F$244,MATCH(SolverWork!$B43,MutualFunds!$B$6:$B$244,0),0)</f>
        <v>2.6951987457030122E-2</v>
      </c>
      <c r="I43" s="14" cm="1">
        <f t="array" ref="I43">INDEX(Benchmarks!G$6:G$244,MATCH(SolverWork!$B43,MutualFunds!$B$6:$B$244,0),0)</f>
        <v>1.980802371171201E-2</v>
      </c>
      <c r="J43" s="14" cm="1">
        <f t="array" ref="J43">INDEX(Benchmarks!H$6:H$244,MATCH(SolverWork!$B43,MutualFunds!$B$6:$B$244,0),0)</f>
        <v>2.4483960325261452E-2</v>
      </c>
      <c r="K43" s="14" cm="1">
        <f t="array" ref="K43">INDEX(Benchmarks!I$6:I$244,MATCH(SolverWork!$B43,MutualFunds!$B$6:$B$244,0),0)</f>
        <v>-2.4760136180748773E-3</v>
      </c>
      <c r="L43" s="14" cm="1">
        <f t="array" ref="L43">INDEX(Benchmarks!J$6:J$244,MATCH(SolverWork!$B43,MutualFunds!$B$6:$B$244,0),0)</f>
        <v>2.0745082109905347E-2</v>
      </c>
      <c r="M43" s="14" cm="1">
        <f t="array" ref="M43">INDEX(Benchmarks!K$6:K$244,MATCH(SolverWork!$B43,MutualFunds!$B$6:$B$244,0),0)</f>
        <v>3.1830612647664215E-2</v>
      </c>
      <c r="N43" s="14" cm="1">
        <f t="array" ref="N43">INDEX(Benchmarks!L$6:L$244,MATCH(SolverWork!$B43,MutualFunds!$B$6:$B$244,0),0)</f>
        <v>-6.7264573991030674E-3</v>
      </c>
      <c r="O43" s="14" cm="1">
        <f t="array" ref="O43">INDEX(Benchmarks!M$6:M$244,MATCH(SolverWork!$B43,MutualFunds!$B$6:$B$244,0),0)</f>
        <v>-6.4442795723471336E-2</v>
      </c>
      <c r="P43" s="14" cm="1">
        <f t="array" ref="P43">INDEX(Benchmarks!N$6:N$244,MATCH(SolverWork!$B43,MutualFunds!$B$6:$B$244,0),0)</f>
        <v>1.4384236453202049E-2</v>
      </c>
      <c r="Q43" s="14" cm="1">
        <f t="array" ref="Q43">INDEX(Benchmarks!O$6:O$244,MATCH(SolverWork!$B43,MutualFunds!$B$6:$B$244,0),0)</f>
        <v>-2.7431462955873231E-2</v>
      </c>
      <c r="R43" s="14" cm="1">
        <f t="array" ref="R43">INDEX(Benchmarks!P$6:P$244,MATCH(SolverWork!$B43,MutualFunds!$B$6:$B$244,0),0)</f>
        <v>2.1390287131333324E-2</v>
      </c>
      <c r="S43" s="14" cm="1">
        <f t="array" ref="S43">INDEX(Benchmarks!Q$6:Q$244,MATCH(SolverWork!$B43,MutualFunds!$B$6:$B$244,0),0)</f>
        <v>-2.0038559767639807E-2</v>
      </c>
      <c r="T43" s="14" cm="1">
        <f t="array" ref="T43">INDEX(Benchmarks!R$6:R$244,MATCH(SolverWork!$B43,MutualFunds!$B$6:$B$244,0),0)</f>
        <v>-6.7556012113444169E-2</v>
      </c>
    </row>
    <row r="44" spans="1:20" x14ac:dyDescent="0.2">
      <c r="A44">
        <v>34</v>
      </c>
      <c r="B44" s="28">
        <f>IF(B43="","",IF(EOMONTH(B43,1)&lt;=EOMONTH(Front!$C$4,0),EOMONTH(B43,1),""))</f>
        <v>35399</v>
      </c>
      <c r="C44" s="14">
        <f>IF(B44="","",INDEX(MutualFunds!$C$6:$O$244,MATCH(B44,MutualFunds!$B$6:$B$244,0),MATCH(Front!$C$2,MutualFunds!$C$4:$O$4,0)))</f>
        <v>5.3872053872053745E-2</v>
      </c>
      <c r="D44" s="14">
        <f t="shared" si="0"/>
        <v>-1.8858957030921324E-2</v>
      </c>
      <c r="E44" s="14" cm="1">
        <f t="array" ref="E44">INDEX(Benchmarks!C$6:C$244,MATCH(SolverWork!$B44,MutualFunds!$B$6:$B$244,0),0)</f>
        <v>4.0999999999999995E-3</v>
      </c>
      <c r="F44" s="14" cm="1">
        <f t="array" ref="F44">INDEX(Benchmarks!D$6:D$244,MATCH(SolverWork!$B44,MutualFunds!$B$6:$B$244,0),0)</f>
        <v>7.2251513376293194E-3</v>
      </c>
      <c r="G44" s="14" cm="1">
        <f t="array" ref="G44">INDEX(Benchmarks!E$6:E$244,MATCH(SolverWork!$B44,MutualFunds!$B$6:$B$244,0),0)</f>
        <v>2.6150163992553876E-2</v>
      </c>
      <c r="H44" s="14" cm="1">
        <f t="array" ref="H44">INDEX(Benchmarks!F$6:F$244,MATCH(SolverWork!$B44,MutualFunds!$B$6:$B$244,0),0)</f>
        <v>2.1889376244999294E-2</v>
      </c>
      <c r="I44" s="14" cm="1">
        <f t="array" ref="I44">INDEX(Benchmarks!G$6:G$244,MATCH(SolverWork!$B44,MutualFunds!$B$6:$B$244,0),0)</f>
        <v>1.5066479588427812E-2</v>
      </c>
      <c r="J44" s="14" cm="1">
        <f t="array" ref="J44">INDEX(Benchmarks!H$6:H$244,MATCH(SolverWork!$B44,MutualFunds!$B$6:$B$244,0),0)</f>
        <v>2.6079372001744393E-2</v>
      </c>
      <c r="K44" s="14" cm="1">
        <f t="array" ref="K44">INDEX(Benchmarks!I$6:I$244,MATCH(SolverWork!$B44,MutualFunds!$B$6:$B$244,0),0)</f>
        <v>8.3216854108619009E-2</v>
      </c>
      <c r="L44" s="14" cm="1">
        <f t="array" ref="L44">INDEX(Benchmarks!J$6:J$244,MATCH(SolverWork!$B44,MutualFunds!$B$6:$B$244,0),0)</f>
        <v>7.3278189932065682E-2</v>
      </c>
      <c r="M44" s="14" cm="1">
        <f t="array" ref="M44">INDEX(Benchmarks!K$6:K$244,MATCH(SolverWork!$B44,MutualFunds!$B$6:$B$244,0),0)</f>
        <v>7.3501284223181529E-2</v>
      </c>
      <c r="N44" s="14" cm="1">
        <f t="array" ref="N44">INDEX(Benchmarks!L$6:L$244,MATCH(SolverWork!$B44,MutualFunds!$B$6:$B$244,0),0)</f>
        <v>5.6708340568385626E-2</v>
      </c>
      <c r="O44" s="14" cm="1">
        <f t="array" ref="O44">INDEX(Benchmarks!M$6:M$244,MATCH(SolverWork!$B44,MutualFunds!$B$6:$B$244,0),0)</f>
        <v>1.4610043006598416E-2</v>
      </c>
      <c r="P44" s="14" cm="1">
        <f t="array" ref="P44">INDEX(Benchmarks!N$6:N$244,MATCH(SolverWork!$B44,MutualFunds!$B$6:$B$244,0),0)</f>
        <v>6.1176670551670531E-2</v>
      </c>
      <c r="Q44" s="14" cm="1">
        <f t="array" ref="Q44">INDEX(Benchmarks!O$6:O$244,MATCH(SolverWork!$B44,MutualFunds!$B$6:$B$244,0),0)</f>
        <v>1.5565900494617421E-2</v>
      </c>
      <c r="R44" s="14" cm="1">
        <f t="array" ref="R44">INDEX(Benchmarks!P$6:P$244,MATCH(SolverWork!$B44,MutualFunds!$B$6:$B$244,0),0)</f>
        <v>4.8858874790613696E-2</v>
      </c>
      <c r="S44" s="14" cm="1">
        <f t="array" ref="S44">INDEX(Benchmarks!Q$6:Q$244,MATCH(SolverWork!$B44,MutualFunds!$B$6:$B$244,0),0)</f>
        <v>5.6043150210666505E-2</v>
      </c>
      <c r="T44" s="14" cm="1">
        <f t="array" ref="T44">INDEX(Benchmarks!R$6:R$244,MATCH(SolverWork!$B44,MutualFunds!$B$6:$B$244,0),0)</f>
        <v>1.8575274586254922E-2</v>
      </c>
    </row>
    <row r="45" spans="1:20" x14ac:dyDescent="0.2">
      <c r="A45">
        <v>35</v>
      </c>
      <c r="B45" s="28">
        <f>IF(B44="","",IF(EOMONTH(B44,1)&lt;=EOMONTH(Front!$C$4,0),EOMONTH(B44,1),""))</f>
        <v>35430</v>
      </c>
      <c r="C45" s="14">
        <f>IF(B45="","",INDEX(MutualFunds!$C$6:$O$244,MATCH(B45,MutualFunds!$B$6:$B$244,0),MATCH(Front!$C$2,MutualFunds!$C$4:$O$4,0)))</f>
        <v>-4.1989958922866187E-2</v>
      </c>
      <c r="D45" s="14">
        <f t="shared" si="0"/>
        <v>-2.3940147893753424E-2</v>
      </c>
      <c r="E45" s="14" cm="1">
        <f t="array" ref="E45">INDEX(Benchmarks!C$6:C$244,MATCH(SolverWork!$B45,MutualFunds!$B$6:$B$244,0),0)</f>
        <v>4.5999999999999999E-3</v>
      </c>
      <c r="F45" s="14" cm="1">
        <f t="array" ref="F45">INDEX(Benchmarks!D$6:D$244,MATCH(SolverWork!$B45,MutualFunds!$B$6:$B$244,0),0)</f>
        <v>-1.1729352462194588E-2</v>
      </c>
      <c r="G45" s="14" cm="1">
        <f t="array" ref="G45">INDEX(Benchmarks!E$6:E$244,MATCH(SolverWork!$B45,MutualFunds!$B$6:$B$244,0),0)</f>
        <v>-3.0580511402902608E-2</v>
      </c>
      <c r="H45" s="14" cm="1">
        <f t="array" ref="H45">INDEX(Benchmarks!F$6:F$244,MATCH(SolverWork!$B45,MutualFunds!$B$6:$B$244,0),0)</f>
        <v>-1.305724436598488E-2</v>
      </c>
      <c r="I45" s="14" cm="1">
        <f t="array" ref="I45">INDEX(Benchmarks!G$6:G$244,MATCH(SolverWork!$B45,MutualFunds!$B$6:$B$244,0),0)</f>
        <v>-5.0024683231858161E-3</v>
      </c>
      <c r="J45" s="14" cm="1">
        <f t="array" ref="J45">INDEX(Benchmarks!H$6:H$244,MATCH(SolverWork!$B45,MutualFunds!$B$6:$B$244,0),0)</f>
        <v>-2.0061203672220328E-2</v>
      </c>
      <c r="K45" s="14" cm="1">
        <f t="array" ref="K45">INDEX(Benchmarks!I$6:I$244,MATCH(SolverWork!$B45,MutualFunds!$B$6:$B$244,0),0)</f>
        <v>9.6451623881207166E-3</v>
      </c>
      <c r="L45" s="14" cm="1">
        <f t="array" ref="L45">INDEX(Benchmarks!J$6:J$244,MATCH(SolverWork!$B45,MutualFunds!$B$6:$B$244,0),0)</f>
        <v>-2.5000662093805442E-2</v>
      </c>
      <c r="M45" s="14" cm="1">
        <f t="array" ref="M45">INDEX(Benchmarks!K$6:K$244,MATCH(SolverWork!$B45,MutualFunds!$B$6:$B$244,0),0)</f>
        <v>-1.7842598248829136E-2</v>
      </c>
      <c r="N45" s="14" cm="1">
        <f t="array" ref="N45">INDEX(Benchmarks!L$6:L$244,MATCH(SolverWork!$B45,MutualFunds!$B$6:$B$244,0),0)</f>
        <v>4.4230216221397816E-3</v>
      </c>
      <c r="O45" s="14" cm="1">
        <f t="array" ref="O45">INDEX(Benchmarks!M$6:M$244,MATCH(SolverWork!$B45,MutualFunds!$B$6:$B$244,0),0)</f>
        <v>3.3168326753110862E-3</v>
      </c>
      <c r="P45" s="14" cm="1">
        <f t="array" ref="P45">INDEX(Benchmarks!N$6:N$244,MATCH(SolverWork!$B45,MutualFunds!$B$6:$B$244,0),0)</f>
        <v>2.3407736222499254E-2</v>
      </c>
      <c r="Q45" s="14" cm="1">
        <f t="array" ref="Q45">INDEX(Benchmarks!O$6:O$244,MATCH(SolverWork!$B45,MutualFunds!$B$6:$B$244,0),0)</f>
        <v>3.3852389258238135E-3</v>
      </c>
      <c r="R45" s="14" cm="1">
        <f t="array" ref="R45">INDEX(Benchmarks!P$6:P$244,MATCH(SolverWork!$B45,MutualFunds!$B$6:$B$244,0),0)</f>
        <v>1.7633235722172264E-2</v>
      </c>
      <c r="S45" s="14" cm="1">
        <f t="array" ref="S45">INDEX(Benchmarks!Q$6:Q$244,MATCH(SolverWork!$B45,MutualFunds!$B$6:$B$244,0),0)</f>
        <v>-7.4544350380222569E-3</v>
      </c>
      <c r="T45" s="14" cm="1">
        <f t="array" ref="T45">INDEX(Benchmarks!R$6:R$244,MATCH(SolverWork!$B45,MutualFunds!$B$6:$B$244,0),0)</f>
        <v>-6.9604091914605259E-2</v>
      </c>
    </row>
    <row r="46" spans="1:20" x14ac:dyDescent="0.2">
      <c r="A46">
        <v>36</v>
      </c>
      <c r="B46" s="28">
        <f>IF(B45="","",IF(EOMONTH(B45,1)&lt;=EOMONTH(Front!$C$4,0),EOMONTH(B45,1),""))</f>
        <v>35461</v>
      </c>
      <c r="C46" s="14">
        <f>IF(B46="","",INDEX(MutualFunds!$C$6:$O$244,MATCH(B46,MutualFunds!$B$6:$B$244,0),MATCH(Front!$C$2,MutualFunds!$C$4:$O$4,0)))</f>
        <v>2.6679371129109036E-2</v>
      </c>
      <c r="D46" s="14">
        <f>IF(B46="","",C46-SUMPRODUCT($E$7:$T$7,E46:T46))</f>
        <v>-1.6978173358595174E-2</v>
      </c>
      <c r="E46" s="14" cm="1">
        <f t="array" ref="E46">INDEX(Benchmarks!C$6:C$244,MATCH(SolverWork!$B46,MutualFunds!$B$6:$B$244,0),0)</f>
        <v>4.5000000000000005E-3</v>
      </c>
      <c r="F46" s="14" cm="1">
        <f t="array" ref="F46">INDEX(Benchmarks!D$6:D$244,MATCH(SolverWork!$B46,MutualFunds!$B$6:$B$244,0),0)</f>
        <v>-1.5693967631191426E-3</v>
      </c>
      <c r="G46" s="14" cm="1">
        <f t="array" ref="G46">INDEX(Benchmarks!E$6:E$244,MATCH(SolverWork!$B46,MutualFunds!$B$6:$B$244,0),0)</f>
        <v>-1.3366601318837996E-2</v>
      </c>
      <c r="H46" s="14" cm="1">
        <f t="array" ref="H46">INDEX(Benchmarks!F$6:F$244,MATCH(SolverWork!$B46,MutualFunds!$B$6:$B$244,0),0)</f>
        <v>1.4146758162408904E-3</v>
      </c>
      <c r="I46" s="14" cm="1">
        <f t="array" ref="I46">INDEX(Benchmarks!G$6:G$244,MATCH(SolverWork!$B46,MutualFunds!$B$6:$B$244,0),0)</f>
        <v>6.7448373190443188E-3</v>
      </c>
      <c r="J46" s="14" cm="1">
        <f t="array" ref="J46">INDEX(Benchmarks!H$6:H$244,MATCH(SolverWork!$B46,MutualFunds!$B$6:$B$244,0),0)</f>
        <v>-4.6842470506591955E-3</v>
      </c>
      <c r="K46" s="14" cm="1">
        <f t="array" ref="K46">INDEX(Benchmarks!I$6:I$244,MATCH(SolverWork!$B46,MutualFunds!$B$6:$B$244,0),0)</f>
        <v>-1.4701710330802567E-2</v>
      </c>
      <c r="L46" s="14" cm="1">
        <f t="array" ref="L46">INDEX(Benchmarks!J$6:J$244,MATCH(SolverWork!$B46,MutualFunds!$B$6:$B$244,0),0)</f>
        <v>7.7495586038299522E-2</v>
      </c>
      <c r="M46" s="14" cm="1">
        <f t="array" ref="M46">INDEX(Benchmarks!K$6:K$244,MATCH(SolverWork!$B46,MutualFunds!$B$6:$B$244,0),0)</f>
        <v>4.4600513126182337E-2</v>
      </c>
      <c r="N46" s="14" cm="1">
        <f t="array" ref="N46">INDEX(Benchmarks!L$6:L$244,MATCH(SolverWork!$B46,MutualFunds!$B$6:$B$244,0),0)</f>
        <v>1.0034083162917538E-2</v>
      </c>
      <c r="O46" s="14" cm="1">
        <f t="array" ref="O46">INDEX(Benchmarks!M$6:M$244,MATCH(SolverWork!$B46,MutualFunds!$B$6:$B$244,0),0)</f>
        <v>3.1590511860174891E-2</v>
      </c>
      <c r="P46" s="14" cm="1">
        <f t="array" ref="P46">INDEX(Benchmarks!N$6:N$244,MATCH(SolverWork!$B46,MutualFunds!$B$6:$B$244,0),0)</f>
        <v>1.2721764502028993E-2</v>
      </c>
      <c r="Q46" s="14" cm="1">
        <f t="array" ref="Q46">INDEX(Benchmarks!O$6:O$244,MATCH(SolverWork!$B46,MutualFunds!$B$6:$B$244,0),0)</f>
        <v>6.7392376893442407E-2</v>
      </c>
      <c r="R46" s="14" cm="1">
        <f t="array" ref="R46">INDEX(Benchmarks!P$6:P$244,MATCH(SolverWork!$B46,MutualFunds!$B$6:$B$244,0),0)</f>
        <v>1.1126081398733496E-3</v>
      </c>
      <c r="S46" s="14" cm="1">
        <f t="array" ref="S46">INDEX(Benchmarks!Q$6:Q$244,MATCH(SolverWork!$B46,MutualFunds!$B$6:$B$244,0),0)</f>
        <v>1.3207225215123238E-2</v>
      </c>
      <c r="T46" s="14" cm="1">
        <f t="array" ref="T46">INDEX(Benchmarks!R$6:R$244,MATCH(SolverWork!$B46,MutualFunds!$B$6:$B$244,0),0)</f>
        <v>-0.10933658313223547</v>
      </c>
    </row>
    <row r="47" spans="1:20" x14ac:dyDescent="0.2">
      <c r="A47">
        <v>37</v>
      </c>
      <c r="B47" s="28">
        <f>IF(B46="","",IF(EOMONTH(B46,1)&lt;=EOMONTH(Front!$C$4,0),EOMONTH(B46,1),""))</f>
        <v>35489</v>
      </c>
      <c r="C47" s="14">
        <f>IF(B47="","",INDEX(MutualFunds!$C$6:$O$244,MATCH(B47,MutualFunds!$B$6:$B$244,0),MATCH(Front!$C$2,MutualFunds!$C$4:$O$4,0)))</f>
        <v>1.7633410672853782E-2</v>
      </c>
      <c r="D47" s="14">
        <f t="shared" si="0"/>
        <v>1.3130983220136939E-2</v>
      </c>
      <c r="E47" s="14" cm="1">
        <f t="array" ref="E47">INDEX(Benchmarks!C$6:C$244,MATCH(SolverWork!$B47,MutualFunds!$B$6:$B$244,0),0)</f>
        <v>3.9000000000000003E-3</v>
      </c>
      <c r="F47" s="14" cm="1">
        <f t="array" ref="F47">INDEX(Benchmarks!D$6:D$244,MATCH(SolverWork!$B47,MutualFunds!$B$6:$B$244,0),0)</f>
        <v>-3.9296591020729511E-3</v>
      </c>
      <c r="G47" s="14" cm="1">
        <f t="array" ref="G47">INDEX(Benchmarks!E$6:E$244,MATCH(SolverWork!$B47,MutualFunds!$B$6:$B$244,0),0)</f>
        <v>-6.7738439306358382E-3</v>
      </c>
      <c r="H47" s="14" cm="1">
        <f t="array" ref="H47">INDEX(Benchmarks!F$6:F$244,MATCH(SolverWork!$B47,MutualFunds!$B$6:$B$244,0),0)</f>
        <v>2.5555439043385129E-3</v>
      </c>
      <c r="I47" s="14" cm="1">
        <f t="array" ref="I47">INDEX(Benchmarks!G$6:G$244,MATCH(SolverWork!$B47,MutualFunds!$B$6:$B$244,0),0)</f>
        <v>3.4169032671399328E-3</v>
      </c>
      <c r="J47" s="14" cm="1">
        <f t="array" ref="J47">INDEX(Benchmarks!H$6:H$244,MATCH(SolverWork!$B47,MutualFunds!$B$6:$B$244,0),0)</f>
        <v>-1.2201499041310838E-3</v>
      </c>
      <c r="K47" s="14" cm="1">
        <f t="array" ref="K47">INDEX(Benchmarks!I$6:I$244,MATCH(SolverWork!$B47,MutualFunds!$B$6:$B$244,0),0)</f>
        <v>-6.8937992297144271E-2</v>
      </c>
      <c r="L47" s="14" cm="1">
        <f t="array" ref="L47">INDEX(Benchmarks!J$6:J$244,MATCH(SolverWork!$B47,MutualFunds!$B$6:$B$244,0),0)</f>
        <v>7.0837955026721846E-3</v>
      </c>
      <c r="M47" s="14" cm="1">
        <f t="array" ref="M47">INDEX(Benchmarks!K$6:K$244,MATCH(SolverWork!$B47,MutualFunds!$B$6:$B$244,0),0)</f>
        <v>4.688895504614576E-3</v>
      </c>
      <c r="N47" s="14" cm="1">
        <f t="array" ref="N47">INDEX(Benchmarks!L$6:L$244,MATCH(SolverWork!$B47,MutualFunds!$B$6:$B$244,0),0)</f>
        <v>-3.1125988715816681E-2</v>
      </c>
      <c r="O47" s="14" cm="1">
        <f t="array" ref="O47">INDEX(Benchmarks!M$6:M$244,MATCH(SolverWork!$B47,MutualFunds!$B$6:$B$244,0),0)</f>
        <v>-7.9254124390055108E-2</v>
      </c>
      <c r="P47" s="14" cm="1">
        <f t="array" ref="P47">INDEX(Benchmarks!N$6:N$244,MATCH(SolverWork!$B47,MutualFunds!$B$6:$B$244,0),0)</f>
        <v>1.9626673731386216E-2</v>
      </c>
      <c r="Q47" s="14" cm="1">
        <f t="array" ref="Q47">INDEX(Benchmarks!O$6:O$244,MATCH(SolverWork!$B47,MutualFunds!$B$6:$B$244,0),0)</f>
        <v>4.2178141872289403E-2</v>
      </c>
      <c r="R47" s="14" cm="1">
        <f t="array" ref="R47">INDEX(Benchmarks!P$6:P$244,MATCH(SolverWork!$B47,MutualFunds!$B$6:$B$244,0),0)</f>
        <v>1.1595272245821214E-2</v>
      </c>
      <c r="S47" s="14" cm="1">
        <f t="array" ref="S47">INDEX(Benchmarks!Q$6:Q$244,MATCH(SolverWork!$B47,MutualFunds!$B$6:$B$244,0),0)</f>
        <v>2.7354877203787831E-3</v>
      </c>
      <c r="T47" s="14" cm="1">
        <f t="array" ref="T47">INDEX(Benchmarks!R$6:R$244,MATCH(SolverWork!$B47,MutualFunds!$B$6:$B$244,0),0)</f>
        <v>2.2801695578244768E-2</v>
      </c>
    </row>
    <row r="48" spans="1:20" x14ac:dyDescent="0.2">
      <c r="A48">
        <v>38</v>
      </c>
      <c r="B48" s="28">
        <f>IF(B47="","",IF(EOMONTH(B47,1)&lt;=EOMONTH(Front!$C$4,0),EOMONTH(B47,1),""))</f>
        <v>35520</v>
      </c>
      <c r="C48" s="14">
        <f>IF(B48="","",INDEX(MutualFunds!$C$6:$O$244,MATCH(B48,MutualFunds!$B$6:$B$244,0),MATCH(Front!$C$2,MutualFunds!$C$4:$O$4,0)))</f>
        <v>-1.3679890560875384E-2</v>
      </c>
      <c r="D48" s="14">
        <f t="shared" si="0"/>
        <v>2.2162120511385965E-2</v>
      </c>
      <c r="E48" s="14" cm="1">
        <f t="array" ref="E48">INDEX(Benchmarks!C$6:C$244,MATCH(SolverWork!$B48,MutualFunds!$B$6:$B$244,0),0)</f>
        <v>4.3E-3</v>
      </c>
      <c r="F48" s="14" cm="1">
        <f t="array" ref="F48">INDEX(Benchmarks!D$6:D$244,MATCH(SolverWork!$B48,MutualFunds!$B$6:$B$244,0),0)</f>
        <v>-1.1736857678271996E-2</v>
      </c>
      <c r="G48" s="14" cm="1">
        <f t="array" ref="G48">INDEX(Benchmarks!E$6:E$244,MATCH(SolverWork!$B48,MutualFunds!$B$6:$B$244,0),0)</f>
        <v>-3.2099663544603085E-2</v>
      </c>
      <c r="H48" s="14" cm="1">
        <f t="array" ref="H48">INDEX(Benchmarks!F$6:F$244,MATCH(SolverWork!$B48,MutualFunds!$B$6:$B$244,0),0)</f>
        <v>-1.2499529916137E-2</v>
      </c>
      <c r="I48" s="14" cm="1">
        <f t="array" ref="I48">INDEX(Benchmarks!G$6:G$244,MATCH(SolverWork!$B48,MutualFunds!$B$6:$B$244,0),0)</f>
        <v>-9.6359801468521578E-3</v>
      </c>
      <c r="J48" s="14" cm="1">
        <f t="array" ref="J48">INDEX(Benchmarks!H$6:H$244,MATCH(SolverWork!$B48,MutualFunds!$B$6:$B$244,0),0)</f>
        <v>-2.8795811518324704E-2</v>
      </c>
      <c r="K48" s="14" cm="1">
        <f t="array" ref="K48">INDEX(Benchmarks!I$6:I$244,MATCH(SolverWork!$B48,MutualFunds!$B$6:$B$244,0),0)</f>
        <v>1.6867883048527599E-2</v>
      </c>
      <c r="L48" s="14" cm="1">
        <f t="array" ref="L48">INDEX(Benchmarks!J$6:J$244,MATCH(SolverWork!$B48,MutualFunds!$B$6:$B$244,0),0)</f>
        <v>-4.8887331347468095E-2</v>
      </c>
      <c r="M48" s="14" cm="1">
        <f t="array" ref="M48">INDEX(Benchmarks!K$6:K$244,MATCH(SolverWork!$B48,MutualFunds!$B$6:$B$244,0),0)</f>
        <v>-3.5903894115613552E-2</v>
      </c>
      <c r="N48" s="14" cm="1">
        <f t="array" ref="N48">INDEX(Benchmarks!L$6:L$244,MATCH(SolverWork!$B48,MutualFunds!$B$6:$B$244,0),0)</f>
        <v>-4.4706046252438042E-2</v>
      </c>
      <c r="O48" s="14" cm="1">
        <f t="array" ref="O48">INDEX(Benchmarks!M$6:M$244,MATCH(SolverWork!$B48,MutualFunds!$B$6:$B$244,0),0)</f>
        <v>-8.3268490673171908E-2</v>
      </c>
      <c r="P48" s="14" cm="1">
        <f t="array" ref="P48">INDEX(Benchmarks!N$6:N$244,MATCH(SolverWork!$B48,MutualFunds!$B$6:$B$244,0),0)</f>
        <v>-3.6484101809048534E-2</v>
      </c>
      <c r="Q48" s="14" cm="1">
        <f t="array" ref="Q48">INDEX(Benchmarks!O$6:O$244,MATCH(SolverWork!$B48,MutualFunds!$B$6:$B$244,0),0)</f>
        <v>-2.8783129096608673E-2</v>
      </c>
      <c r="R48" s="14" cm="1">
        <f t="array" ref="R48">INDEX(Benchmarks!P$6:P$244,MATCH(SolverWork!$B48,MutualFunds!$B$6:$B$244,0),0)</f>
        <v>3.0633332765270894E-2</v>
      </c>
      <c r="S48" s="14" cm="1">
        <f t="array" ref="S48">INDEX(Benchmarks!Q$6:Q$244,MATCH(SolverWork!$B48,MutualFunds!$B$6:$B$244,0),0)</f>
        <v>-5.7110980481543235E-2</v>
      </c>
      <c r="T48" s="14" cm="1">
        <f t="array" ref="T48">INDEX(Benchmarks!R$6:R$244,MATCH(SolverWork!$B48,MutualFunds!$B$6:$B$244,0),0)</f>
        <v>-3.3476346612989087E-2</v>
      </c>
    </row>
    <row r="49" spans="1:20" x14ac:dyDescent="0.2">
      <c r="A49">
        <v>39</v>
      </c>
      <c r="B49" s="28">
        <f>IF(B48="","",IF(EOMONTH(B48,1)&lt;=EOMONTH(Front!$C$4,0),EOMONTH(B48,1),""))</f>
        <v>35550</v>
      </c>
      <c r="C49" s="14">
        <f>IF(B49="","",INDEX(MutualFunds!$C$6:$O$244,MATCH(B49,MutualFunds!$B$6:$B$244,0),MATCH(Front!$C$2,MutualFunds!$C$4:$O$4,0)))</f>
        <v>3.698566805362908E-2</v>
      </c>
      <c r="D49" s="14">
        <f t="shared" si="0"/>
        <v>1.3848054062812754E-3</v>
      </c>
      <c r="E49" s="14" cm="1">
        <f t="array" ref="E49">INDEX(Benchmarks!C$6:C$244,MATCH(SolverWork!$B49,MutualFunds!$B$6:$B$244,0),0)</f>
        <v>4.3E-3</v>
      </c>
      <c r="F49" s="14" cm="1">
        <f t="array" ref="F49">INDEX(Benchmarks!D$6:D$244,MATCH(SolverWork!$B49,MutualFunds!$B$6:$B$244,0),0)</f>
        <v>5.9880239520957515E-3</v>
      </c>
      <c r="G49" s="14" cm="1">
        <f t="array" ref="G49">INDEX(Benchmarks!E$6:E$244,MATCH(SolverWork!$B49,MutualFunds!$B$6:$B$244,0),0)</f>
        <v>1.8508079669297246E-2</v>
      </c>
      <c r="H49" s="14" cm="1">
        <f t="array" ref="H49">INDEX(Benchmarks!F$6:F$244,MATCH(SolverWork!$B49,MutualFunds!$B$6:$B$244,0),0)</f>
        <v>1.6172067273133996E-2</v>
      </c>
      <c r="I49" s="14" cm="1">
        <f t="array" ref="I49">INDEX(Benchmarks!G$6:G$244,MATCH(SolverWork!$B49,MutualFunds!$B$6:$B$244,0),0)</f>
        <v>1.6348931492356656E-2</v>
      </c>
      <c r="J49" s="14" cm="1">
        <f t="array" ref="J49">INDEX(Benchmarks!H$6:H$244,MATCH(SolverWork!$B49,MutualFunds!$B$6:$B$244,0),0)</f>
        <v>1.1500449236298303E-2</v>
      </c>
      <c r="K49" s="14" cm="1">
        <f t="array" ref="K49">INDEX(Benchmarks!I$6:I$244,MATCH(SolverWork!$B49,MutualFunds!$B$6:$B$244,0),0)</f>
        <v>2.3134180050947566E-2</v>
      </c>
      <c r="L49" s="14" cm="1">
        <f t="array" ref="L49">INDEX(Benchmarks!J$6:J$244,MATCH(SolverWork!$B49,MutualFunds!$B$6:$B$244,0),0)</f>
        <v>7.9745236340667477E-2</v>
      </c>
      <c r="M49" s="14" cm="1">
        <f t="array" ref="M49">INDEX(Benchmarks!K$6:K$244,MATCH(SolverWork!$B49,MutualFunds!$B$6:$B$244,0),0)</f>
        <v>3.5883513049714391E-2</v>
      </c>
      <c r="N49" s="14" cm="1">
        <f t="array" ref="N49">INDEX(Benchmarks!L$6:L$244,MATCH(SolverWork!$B49,MutualFunds!$B$6:$B$244,0),0)</f>
        <v>8.6333872920038475E-3</v>
      </c>
      <c r="O49" s="14" cm="1">
        <f t="array" ref="O49">INDEX(Benchmarks!M$6:M$244,MATCH(SolverWork!$B49,MutualFunds!$B$6:$B$244,0),0)</f>
        <v>-2.8342681486069572E-2</v>
      </c>
      <c r="P49" s="14" cm="1">
        <f t="array" ref="P49">INDEX(Benchmarks!N$6:N$244,MATCH(SolverWork!$B49,MutualFunds!$B$6:$B$244,0),0)</f>
        <v>1.2449578085147069E-2</v>
      </c>
      <c r="Q49" s="14" cm="1">
        <f t="array" ref="Q49">INDEX(Benchmarks!O$6:O$244,MATCH(SolverWork!$B49,MutualFunds!$B$6:$B$244,0),0)</f>
        <v>-1.7605633802818118E-3</v>
      </c>
      <c r="R49" s="14" cm="1">
        <f t="array" ref="R49">INDEX(Benchmarks!P$6:P$244,MATCH(SolverWork!$B49,MutualFunds!$B$6:$B$244,0),0)</f>
        <v>-6.5612226450369711E-3</v>
      </c>
      <c r="S49" s="14" cm="1">
        <f t="array" ref="S49">INDEX(Benchmarks!Q$6:Q$244,MATCH(SolverWork!$B49,MutualFunds!$B$6:$B$244,0),0)</f>
        <v>-2.698851346881026E-2</v>
      </c>
      <c r="T49" s="14" cm="1">
        <f t="array" ref="T49">INDEX(Benchmarks!R$6:R$244,MATCH(SolverWork!$B49,MutualFunds!$B$6:$B$244,0),0)</f>
        <v>3.5732051404216217E-2</v>
      </c>
    </row>
    <row r="50" spans="1:20" x14ac:dyDescent="0.2">
      <c r="A50">
        <v>40</v>
      </c>
      <c r="B50" s="28">
        <f>IF(B49="","",IF(EOMONTH(B49,1)&lt;=EOMONTH(Front!$C$4,0),EOMONTH(B49,1),""))</f>
        <v>35581</v>
      </c>
      <c r="C50" s="14">
        <f>IF(B50="","",INDEX(MutualFunds!$C$6:$O$244,MATCH(B50,MutualFunds!$B$6:$B$244,0),MATCH(Front!$C$2,MutualFunds!$C$4:$O$4,0)))</f>
        <v>5.6620597414177583E-2</v>
      </c>
      <c r="D50" s="14">
        <f t="shared" si="0"/>
        <v>-1.8180994562972883E-3</v>
      </c>
      <c r="E50" s="14" cm="1">
        <f t="array" ref="E50">INDEX(Benchmarks!C$6:C$244,MATCH(SolverWork!$B50,MutualFunds!$B$6:$B$244,0),0)</f>
        <v>4.8999999999999998E-3</v>
      </c>
      <c r="F50" s="14" cm="1">
        <f t="array" ref="F50">INDEX(Benchmarks!D$6:D$244,MATCH(SolverWork!$B50,MutualFunds!$B$6:$B$244,0),0)</f>
        <v>2.2817460317460713E-3</v>
      </c>
      <c r="G50" s="14" cm="1">
        <f t="array" ref="G50">INDEX(Benchmarks!E$6:E$244,MATCH(SolverWork!$B50,MutualFunds!$B$6:$B$244,0),0)</f>
        <v>5.3500599575686059E-3</v>
      </c>
      <c r="H50" s="14" cm="1">
        <f t="array" ref="H50">INDEX(Benchmarks!F$6:F$244,MATCH(SolverWork!$B50,MutualFunds!$B$6:$B$244,0),0)</f>
        <v>8.9569194193461783E-3</v>
      </c>
      <c r="I50" s="14" cm="1">
        <f t="array" ref="I50">INDEX(Benchmarks!G$6:G$244,MATCH(SolverWork!$B50,MutualFunds!$B$6:$B$244,0),0)</f>
        <v>9.6328615169418413E-3</v>
      </c>
      <c r="J50" s="14" cm="1">
        <f t="array" ref="J50">INDEX(Benchmarks!H$6:H$244,MATCH(SolverWork!$B50,MutualFunds!$B$6:$B$244,0),0)</f>
        <v>4.7965890922011568E-3</v>
      </c>
      <c r="K50" s="14" cm="1">
        <f t="array" ref="K50">INDEX(Benchmarks!I$6:I$244,MATCH(SolverWork!$B50,MutualFunds!$B$6:$B$244,0),0)</f>
        <v>7.1514969584065939E-3</v>
      </c>
      <c r="L50" s="14" cm="1">
        <f t="array" ref="L50">INDEX(Benchmarks!J$6:J$244,MATCH(SolverWork!$B50,MutualFunds!$B$6:$B$244,0),0)</f>
        <v>5.7938868034904792E-2</v>
      </c>
      <c r="M50" s="14" cm="1">
        <f t="array" ref="M50">INDEX(Benchmarks!K$6:K$244,MATCH(SolverWork!$B50,MutualFunds!$B$6:$B$244,0),0)</f>
        <v>5.9316585896548334E-2</v>
      </c>
      <c r="N50" s="14" cm="1">
        <f t="array" ref="N50">INDEX(Benchmarks!L$6:L$244,MATCH(SolverWork!$B50,MutualFunds!$B$6:$B$244,0),0)</f>
        <v>9.7609993782802926E-2</v>
      </c>
      <c r="O50" s="14" cm="1">
        <f t="array" ref="O50">INDEX(Benchmarks!M$6:M$244,MATCH(SolverWork!$B50,MutualFunds!$B$6:$B$244,0),0)</f>
        <v>0.17289168004533009</v>
      </c>
      <c r="P50" s="14" cm="1">
        <f t="array" ref="P50">INDEX(Benchmarks!N$6:N$244,MATCH(SolverWork!$B50,MutualFunds!$B$6:$B$244,0),0)</f>
        <v>7.5432541311995643E-2</v>
      </c>
      <c r="Q50" s="14" cm="1">
        <f t="array" ref="Q50">INDEX(Benchmarks!O$6:O$244,MATCH(SolverWork!$B50,MutualFunds!$B$6:$B$244,0),0)</f>
        <v>2.5911910017870351E-2</v>
      </c>
      <c r="R50" s="14" cm="1">
        <f t="array" ref="R50">INDEX(Benchmarks!P$6:P$244,MATCH(SolverWork!$B50,MutualFunds!$B$6:$B$244,0),0)</f>
        <v>4.1068757517787435E-2</v>
      </c>
      <c r="S50" s="14" cm="1">
        <f t="array" ref="S50">INDEX(Benchmarks!Q$6:Q$244,MATCH(SolverWork!$B50,MutualFunds!$B$6:$B$244,0),0)</f>
        <v>4.8619683243718091E-2</v>
      </c>
      <c r="T50" s="14" cm="1">
        <f t="array" ref="T50">INDEX(Benchmarks!R$6:R$244,MATCH(SolverWork!$B50,MutualFunds!$B$6:$B$244,0),0)</f>
        <v>0.10986359247164242</v>
      </c>
    </row>
    <row r="51" spans="1:20" x14ac:dyDescent="0.2">
      <c r="A51">
        <v>41</v>
      </c>
      <c r="B51" s="28">
        <f>IF(B50="","",IF(EOMONTH(B50,1)&lt;=EOMONTH(Front!$C$4,0),EOMONTH(B50,1),""))</f>
        <v>35611</v>
      </c>
      <c r="C51" s="14">
        <f>IF(B51="","",INDEX(MutualFunds!$C$6:$O$244,MATCH(B51,MutualFunds!$B$6:$B$244,0),MATCH(Front!$C$2,MutualFunds!$C$4:$O$4,0)))</f>
        <v>2.7848101265822638E-2</v>
      </c>
      <c r="D51" s="14">
        <f t="shared" si="0"/>
        <v>-8.327270610818626E-3</v>
      </c>
      <c r="E51" s="14" cm="1">
        <f t="array" ref="E51">INDEX(Benchmarks!C$6:C$244,MATCH(SolverWork!$B51,MutualFunds!$B$6:$B$244,0),0)</f>
        <v>3.7000000000000002E-3</v>
      </c>
      <c r="F51" s="14" cm="1">
        <f t="array" ref="F51">INDEX(Benchmarks!D$6:D$244,MATCH(SolverWork!$B51,MutualFunds!$B$6:$B$244,0),0)</f>
        <v>3.0683955260813844E-3</v>
      </c>
      <c r="G51" s="14" cm="1">
        <f t="array" ref="G51">INDEX(Benchmarks!E$6:E$244,MATCH(SolverWork!$B51,MutualFunds!$B$6:$B$244,0),0)</f>
        <v>1.3395724378383279E-2</v>
      </c>
      <c r="H51" s="14" cm="1">
        <f t="array" ref="H51">INDEX(Benchmarks!F$6:F$244,MATCH(SolverWork!$B51,MutualFunds!$B$6:$B$244,0),0)</f>
        <v>1.5526173139581151E-2</v>
      </c>
      <c r="I51" s="14" cm="1">
        <f t="array" ref="I51">INDEX(Benchmarks!G$6:G$244,MATCH(SolverWork!$B51,MutualFunds!$B$6:$B$244,0),0)</f>
        <v>1.1190854000703472E-2</v>
      </c>
      <c r="J51" s="14" cm="1">
        <f t="array" ref="J51">INDEX(Benchmarks!H$6:H$244,MATCH(SolverWork!$B51,MutualFunds!$B$6:$B$244,0),0)</f>
        <v>1.547029702970297E-2</v>
      </c>
      <c r="K51" s="14" cm="1">
        <f t="array" ref="K51">INDEX(Benchmarks!I$6:I$244,MATCH(SolverWork!$B51,MutualFunds!$B$6:$B$244,0),0)</f>
        <v>-5.4099860031149603E-2</v>
      </c>
      <c r="L51" s="14" cm="1">
        <f t="array" ref="L51">INDEX(Benchmarks!J$6:J$244,MATCH(SolverWork!$B51,MutualFunds!$B$6:$B$244,0),0)</f>
        <v>4.9627905905121679E-2</v>
      </c>
      <c r="M51" s="14" cm="1">
        <f t="array" ref="M51">INDEX(Benchmarks!K$6:K$244,MATCH(SolverWork!$B51,MutualFunds!$B$6:$B$244,0),0)</f>
        <v>3.655206218051963E-2</v>
      </c>
      <c r="N51" s="14" cm="1">
        <f t="array" ref="N51">INDEX(Benchmarks!L$6:L$244,MATCH(SolverWork!$B51,MutualFunds!$B$6:$B$244,0),0)</f>
        <v>3.3722370050320132E-2</v>
      </c>
      <c r="O51" s="14" cm="1">
        <f t="array" ref="O51">INDEX(Benchmarks!M$6:M$244,MATCH(SolverWork!$B51,MutualFunds!$B$6:$B$244,0),0)</f>
        <v>3.9835745486020292E-2</v>
      </c>
      <c r="P51" s="14" cm="1">
        <f t="array" ref="P51">INDEX(Benchmarks!N$6:N$244,MATCH(SolverWork!$B51,MutualFunds!$B$6:$B$244,0),0)</f>
        <v>5.8036819945513095E-2</v>
      </c>
      <c r="Q51" s="14" cm="1">
        <f t="array" ref="Q51">INDEX(Benchmarks!O$6:O$244,MATCH(SolverWork!$B51,MutualFunds!$B$6:$B$244,0),0)</f>
        <v>5.1444651270461952E-2</v>
      </c>
      <c r="R51" s="14" cm="1">
        <f t="array" ref="R51">INDEX(Benchmarks!P$6:P$244,MATCH(SolverWork!$B51,MutualFunds!$B$6:$B$244,0),0)</f>
        <v>4.8456257520994819E-2</v>
      </c>
      <c r="S51" s="14" cm="1">
        <f t="array" ref="S51">INDEX(Benchmarks!Q$6:Q$244,MATCH(SolverWork!$B51,MutualFunds!$B$6:$B$244,0),0)</f>
        <v>2.505941885491824E-2</v>
      </c>
      <c r="T51" s="14" cm="1">
        <f t="array" ref="T51">INDEX(Benchmarks!R$6:R$244,MATCH(SolverWork!$B51,MutualFunds!$B$6:$B$244,0),0)</f>
        <v>7.421599079171369E-2</v>
      </c>
    </row>
    <row r="52" spans="1:20" x14ac:dyDescent="0.2">
      <c r="A52">
        <v>42</v>
      </c>
      <c r="B52" s="28">
        <f>IF(B51="","",IF(EOMONTH(B51,1)&lt;=EOMONTH(Front!$C$4,0),EOMONTH(B51,1),""))</f>
        <v>35642</v>
      </c>
      <c r="C52" s="14">
        <f>IF(B52="","",INDEX(MutualFunds!$C$6:$O$244,MATCH(B52,MutualFunds!$B$6:$B$244,0),MATCH(Front!$C$2,MutualFunds!$C$4:$O$4,0)))</f>
        <v>7.1428571428571508E-2</v>
      </c>
      <c r="D52" s="14">
        <f t="shared" si="0"/>
        <v>-6.3984752946590617E-3</v>
      </c>
      <c r="E52" s="14" cm="1">
        <f t="array" ref="E52">INDEX(Benchmarks!C$6:C$244,MATCH(SolverWork!$B52,MutualFunds!$B$6:$B$244,0),0)</f>
        <v>4.3E-3</v>
      </c>
      <c r="F52" s="14" cm="1">
        <f t="array" ref="F52">INDEX(Benchmarks!D$6:D$244,MATCH(SolverWork!$B52,MutualFunds!$B$6:$B$244,0),0)</f>
        <v>1.3222814288533682E-2</v>
      </c>
      <c r="G52" s="14" cm="1">
        <f t="array" ref="G52">INDEX(Benchmarks!E$6:E$244,MATCH(SolverWork!$B52,MutualFunds!$B$6:$B$244,0),0)</f>
        <v>4.6808510638297884E-2</v>
      </c>
      <c r="H52" s="14" cm="1">
        <f t="array" ref="H52">INDEX(Benchmarks!F$6:F$244,MATCH(SolverWork!$B52,MutualFunds!$B$6:$B$244,0),0)</f>
        <v>3.7001265303369862E-2</v>
      </c>
      <c r="I52" s="14" cm="1">
        <f t="array" ref="I52">INDEX(Benchmarks!G$6:G$244,MATCH(SolverWork!$B52,MutualFunds!$B$6:$B$244,0),0)</f>
        <v>1.8707433320499726E-2</v>
      </c>
      <c r="J52" s="14" cm="1">
        <f t="array" ref="J52">INDEX(Benchmarks!H$6:H$244,MATCH(SolverWork!$B52,MutualFunds!$B$6:$B$244,0),0)</f>
        <v>4.2221641856011093E-2</v>
      </c>
      <c r="K52" s="14" cm="1">
        <f t="array" ref="K52">INDEX(Benchmarks!I$6:I$244,MATCH(SolverWork!$B52,MutualFunds!$B$6:$B$244,0),0)</f>
        <v>4.0969401152283681E-2</v>
      </c>
      <c r="L52" s="14" cm="1">
        <f t="array" ref="L52">INDEX(Benchmarks!J$6:J$244,MATCH(SolverWork!$B52,MutualFunds!$B$6:$B$244,0),0)</f>
        <v>7.7946309019470097E-2</v>
      </c>
      <c r="M52" s="14" cm="1">
        <f t="array" ref="M52">INDEX(Benchmarks!K$6:K$244,MATCH(SolverWork!$B52,MutualFunds!$B$6:$B$244,0),0)</f>
        <v>7.8339976130964356E-2</v>
      </c>
      <c r="N52" s="14" cm="1">
        <f t="array" ref="N52">INDEX(Benchmarks!L$6:L$244,MATCH(SolverWork!$B52,MutualFunds!$B$6:$B$244,0),0)</f>
        <v>7.7477890766368421E-2</v>
      </c>
      <c r="O52" s="14" cm="1">
        <f t="array" ref="O52">INDEX(Benchmarks!M$6:M$244,MATCH(SolverWork!$B52,MutualFunds!$B$6:$B$244,0),0)</f>
        <v>5.9051840953966456E-2</v>
      </c>
      <c r="P52" s="14" cm="1">
        <f t="array" ref="P52">INDEX(Benchmarks!N$6:N$244,MATCH(SolverWork!$B52,MutualFunds!$B$6:$B$244,0),0)</f>
        <v>5.1078729712859046E-2</v>
      </c>
      <c r="Q52" s="14" cm="1">
        <f t="array" ref="Q52">INDEX(Benchmarks!O$6:O$244,MATCH(SolverWork!$B52,MutualFunds!$B$6:$B$244,0),0)</f>
        <v>1.2982630272952782E-2</v>
      </c>
      <c r="R52" s="14" cm="1">
        <f t="array" ref="R52">INDEX(Benchmarks!P$6:P$244,MATCH(SolverWork!$B52,MutualFunds!$B$6:$B$244,0),0)</f>
        <v>4.5402467700008789E-2</v>
      </c>
      <c r="S52" s="14" cm="1">
        <f t="array" ref="S52">INDEX(Benchmarks!Q$6:Q$244,MATCH(SolverWork!$B52,MutualFunds!$B$6:$B$244,0),0)</f>
        <v>2.9804265051154404E-3</v>
      </c>
      <c r="T52" s="14" cm="1">
        <f t="array" ref="T52">INDEX(Benchmarks!R$6:R$244,MATCH(SolverWork!$B52,MutualFunds!$B$6:$B$244,0),0)</f>
        <v>-3.0933258869160263E-2</v>
      </c>
    </row>
    <row r="53" spans="1:20" x14ac:dyDescent="0.2">
      <c r="A53">
        <v>43</v>
      </c>
      <c r="B53" s="28">
        <f>IF(B52="","",IF(EOMONTH(B52,1)&lt;=EOMONTH(Front!$C$4,0),EOMONTH(B52,1),""))</f>
        <v>35673</v>
      </c>
      <c r="C53" s="14">
        <f>IF(B53="","",INDEX(MutualFunds!$C$6:$O$244,MATCH(B53,MutualFunds!$B$6:$B$244,0),MATCH(Front!$C$2,MutualFunds!$C$4:$O$4,0)))</f>
        <v>-1.7624521072796967E-2</v>
      </c>
      <c r="D53" s="14">
        <f t="shared" si="0"/>
        <v>2.9530873775246783E-2</v>
      </c>
      <c r="E53" s="14" cm="1">
        <f t="array" ref="E53">INDEX(Benchmarks!C$6:C$244,MATCH(SolverWork!$B53,MutualFunds!$B$6:$B$244,0),0)</f>
        <v>4.0999999999999995E-3</v>
      </c>
      <c r="F53" s="14" cm="1">
        <f t="array" ref="F53">INDEX(Benchmarks!D$6:D$244,MATCH(SolverWork!$B53,MutualFunds!$B$6:$B$244,0),0)</f>
        <v>-9.4468250876509428E-3</v>
      </c>
      <c r="G53" s="14" cm="1">
        <f t="array" ref="G53">INDEX(Benchmarks!E$6:E$244,MATCH(SolverWork!$B53,MutualFunds!$B$6:$B$244,0),0)</f>
        <v>-4.359107420861448E-2</v>
      </c>
      <c r="H53" s="14" cm="1">
        <f t="array" ref="H53">INDEX(Benchmarks!F$6:F$244,MATCH(SolverWork!$B53,MutualFunds!$B$6:$B$244,0),0)</f>
        <v>-1.5168733142943369E-2</v>
      </c>
      <c r="I53" s="14" cm="1">
        <f t="array" ref="I53">INDEX(Benchmarks!G$6:G$244,MATCH(SolverWork!$B53,MutualFunds!$B$6:$B$244,0),0)</f>
        <v>-1.4309526260847237E-3</v>
      </c>
      <c r="J53" s="14" cm="1">
        <f t="array" ref="J53">INDEX(Benchmarks!H$6:H$244,MATCH(SolverWork!$B53,MutualFunds!$B$6:$B$244,0),0)</f>
        <v>-2.8399599064483725E-2</v>
      </c>
      <c r="K53" s="14" cm="1">
        <f t="array" ref="K53">INDEX(Benchmarks!I$6:I$244,MATCH(SolverWork!$B53,MutualFunds!$B$6:$B$244,0),0)</f>
        <v>2.529031032712396E-2</v>
      </c>
      <c r="L53" s="14" cm="1">
        <f t="array" ref="L53">INDEX(Benchmarks!J$6:J$244,MATCH(SolverWork!$B53,MutualFunds!$B$6:$B$244,0),0)</f>
        <v>-6.738209660340469E-2</v>
      </c>
      <c r="M53" s="14" cm="1">
        <f t="array" ref="M53">INDEX(Benchmarks!K$6:K$244,MATCH(SolverWork!$B53,MutualFunds!$B$6:$B$244,0),0)</f>
        <v>-4.721433344470434E-2</v>
      </c>
      <c r="N53" s="14" cm="1">
        <f t="array" ref="N53">INDEX(Benchmarks!L$6:L$244,MATCH(SolverWork!$B53,MutualFunds!$B$6:$B$244,0),0)</f>
        <v>-2.9566903990349363E-4</v>
      </c>
      <c r="O53" s="14" cm="1">
        <f t="array" ref="O53">INDEX(Benchmarks!M$6:M$244,MATCH(SolverWork!$B53,MutualFunds!$B$6:$B$244,0),0)</f>
        <v>1.9293162854035387E-2</v>
      </c>
      <c r="P53" s="14" cm="1">
        <f t="array" ref="P53">INDEX(Benchmarks!N$6:N$244,MATCH(SolverWork!$B53,MutualFunds!$B$6:$B$244,0),0)</f>
        <v>1.5672992158864075E-2</v>
      </c>
      <c r="Q53" s="14" cm="1">
        <f t="array" ref="Q53">INDEX(Benchmarks!O$6:O$244,MATCH(SolverWork!$B53,MutualFunds!$B$6:$B$244,0),0)</f>
        <v>-0.12841361151145778</v>
      </c>
      <c r="R53" s="14" cm="1">
        <f t="array" ref="R53">INDEX(Benchmarks!P$6:P$244,MATCH(SolverWork!$B53,MutualFunds!$B$6:$B$244,0),0)</f>
        <v>-5.8557077980803729E-2</v>
      </c>
      <c r="S53" s="14" cm="1">
        <f t="array" ref="S53">INDEX(Benchmarks!Q$6:Q$244,MATCH(SolverWork!$B53,MutualFunds!$B$6:$B$244,0),0)</f>
        <v>-0.18554725402678054</v>
      </c>
      <c r="T53" s="14" cm="1">
        <f t="array" ref="T53">INDEX(Benchmarks!R$6:R$244,MATCH(SolverWork!$B53,MutualFunds!$B$6:$B$244,0),0)</f>
        <v>-8.7203423028919133E-2</v>
      </c>
    </row>
    <row r="54" spans="1:20" x14ac:dyDescent="0.2">
      <c r="A54">
        <v>44</v>
      </c>
      <c r="B54" s="28">
        <f>IF(B53="","",IF(EOMONTH(B53,1)&lt;=EOMONTH(Front!$C$4,0),EOMONTH(B53,1),""))</f>
        <v>35703</v>
      </c>
      <c r="C54" s="14">
        <f>IF(B54="","",INDEX(MutualFunds!$C$6:$O$244,MATCH(B54,MutualFunds!$B$6:$B$244,0),MATCH(Front!$C$2,MutualFunds!$C$4:$O$4,0)))</f>
        <v>4.1731669266770681E-2</v>
      </c>
      <c r="D54" s="14">
        <f t="shared" si="0"/>
        <v>-1.4448368974968581E-2</v>
      </c>
      <c r="E54" s="14" cm="1">
        <f t="array" ref="E54">INDEX(Benchmarks!C$6:C$244,MATCH(SolverWork!$B54,MutualFunds!$B$6:$B$244,0),0)</f>
        <v>4.4000000000000003E-3</v>
      </c>
      <c r="F54" s="14" cm="1">
        <f t="array" ref="F54">INDEX(Benchmarks!D$6:D$244,MATCH(SolverWork!$B54,MutualFunds!$B$6:$B$244,0),0)</f>
        <v>5.4075312162029012E-3</v>
      </c>
      <c r="G54" s="14" cm="1">
        <f t="array" ref="G54">INDEX(Benchmarks!E$6:E$244,MATCH(SolverWork!$B54,MutualFunds!$B$6:$B$244,0),0)</f>
        <v>1.8176885512750995E-2</v>
      </c>
      <c r="H54" s="14" cm="1">
        <f t="array" ref="H54">INDEX(Benchmarks!F$6:F$244,MATCH(SolverWork!$B54,MutualFunds!$B$6:$B$244,0),0)</f>
        <v>1.8649153496534423E-2</v>
      </c>
      <c r="I54" s="14" cm="1">
        <f t="array" ref="I54">INDEX(Benchmarks!G$6:G$244,MATCH(SolverWork!$B54,MutualFunds!$B$6:$B$244,0),0)</f>
        <v>1.1882963575877915E-2</v>
      </c>
      <c r="J54" s="14" cm="1">
        <f t="array" ref="J54">INDEX(Benchmarks!H$6:H$244,MATCH(SolverWork!$B54,MutualFunds!$B$6:$B$244,0),0)</f>
        <v>2.527510316368636E-2</v>
      </c>
      <c r="K54" s="14" cm="1">
        <f t="array" ref="K54">INDEX(Benchmarks!I$6:I$244,MATCH(SolverWork!$B54,MutualFunds!$B$6:$B$244,0),0)</f>
        <v>2.5294582461380923E-2</v>
      </c>
      <c r="L54" s="14" cm="1">
        <f t="array" ref="L54">INDEX(Benchmarks!J$6:J$244,MATCH(SolverWork!$B54,MutualFunds!$B$6:$B$244,0),0)</f>
        <v>4.9564400969453457E-2</v>
      </c>
      <c r="M54" s="14" cm="1">
        <f t="array" ref="M54">INDEX(Benchmarks!K$6:K$244,MATCH(SolverWork!$B54,MutualFunds!$B$6:$B$244,0),0)</f>
        <v>5.6808468669866566E-2</v>
      </c>
      <c r="N54" s="14" cm="1">
        <f t="array" ref="N54">INDEX(Benchmarks!L$6:L$244,MATCH(SolverWork!$B54,MutualFunds!$B$6:$B$244,0),0)</f>
        <v>5.9801961457014836E-2</v>
      </c>
      <c r="O54" s="14" cm="1">
        <f t="array" ref="O54">INDEX(Benchmarks!M$6:M$244,MATCH(SolverWork!$B54,MutualFunds!$B$6:$B$244,0),0)</f>
        <v>9.1860340004303889E-2</v>
      </c>
      <c r="P54" s="14" cm="1">
        <f t="array" ref="P54">INDEX(Benchmarks!N$6:N$244,MATCH(SolverWork!$B54,MutualFunds!$B$6:$B$244,0),0)</f>
        <v>6.6128236519451197E-2</v>
      </c>
      <c r="Q54" s="14" cm="1">
        <f t="array" ref="Q54">INDEX(Benchmarks!O$6:O$244,MATCH(SolverWork!$B54,MutualFunds!$B$6:$B$244,0),0)</f>
        <v>2.6177443289360221E-2</v>
      </c>
      <c r="R54" s="14" cm="1">
        <f t="array" ref="R54">INDEX(Benchmarks!P$6:P$244,MATCH(SolverWork!$B54,MutualFunds!$B$6:$B$244,0),0)</f>
        <v>9.5457766337435454E-2</v>
      </c>
      <c r="S54" s="14" cm="1">
        <f t="array" ref="S54">INDEX(Benchmarks!Q$6:Q$244,MATCH(SolverWork!$B54,MutualFunds!$B$6:$B$244,0),0)</f>
        <v>-8.9292628443782291E-3</v>
      </c>
      <c r="T54" s="14" cm="1">
        <f t="array" ref="T54">INDEX(Benchmarks!R$6:R$244,MATCH(SolverWork!$B54,MutualFunds!$B$6:$B$244,0),0)</f>
        <v>-1.5636649814231355E-2</v>
      </c>
    </row>
    <row r="55" spans="1:20" x14ac:dyDescent="0.2">
      <c r="A55">
        <v>45</v>
      </c>
      <c r="B55" s="28">
        <f>IF(B54="","",IF(EOMONTH(B54,1)&lt;=EOMONTH(Front!$C$4,0),EOMONTH(B54,1),""))</f>
        <v>35734</v>
      </c>
      <c r="C55" s="14">
        <f>IF(B55="","",INDEX(MutualFunds!$C$6:$O$244,MATCH(B55,MutualFunds!$B$6:$B$244,0),MATCH(Front!$C$2,MutualFunds!$C$4:$O$4,0)))</f>
        <v>-4.3055035567203241E-2</v>
      </c>
      <c r="D55" s="14">
        <f t="shared" si="0"/>
        <v>-5.8945753419300251E-3</v>
      </c>
      <c r="E55" s="14" cm="1">
        <f t="array" ref="E55">INDEX(Benchmarks!C$6:C$244,MATCH(SolverWork!$B55,MutualFunds!$B$6:$B$244,0),0)</f>
        <v>4.1999999999999997E-3</v>
      </c>
      <c r="F55" s="14" cm="1">
        <f t="array" ref="F55">INDEX(Benchmarks!D$6:D$244,MATCH(SolverWork!$B55,MutualFunds!$B$6:$B$244,0),0)</f>
        <v>6.3563465675727697E-3</v>
      </c>
      <c r="G55" s="14" cm="1">
        <f t="array" ref="G55">INDEX(Benchmarks!E$6:E$244,MATCH(SolverWork!$B55,MutualFunds!$B$6:$B$244,0),0)</f>
        <v>2.7000621724842275E-2</v>
      </c>
      <c r="H55" s="14" cm="1">
        <f t="array" ref="H55">INDEX(Benchmarks!F$6:F$244,MATCH(SolverWork!$B55,MutualFunds!$B$6:$B$244,0),0)</f>
        <v>1.4168906194721333E-2</v>
      </c>
      <c r="I55" s="14" cm="1">
        <f t="array" ref="I55">INDEX(Benchmarks!G$6:G$244,MATCH(SolverWork!$B55,MutualFunds!$B$6:$B$244,0),0)</f>
        <v>1.0759317346981018E-2</v>
      </c>
      <c r="J55" s="14" cm="1">
        <f t="array" ref="J55">INDEX(Benchmarks!H$6:H$244,MATCH(SolverWork!$B55,MutualFunds!$B$6:$B$244,0),0)</f>
        <v>1.5596176421264459E-2</v>
      </c>
      <c r="K55" s="14" cm="1">
        <f t="array" ref="K55">INDEX(Benchmarks!I$6:I$244,MATCH(SolverWork!$B55,MutualFunds!$B$6:$B$244,0),0)</f>
        <v>2.7510529941167781E-2</v>
      </c>
      <c r="L55" s="14" cm="1">
        <f t="array" ref="L55">INDEX(Benchmarks!J$6:J$244,MATCH(SolverWork!$B55,MutualFunds!$B$6:$B$244,0),0)</f>
        <v>-3.0789074039401718E-2</v>
      </c>
      <c r="M55" s="14" cm="1">
        <f t="array" ref="M55">INDEX(Benchmarks!K$6:K$244,MATCH(SolverWork!$B55,MutualFunds!$B$6:$B$244,0),0)</f>
        <v>-3.8221447976938563E-2</v>
      </c>
      <c r="N55" s="14" cm="1">
        <f t="array" ref="N55">INDEX(Benchmarks!L$6:L$244,MATCH(SolverWork!$B55,MutualFunds!$B$6:$B$244,0),0)</f>
        <v>-5.4987497767458461E-2</v>
      </c>
      <c r="O55" s="14" cm="1">
        <f t="array" ref="O55">INDEX(Benchmarks!M$6:M$244,MATCH(SolverWork!$B55,MutualFunds!$B$6:$B$244,0),0)</f>
        <v>-7.0557512749131635E-2</v>
      </c>
      <c r="P55" s="14" cm="1">
        <f t="array" ref="P55">INDEX(Benchmarks!N$6:N$244,MATCH(SolverWork!$B55,MutualFunds!$B$6:$B$244,0),0)</f>
        <v>-2.872519110136083E-2</v>
      </c>
      <c r="Q55" s="14" cm="1">
        <f t="array" ref="Q55">INDEX(Benchmarks!O$6:O$244,MATCH(SolverWork!$B55,MutualFunds!$B$6:$B$244,0),0)</f>
        <v>-0.16490155264966289</v>
      </c>
      <c r="R55" s="14" cm="1">
        <f t="array" ref="R55">INDEX(Benchmarks!P$6:P$244,MATCH(SolverWork!$B55,MutualFunds!$B$6:$B$244,0),0)</f>
        <v>-5.0604038742965797E-2</v>
      </c>
      <c r="S55" s="14" cm="1">
        <f t="array" ref="S55">INDEX(Benchmarks!Q$6:Q$244,MATCH(SolverWork!$B55,MutualFunds!$B$6:$B$244,0),0)</f>
        <v>-0.24562436889936048</v>
      </c>
      <c r="T55" s="14" cm="1">
        <f t="array" ref="T55">INDEX(Benchmarks!R$6:R$244,MATCH(SolverWork!$B55,MutualFunds!$B$6:$B$244,0),0)</f>
        <v>-9.3680082134598192E-2</v>
      </c>
    </row>
    <row r="56" spans="1:20" x14ac:dyDescent="0.2">
      <c r="A56">
        <v>46</v>
      </c>
      <c r="B56" s="28">
        <f>IF(B55="","",IF(EOMONTH(B55,1)&lt;=EOMONTH(Front!$C$4,0),EOMONTH(B55,1),""))</f>
        <v>35764</v>
      </c>
      <c r="C56" s="14">
        <f>IF(B56="","",INDEX(MutualFunds!$C$6:$O$244,MATCH(B56,MutualFunds!$B$6:$B$244,0),MATCH(Front!$C$2,MutualFunds!$C$4:$O$4,0)))</f>
        <v>2.1517996870109572E-2</v>
      </c>
      <c r="D56" s="14">
        <f t="shared" si="0"/>
        <v>-1.3924183648673559E-2</v>
      </c>
      <c r="E56" s="14" cm="1">
        <f t="array" ref="E56">INDEX(Benchmarks!C$6:C$244,MATCH(SolverWork!$B56,MutualFunds!$B$6:$B$244,0),0)</f>
        <v>3.9000000000000003E-3</v>
      </c>
      <c r="F56" s="14" cm="1">
        <f t="array" ref="F56">INDEX(Benchmarks!D$6:D$244,MATCH(SolverWork!$B56,MutualFunds!$B$6:$B$244,0),0)</f>
        <v>-2.5264794480613245E-3</v>
      </c>
      <c r="G56" s="14" cm="1">
        <f t="array" ref="G56">INDEX(Benchmarks!E$6:E$244,MATCH(SolverWork!$B56,MutualFunds!$B$6:$B$244,0),0)</f>
        <v>5.015999308138135E-3</v>
      </c>
      <c r="H56" s="14" cm="1">
        <f t="array" ref="H56">INDEX(Benchmarks!F$6:F$244,MATCH(SolverWork!$B56,MutualFunds!$B$6:$B$244,0),0)</f>
        <v>2.6173869897666816E-3</v>
      </c>
      <c r="I56" s="14" cm="1">
        <f t="array" ref="I56">INDEX(Benchmarks!G$6:G$244,MATCH(SolverWork!$B56,MutualFunds!$B$6:$B$244,0),0)</f>
        <v>2.9272525425242547E-3</v>
      </c>
      <c r="J56" s="14" cm="1">
        <f t="array" ref="J56">INDEX(Benchmarks!H$6:H$244,MATCH(SolverWork!$B56,MutualFunds!$B$6:$B$244,0),0)</f>
        <v>4.6235138705416302E-3</v>
      </c>
      <c r="K56" s="14" cm="1">
        <f t="array" ref="K56">INDEX(Benchmarks!I$6:I$244,MATCH(SolverWork!$B56,MutualFunds!$B$6:$B$244,0),0)</f>
        <v>-9.8592478013478993E-2</v>
      </c>
      <c r="L56" s="14" cm="1">
        <f t="array" ref="L56">INDEX(Benchmarks!J$6:J$244,MATCH(SolverWork!$B56,MutualFunds!$B$6:$B$244,0),0)</f>
        <v>5.3016806542316955E-2</v>
      </c>
      <c r="M56" s="14" cm="1">
        <f t="array" ref="M56">INDEX(Benchmarks!K$6:K$244,MATCH(SolverWork!$B56,MutualFunds!$B$6:$B$244,0),0)</f>
        <v>3.5945316543039535E-2</v>
      </c>
      <c r="N56" s="14" cm="1">
        <f t="array" ref="N56">INDEX(Benchmarks!L$6:L$244,MATCH(SolverWork!$B56,MutualFunds!$B$6:$B$244,0),0)</f>
        <v>-1.311157835053998E-3</v>
      </c>
      <c r="O56" s="14" cm="1">
        <f t="array" ref="O56">INDEX(Benchmarks!M$6:M$244,MATCH(SolverWork!$B56,MutualFunds!$B$6:$B$244,0),0)</f>
        <v>-3.1180145077353942E-2</v>
      </c>
      <c r="P56" s="14" cm="1">
        <f t="array" ref="P56">INDEX(Benchmarks!N$6:N$244,MATCH(SolverWork!$B56,MutualFunds!$B$6:$B$244,0),0)</f>
        <v>-2.6116110817011083E-3</v>
      </c>
      <c r="Q56" s="14" cm="1">
        <f t="array" ref="Q56">INDEX(Benchmarks!O$6:O$244,MATCH(SolverWork!$B56,MutualFunds!$B$6:$B$244,0),0)</f>
        <v>-3.7182444181015462E-2</v>
      </c>
      <c r="R56" s="14" cm="1">
        <f t="array" ref="R56">INDEX(Benchmarks!P$6:P$244,MATCH(SolverWork!$B56,MutualFunds!$B$6:$B$244,0),0)</f>
        <v>1.3876791334652926E-2</v>
      </c>
      <c r="S56" s="14" cm="1">
        <f t="array" ref="S56">INDEX(Benchmarks!Q$6:Q$244,MATCH(SolverWork!$B56,MutualFunds!$B$6:$B$244,0),0)</f>
        <v>-6.5190024699227161E-2</v>
      </c>
      <c r="T56" s="14" cm="1">
        <f t="array" ref="T56">INDEX(Benchmarks!R$6:R$244,MATCH(SolverWork!$B56,MutualFunds!$B$6:$B$244,0),0)</f>
        <v>-6.1930050412661246E-2</v>
      </c>
    </row>
    <row r="57" spans="1:20" x14ac:dyDescent="0.2">
      <c r="A57">
        <v>47</v>
      </c>
      <c r="B57" s="28">
        <f>IF(B56="","",IF(EOMONTH(B56,1)&lt;=EOMONTH(Front!$C$4,0),EOMONTH(B56,1),""))</f>
        <v>35795</v>
      </c>
      <c r="C57" s="14">
        <f>IF(B57="","",INDEX(MutualFunds!$C$6:$O$244,MATCH(B57,MutualFunds!$B$6:$B$244,0),MATCH(Front!$C$2,MutualFunds!$C$4:$O$4,0)))</f>
        <v>-2.3362696284948407E-2</v>
      </c>
      <c r="D57" s="14">
        <f t="shared" si="0"/>
        <v>-4.3923459067586698E-2</v>
      </c>
      <c r="E57" s="14" cm="1">
        <f t="array" ref="E57">INDEX(Benchmarks!C$6:C$244,MATCH(SolverWork!$B57,MutualFunds!$B$6:$B$244,0),0)</f>
        <v>4.7999999999999996E-3</v>
      </c>
      <c r="F57" s="14" cm="1">
        <f t="array" ref="F57">INDEX(Benchmarks!D$6:D$244,MATCH(SolverWork!$B57,MutualFunds!$B$6:$B$244,0),0)</f>
        <v>3.2148075986361256E-3</v>
      </c>
      <c r="G57" s="14" cm="1">
        <f t="array" ref="G57">INDEX(Benchmarks!E$6:E$244,MATCH(SolverWork!$B57,MutualFunds!$B$6:$B$244,0),0)</f>
        <v>1.0240082609069768E-2</v>
      </c>
      <c r="H57" s="14" cm="1">
        <f t="array" ref="H57">INDEX(Benchmarks!F$6:F$244,MATCH(SolverWork!$B57,MutualFunds!$B$6:$B$244,0),0)</f>
        <v>1.0912246049051548E-2</v>
      </c>
      <c r="I57" s="14" cm="1">
        <f t="array" ref="I57">INDEX(Benchmarks!G$6:G$244,MATCH(SolverWork!$B57,MutualFunds!$B$6:$B$244,0),0)</f>
        <v>9.2676000427500387E-3</v>
      </c>
      <c r="J57" s="14" cm="1">
        <f t="array" ref="J57">INDEX(Benchmarks!H$6:H$244,MATCH(SolverWork!$B57,MutualFunds!$B$6:$B$244,0),0)</f>
        <v>1.5039447731755409E-2</v>
      </c>
      <c r="K57" s="14" cm="1">
        <f t="array" ref="K57">INDEX(Benchmarks!I$6:I$244,MATCH(SolverWork!$B57,MutualFunds!$B$6:$B$244,0),0)</f>
        <v>-6.7576381946307093E-2</v>
      </c>
      <c r="L57" s="14" cm="1">
        <f t="array" ref="L57">INDEX(Benchmarks!J$6:J$244,MATCH(SolverWork!$B57,MutualFunds!$B$6:$B$244,0),0)</f>
        <v>1.0925620171629988E-2</v>
      </c>
      <c r="M57" s="14" cm="1">
        <f t="array" ref="M57">INDEX(Benchmarks!K$6:K$244,MATCH(SolverWork!$B57,MutualFunds!$B$6:$B$244,0),0)</f>
        <v>2.0731428095664257E-2</v>
      </c>
      <c r="N57" s="14" cm="1">
        <f t="array" ref="N57">INDEX(Benchmarks!L$6:L$244,MATCH(SolverWork!$B57,MutualFunds!$B$6:$B$244,0),0)</f>
        <v>2.2484535228925913E-2</v>
      </c>
      <c r="O57" s="14" cm="1">
        <f t="array" ref="O57">INDEX(Benchmarks!M$6:M$244,MATCH(SolverWork!$B57,MutualFunds!$B$6:$B$244,0),0)</f>
        <v>4.2771677671178407E-3</v>
      </c>
      <c r="P57" s="14" cm="1">
        <f t="array" ref="P57">INDEX(Benchmarks!N$6:N$244,MATCH(SolverWork!$B57,MutualFunds!$B$6:$B$244,0),0)</f>
        <v>2.4326810799334773E-2</v>
      </c>
      <c r="Q57" s="14" cm="1">
        <f t="array" ref="Q57">INDEX(Benchmarks!O$6:O$244,MATCH(SolverWork!$B57,MutualFunds!$B$6:$B$244,0),0)</f>
        <v>2.1792661295916508E-2</v>
      </c>
      <c r="R57" s="14" cm="1">
        <f t="array" ref="R57">INDEX(Benchmarks!P$6:P$244,MATCH(SolverWork!$B57,MutualFunds!$B$6:$B$244,0),0)</f>
        <v>3.5097807378875946E-2</v>
      </c>
      <c r="S57" s="14" cm="1">
        <f t="array" ref="S57">INDEX(Benchmarks!Q$6:Q$244,MATCH(SolverWork!$B57,MutualFunds!$B$6:$B$244,0),0)</f>
        <v>-4.6928269466793945E-2</v>
      </c>
      <c r="T57" s="14" cm="1">
        <f t="array" ref="T57">INDEX(Benchmarks!R$6:R$244,MATCH(SolverWork!$B57,MutualFunds!$B$6:$B$244,0),0)</f>
        <v>-5.7797345776130472E-2</v>
      </c>
    </row>
    <row r="58" spans="1:20" x14ac:dyDescent="0.2">
      <c r="A58">
        <v>48</v>
      </c>
      <c r="B58" s="28">
        <f>IF(B57="","",IF(EOMONTH(B57,1)&lt;=EOMONTH(Front!$C$4,0),EOMONTH(B57,1),""))</f>
        <v>35826</v>
      </c>
      <c r="C58" s="14">
        <f>IF(B58="","",INDEX(MutualFunds!$C$6:$O$244,MATCH(B58,MutualFunds!$B$6:$B$244,0),MATCH(Front!$C$2,MutualFunds!$C$4:$O$4,0)))</f>
        <v>6.2745098039215744E-3</v>
      </c>
      <c r="D58" s="14">
        <f t="shared" si="0"/>
        <v>1.9178390555630455E-2</v>
      </c>
      <c r="E58" s="14" cm="1">
        <f t="array" ref="E58">INDEX(Benchmarks!C$6:C$244,MATCH(SolverWork!$B58,MutualFunds!$B$6:$B$244,0),0)</f>
        <v>4.3E-3</v>
      </c>
      <c r="F58" s="14" cm="1">
        <f t="array" ref="F58">INDEX(Benchmarks!D$6:D$244,MATCH(SolverWork!$B58,MutualFunds!$B$6:$B$244,0),0)</f>
        <v>8.3511361429403717E-3</v>
      </c>
      <c r="G58" s="14" cm="1">
        <f t="array" ref="G58">INDEX(Benchmarks!E$6:E$244,MATCH(SolverWork!$B58,MutualFunds!$B$6:$B$244,0),0)</f>
        <v>1.448040885860309E-2</v>
      </c>
      <c r="H58" s="14" cm="1">
        <f t="array" ref="H58">INDEX(Benchmarks!F$6:F$244,MATCH(SolverWork!$B58,MutualFunds!$B$6:$B$244,0),0)</f>
        <v>1.3001657807568182E-2</v>
      </c>
      <c r="I58" s="14" cm="1">
        <f t="array" ref="I58">INDEX(Benchmarks!G$6:G$244,MATCH(SolverWork!$B58,MutualFunds!$B$6:$B$244,0),0)</f>
        <v>9.9262777845012199E-3</v>
      </c>
      <c r="J58" s="14" cm="1">
        <f t="array" ref="J58">INDEX(Benchmarks!H$6:H$244,MATCH(SolverWork!$B58,MutualFunds!$B$6:$B$244,0),0)</f>
        <v>9.8777426928993509E-3</v>
      </c>
      <c r="K58" s="14" cm="1">
        <f t="array" ref="K58">INDEX(Benchmarks!I$6:I$244,MATCH(SolverWork!$B58,MutualFunds!$B$6:$B$244,0),0)</f>
        <v>-1.6117116734277546E-2</v>
      </c>
      <c r="L58" s="14" cm="1">
        <f t="array" ref="L58">INDEX(Benchmarks!J$6:J$244,MATCH(SolverWork!$B58,MutualFunds!$B$6:$B$244,0),0)</f>
        <v>3.2805726383708114E-2</v>
      </c>
      <c r="M58" s="14" cm="1">
        <f t="array" ref="M58">INDEX(Benchmarks!K$6:K$244,MATCH(SolverWork!$B58,MutualFunds!$B$6:$B$244,0),0)</f>
        <v>-1.3356716083117426E-2</v>
      </c>
      <c r="N58" s="14" cm="1">
        <f t="array" ref="N58">INDEX(Benchmarks!L$6:L$244,MATCH(SolverWork!$B58,MutualFunds!$B$6:$B$244,0),0)</f>
        <v>-1.9445215620951261E-2</v>
      </c>
      <c r="O58" s="14" cm="1">
        <f t="array" ref="O58">INDEX(Benchmarks!M$6:M$244,MATCH(SolverWork!$B58,MutualFunds!$B$6:$B$244,0),0)</f>
        <v>-1.2077623704833732E-2</v>
      </c>
      <c r="P58" s="14" cm="1">
        <f t="array" ref="P58">INDEX(Benchmarks!N$6:N$244,MATCH(SolverWork!$B58,MutualFunds!$B$6:$B$244,0),0)</f>
        <v>-2.2954557230944545E-2</v>
      </c>
      <c r="Q58" s="14" cm="1">
        <f t="array" ref="Q58">INDEX(Benchmarks!O$6:O$244,MATCH(SolverWork!$B58,MutualFunds!$B$6:$B$244,0),0)</f>
        <v>-7.9201871673960228E-2</v>
      </c>
      <c r="R58" s="14" cm="1">
        <f t="array" ref="R58">INDEX(Benchmarks!P$6:P$244,MATCH(SolverWork!$B58,MutualFunds!$B$6:$B$244,0),0)</f>
        <v>4.0222890574280093E-2</v>
      </c>
      <c r="S58" s="14" cm="1">
        <f t="array" ref="S58">INDEX(Benchmarks!Q$6:Q$244,MATCH(SolverWork!$B58,MutualFunds!$B$6:$B$244,0),0)</f>
        <v>-8.6271037899518926E-2</v>
      </c>
      <c r="T58" s="14" cm="1">
        <f t="array" ref="T58">INDEX(Benchmarks!R$6:R$244,MATCH(SolverWork!$B58,MutualFunds!$B$6:$B$244,0),0)</f>
        <v>8.8593917005756778E-2</v>
      </c>
    </row>
    <row r="59" spans="1:20" x14ac:dyDescent="0.2">
      <c r="A59">
        <v>49</v>
      </c>
      <c r="B59" s="28">
        <f>IF(B58="","",IF(EOMONTH(B58,1)&lt;=EOMONTH(Front!$C$4,0),EOMONTH(B58,1),""))</f>
        <v>35854</v>
      </c>
      <c r="C59" s="14">
        <f>IF(B59="","",INDEX(MutualFunds!$C$6:$O$244,MATCH(B59,MutualFunds!$B$6:$B$244,0),MATCH(Front!$C$2,MutualFunds!$C$4:$O$4,0)))</f>
        <v>6.5081839438815348E-2</v>
      </c>
      <c r="D59" s="14">
        <f t="shared" si="0"/>
        <v>-5.8708343364805432E-3</v>
      </c>
      <c r="E59" s="14" cm="1">
        <f t="array" ref="E59">INDEX(Benchmarks!C$6:C$244,MATCH(SolverWork!$B59,MutualFunds!$B$6:$B$244,0),0)</f>
        <v>3.9000000000000003E-3</v>
      </c>
      <c r="F59" s="14" cm="1">
        <f t="array" ref="F59">INDEX(Benchmarks!D$6:D$244,MATCH(SolverWork!$B59,MutualFunds!$B$6:$B$244,0),0)</f>
        <v>-6.4522342064715112E-3</v>
      </c>
      <c r="G59" s="14" cm="1">
        <f t="array" ref="G59">INDEX(Benchmarks!E$6:E$244,MATCH(SolverWork!$B59,MutualFunds!$B$6:$B$244,0),0)</f>
        <v>-2.0319059613769955E-2</v>
      </c>
      <c r="H59" s="14" cm="1">
        <f t="array" ref="H59">INDEX(Benchmarks!F$6:F$244,MATCH(SolverWork!$B59,MutualFunds!$B$6:$B$244,0),0)</f>
        <v>-1.3231518870740568E-3</v>
      </c>
      <c r="I59" s="14" cm="1">
        <f t="array" ref="I59">INDEX(Benchmarks!G$6:G$244,MATCH(SolverWork!$B59,MutualFunds!$B$6:$B$244,0),0)</f>
        <v>3.0369906206545228E-3</v>
      </c>
      <c r="J59" s="14" cm="1">
        <f t="array" ref="J59">INDEX(Benchmarks!H$6:H$244,MATCH(SolverWork!$B59,MutualFunds!$B$6:$B$244,0),0)</f>
        <v>-1.0582858975386895E-2</v>
      </c>
      <c r="K59" s="14" cm="1">
        <f t="array" ref="K59">INDEX(Benchmarks!I$6:I$244,MATCH(SolverWork!$B59,MutualFunds!$B$6:$B$244,0),0)</f>
        <v>-6.598468702084645E-2</v>
      </c>
      <c r="L59" s="14" cm="1">
        <f t="array" ref="L59">INDEX(Benchmarks!J$6:J$244,MATCH(SolverWork!$B59,MutualFunds!$B$6:$B$244,0),0)</f>
        <v>6.8603334504704974E-2</v>
      </c>
      <c r="M59" s="14" cm="1">
        <f t="array" ref="M59">INDEX(Benchmarks!K$6:K$244,MATCH(SolverWork!$B59,MutualFunds!$B$6:$B$244,0),0)</f>
        <v>7.2461970899470776E-2</v>
      </c>
      <c r="N59" s="14" cm="1">
        <f t="array" ref="N59">INDEX(Benchmarks!L$6:L$244,MATCH(SolverWork!$B59,MutualFunds!$B$6:$B$244,0),0)</f>
        <v>7.198556041855908E-2</v>
      </c>
      <c r="O59" s="14" cm="1">
        <f t="array" ref="O59">INDEX(Benchmarks!M$6:M$244,MATCH(SolverWork!$B59,MutualFunds!$B$6:$B$244,0),0)</f>
        <v>0.10588192037944319</v>
      </c>
      <c r="P59" s="14" cm="1">
        <f t="array" ref="P59">INDEX(Benchmarks!N$6:N$244,MATCH(SolverWork!$B59,MutualFunds!$B$6:$B$244,0),0)</f>
        <v>6.314524112572463E-2</v>
      </c>
      <c r="Q59" s="14" cm="1">
        <f t="array" ref="Q59">INDEX(Benchmarks!O$6:O$244,MATCH(SolverWork!$B59,MutualFunds!$B$6:$B$244,0),0)</f>
        <v>0.1038317838213572</v>
      </c>
      <c r="R59" s="14" cm="1">
        <f t="array" ref="R59">INDEX(Benchmarks!P$6:P$244,MATCH(SolverWork!$B59,MutualFunds!$B$6:$B$244,0),0)</f>
        <v>7.6774712417801302E-2</v>
      </c>
      <c r="S59" s="14" cm="1">
        <f t="array" ref="S59">INDEX(Benchmarks!Q$6:Q$244,MATCH(SolverWork!$B59,MutualFunds!$B$6:$B$244,0),0)</f>
        <v>0.22743332517739173</v>
      </c>
      <c r="T59" s="14" cm="1">
        <f t="array" ref="T59">INDEX(Benchmarks!R$6:R$244,MATCH(SolverWork!$B59,MutualFunds!$B$6:$B$244,0),0)</f>
        <v>4.6306324540457879E-3</v>
      </c>
    </row>
    <row r="60" spans="1:20" x14ac:dyDescent="0.2">
      <c r="A60">
        <v>50</v>
      </c>
      <c r="B60" s="28">
        <f>IF(B59="","",IF(EOMONTH(B59,1)&lt;=EOMONTH(Front!$C$4,0),EOMONTH(B59,1),""))</f>
        <v>35885</v>
      </c>
      <c r="C60" s="14">
        <f>IF(B60="","",INDEX(MutualFunds!$C$6:$O$244,MATCH(B60,MutualFunds!$B$6:$B$244,0),MATCH(Front!$C$2,MutualFunds!$C$4:$O$4,0)))</f>
        <v>3.402854006586168E-2</v>
      </c>
      <c r="D60" s="14">
        <f t="shared" si="0"/>
        <v>-1.4446320829997056E-2</v>
      </c>
      <c r="E60" s="14" cm="1">
        <f t="array" ref="E60">INDEX(Benchmarks!C$6:C$244,MATCH(SolverWork!$B60,MutualFunds!$B$6:$B$244,0),0)</f>
        <v>3.9000000000000003E-3</v>
      </c>
      <c r="F60" s="14" cm="1">
        <f t="array" ref="F60">INDEX(Benchmarks!D$6:D$244,MATCH(SolverWork!$B60,MutualFunds!$B$6:$B$244,0),0)</f>
        <v>-3.3924590481728633E-3</v>
      </c>
      <c r="G60" s="14" cm="1">
        <f t="array" ref="G60">INDEX(Benchmarks!E$6:E$244,MATCH(SolverWork!$B60,MutualFunds!$B$6:$B$244,0),0)</f>
        <v>-4.7137470003429148E-3</v>
      </c>
      <c r="H60" s="14" cm="1">
        <f t="array" ref="H60">INDEX(Benchmarks!F$6:F$244,MATCH(SolverWork!$B60,MutualFunds!$B$6:$B$244,0),0)</f>
        <v>4.9488474700548971E-3</v>
      </c>
      <c r="I60" s="14" cm="1">
        <f t="array" ref="I60">INDEX(Benchmarks!G$6:G$244,MATCH(SolverWork!$B60,MutualFunds!$B$6:$B$244,0),0)</f>
        <v>4.0109264456072774E-3</v>
      </c>
      <c r="J60" s="14" cm="1">
        <f t="array" ref="J60">INDEX(Benchmarks!H$6:H$244,MATCH(SolverWork!$B60,MutualFunds!$B$6:$B$244,0),0)</f>
        <v>3.7274126894093506E-3</v>
      </c>
      <c r="K60" s="14" cm="1">
        <f t="array" ref="K60">INDEX(Benchmarks!I$6:I$244,MATCH(SolverWork!$B60,MutualFunds!$B$6:$B$244,0),0)</f>
        <v>-5.1934008238300128E-3</v>
      </c>
      <c r="L60" s="14" cm="1">
        <f t="array" ref="L60">INDEX(Benchmarks!J$6:J$244,MATCH(SolverWork!$B60,MutualFunds!$B$6:$B$244,0),0)</f>
        <v>5.0496930722011078E-2</v>
      </c>
      <c r="M60" s="14" cm="1">
        <f t="array" ref="M60">INDEX(Benchmarks!K$6:K$244,MATCH(SolverWork!$B60,MutualFunds!$B$6:$B$244,0),0)</f>
        <v>4.9354403545962641E-2</v>
      </c>
      <c r="N60" s="14" cm="1">
        <f t="array" ref="N60">INDEX(Benchmarks!L$6:L$244,MATCH(SolverWork!$B60,MutualFunds!$B$6:$B$244,0),0)</f>
        <v>4.343615534450683E-2</v>
      </c>
      <c r="O60" s="14" cm="1">
        <f t="array" ref="O60">INDEX(Benchmarks!M$6:M$244,MATCH(SolverWork!$B60,MutualFunds!$B$6:$B$244,0),0)</f>
        <v>3.7453245781730482E-2</v>
      </c>
      <c r="P60" s="14" cm="1">
        <f t="array" ref="P60">INDEX(Benchmarks!N$6:N$244,MATCH(SolverWork!$B60,MutualFunds!$B$6:$B$244,0),0)</f>
        <v>4.2118390422347926E-2</v>
      </c>
      <c r="Q60" s="14" cm="1">
        <f t="array" ref="Q60">INDEX(Benchmarks!O$6:O$244,MATCH(SolverWork!$B60,MutualFunds!$B$6:$B$244,0),0)</f>
        <v>4.0035111823524899E-2</v>
      </c>
      <c r="R60" s="14" cm="1">
        <f t="array" ref="R60">INDEX(Benchmarks!P$6:P$244,MATCH(SolverWork!$B60,MutualFunds!$B$6:$B$244,0),0)</f>
        <v>6.9878636511112244E-2</v>
      </c>
      <c r="S60" s="14" cm="1">
        <f t="array" ref="S60">INDEX(Benchmarks!Q$6:Q$244,MATCH(SolverWork!$B60,MutualFunds!$B$6:$B$244,0),0)</f>
        <v>-2.6249272403977158E-2</v>
      </c>
      <c r="T60" s="14" cm="1">
        <f t="array" ref="T60">INDEX(Benchmarks!R$6:R$244,MATCH(SolverWork!$B60,MutualFunds!$B$6:$B$244,0),0)</f>
        <v>-6.8578223308520078E-2</v>
      </c>
    </row>
    <row r="61" spans="1:20" x14ac:dyDescent="0.2">
      <c r="A61">
        <v>51</v>
      </c>
      <c r="B61" s="28">
        <f>IF(B60="","",IF(EOMONTH(B60,1)&lt;=EOMONTH(Front!$C$4,0),EOMONTH(B60,1),""))</f>
        <v>35915</v>
      </c>
      <c r="C61" s="14">
        <f>IF(B61="","",INDEX(MutualFunds!$C$6:$O$244,MATCH(B61,MutualFunds!$B$6:$B$244,0),MATCH(Front!$C$2,MutualFunds!$C$4:$O$4,0)))</f>
        <v>1.2031139419674446E-2</v>
      </c>
      <c r="D61" s="14">
        <f t="shared" si="0"/>
        <v>1.5459201149540611E-3</v>
      </c>
      <c r="E61" s="14" cm="1">
        <f t="array" ref="E61">INDEX(Benchmarks!C$6:C$244,MATCH(SolverWork!$B61,MutualFunds!$B$6:$B$244,0),0)</f>
        <v>4.3E-3</v>
      </c>
      <c r="F61" s="14" cm="1">
        <f t="array" ref="F61">INDEX(Benchmarks!D$6:D$244,MATCH(SolverWork!$B61,MutualFunds!$B$6:$B$244,0),0)</f>
        <v>-7.7805874343511272E-4</v>
      </c>
      <c r="G61" s="14" cm="1">
        <f t="array" ref="G61">INDEX(Benchmarks!E$6:E$244,MATCH(SolverWork!$B61,MutualFunds!$B$6:$B$244,0),0)</f>
        <v>-1.8083182640144127E-3</v>
      </c>
      <c r="H61" s="14" cm="1">
        <f t="array" ref="H61">INDEX(Benchmarks!F$6:F$244,MATCH(SolverWork!$B61,MutualFunds!$B$6:$B$244,0),0)</f>
        <v>5.1095128405422114E-3</v>
      </c>
      <c r="I61" s="14" cm="1">
        <f t="array" ref="I61">INDEX(Benchmarks!G$6:G$244,MATCH(SolverWork!$B61,MutualFunds!$B$6:$B$244,0),0)</f>
        <v>6.1045293748713458E-3</v>
      </c>
      <c r="J61" s="14" cm="1">
        <f t="array" ref="J61">INDEX(Benchmarks!H$6:H$244,MATCH(SolverWork!$B61,MutualFunds!$B$6:$B$244,0),0)</f>
        <v>-1.5338661499959452E-3</v>
      </c>
      <c r="K61" s="14" cm="1">
        <f t="array" ref="K61">INDEX(Benchmarks!I$6:I$244,MATCH(SolverWork!$B61,MutualFunds!$B$6:$B$244,0),0)</f>
        <v>-2.7268241402244021E-2</v>
      </c>
      <c r="L61" s="14" cm="1">
        <f t="array" ref="L61">INDEX(Benchmarks!J$6:J$244,MATCH(SolverWork!$B61,MutualFunds!$B$6:$B$244,0),0)</f>
        <v>7.547826086956577E-3</v>
      </c>
      <c r="M61" s="14" cm="1">
        <f t="array" ref="M61">INDEX(Benchmarks!K$6:K$244,MATCH(SolverWork!$B61,MutualFunds!$B$6:$B$244,0),0)</f>
        <v>1.0688508934638574E-2</v>
      </c>
      <c r="N61" s="14" cm="1">
        <f t="array" ref="N61">INDEX(Benchmarks!L$6:L$244,MATCH(SolverWork!$B61,MutualFunds!$B$6:$B$244,0),0)</f>
        <v>-1.1179547755652479E-3</v>
      </c>
      <c r="O61" s="14" cm="1">
        <f t="array" ref="O61">INDEX(Benchmarks!M$6:M$244,MATCH(SolverWork!$B61,MutualFunds!$B$6:$B$244,0),0)</f>
        <v>1.1753300858864123E-2</v>
      </c>
      <c r="P61" s="14" cm="1">
        <f t="array" ref="P61">INDEX(Benchmarks!N$6:N$244,MATCH(SolverWork!$B61,MutualFunds!$B$6:$B$244,0),0)</f>
        <v>2.9119397507699415E-3</v>
      </c>
      <c r="Q61" s="14" cm="1">
        <f t="array" ref="Q61">INDEX(Benchmarks!O$6:O$244,MATCH(SolverWork!$B61,MutualFunds!$B$6:$B$244,0),0)</f>
        <v>-1.2864206818098503E-2</v>
      </c>
      <c r="R61" s="14" cm="1">
        <f t="array" ref="R61">INDEX(Benchmarks!P$6:P$244,MATCH(SolverWork!$B61,MutualFunds!$B$6:$B$244,0),0)</f>
        <v>1.8113226619872521E-2</v>
      </c>
      <c r="S61" s="14" cm="1">
        <f t="array" ref="S61">INDEX(Benchmarks!Q$6:Q$244,MATCH(SolverWork!$B61,MutualFunds!$B$6:$B$244,0),0)</f>
        <v>-0.1048591151399023</v>
      </c>
      <c r="T61" s="14" cm="1">
        <f t="array" ref="T61">INDEX(Benchmarks!R$6:R$244,MATCH(SolverWork!$B61,MutualFunds!$B$6:$B$244,0),0)</f>
        <v>-4.6435382564964179E-3</v>
      </c>
    </row>
    <row r="62" spans="1:20" x14ac:dyDescent="0.2">
      <c r="A62">
        <v>52</v>
      </c>
      <c r="B62" s="28">
        <f>IF(B61="","",IF(EOMONTH(B61,1)&lt;=EOMONTH(Front!$C$4,0),EOMONTH(B61,1),""))</f>
        <v>35946</v>
      </c>
      <c r="C62" s="14">
        <f>IF(B62="","",INDEX(MutualFunds!$C$6:$O$244,MATCH(B62,MutualFunds!$B$6:$B$244,0),MATCH(Front!$C$2,MutualFunds!$C$4:$O$4,0)))</f>
        <v>-1.9930069930069939E-2</v>
      </c>
      <c r="D62" s="14">
        <f t="shared" si="0"/>
        <v>-3.8533417847651449E-3</v>
      </c>
      <c r="E62" s="14" cm="1">
        <f t="array" ref="E62">INDEX(Benchmarks!C$6:C$244,MATCH(SolverWork!$B62,MutualFunds!$B$6:$B$244,0),0)</f>
        <v>4.0000000000000001E-3</v>
      </c>
      <c r="F62" s="14" cm="1">
        <f t="array" ref="F62">INDEX(Benchmarks!D$6:D$244,MATCH(SolverWork!$B62,MutualFunds!$B$6:$B$244,0),0)</f>
        <v>1.5573291804554855E-3</v>
      </c>
      <c r="G62" s="14" cm="1">
        <f t="array" ref="G62">INDEX(Benchmarks!E$6:E$244,MATCH(SolverWork!$B62,MutualFunds!$B$6:$B$244,0),0)</f>
        <v>1.2767425810904107E-2</v>
      </c>
      <c r="H62" s="14" cm="1">
        <f t="array" ref="H62">INDEX(Benchmarks!F$6:F$244,MATCH(SolverWork!$B62,MutualFunds!$B$6:$B$244,0),0)</f>
        <v>1.2265343970410876E-2</v>
      </c>
      <c r="I62" s="14" cm="1">
        <f t="array" ref="I62">INDEX(Benchmarks!G$6:G$244,MATCH(SolverWork!$B62,MutualFunds!$B$6:$B$244,0),0)</f>
        <v>8.0090870675605368E-3</v>
      </c>
      <c r="J62" s="14" cm="1">
        <f t="array" ref="J62">INDEX(Benchmarks!H$6:H$244,MATCH(SolverWork!$B62,MutualFunds!$B$6:$B$244,0),0)</f>
        <v>1.2370633893919802E-2</v>
      </c>
      <c r="K62" s="14" cm="1">
        <f t="array" ref="K62">INDEX(Benchmarks!I$6:I$244,MATCH(SolverWork!$B62,MutualFunds!$B$6:$B$244,0),0)</f>
        <v>-4.7176885752095332E-2</v>
      </c>
      <c r="L62" s="14" cm="1">
        <f t="array" ref="L62">INDEX(Benchmarks!J$6:J$244,MATCH(SolverWork!$B62,MutualFunds!$B$6:$B$244,0),0)</f>
        <v>-2.0920357648358482E-2</v>
      </c>
      <c r="M62" s="14" cm="1">
        <f t="array" ref="M62">INDEX(Benchmarks!K$6:K$244,MATCH(SolverWork!$B62,MutualFunds!$B$6:$B$244,0),0)</f>
        <v>-1.6553704141151697E-2</v>
      </c>
      <c r="N62" s="14" cm="1">
        <f t="array" ref="N62">INDEX(Benchmarks!L$6:L$244,MATCH(SolverWork!$B62,MutualFunds!$B$6:$B$244,0),0)</f>
        <v>-5.2243691268081531E-2</v>
      </c>
      <c r="O62" s="14" cm="1">
        <f t="array" ref="O62">INDEX(Benchmarks!M$6:M$244,MATCH(SolverWork!$B62,MutualFunds!$B$6:$B$244,0),0)</f>
        <v>-8.9243999588226305E-2</v>
      </c>
      <c r="P62" s="14" cm="1">
        <f t="array" ref="P62">INDEX(Benchmarks!N$6:N$244,MATCH(SolverWork!$B62,MutualFunds!$B$6:$B$244,0),0)</f>
        <v>-3.4483855828050157E-2</v>
      </c>
      <c r="Q62" s="14" cm="1">
        <f t="array" ref="Q62">INDEX(Benchmarks!O$6:O$244,MATCH(SolverWork!$B62,MutualFunds!$B$6:$B$244,0),0)</f>
        <v>-0.14012086234656956</v>
      </c>
      <c r="R62" s="14" cm="1">
        <f t="array" ref="R62">INDEX(Benchmarks!P$6:P$244,MATCH(SolverWork!$B62,MutualFunds!$B$6:$B$244,0),0)</f>
        <v>1.8999482622074539E-2</v>
      </c>
      <c r="S62" s="14" cm="1">
        <f t="array" ref="S62">INDEX(Benchmarks!Q$6:Q$244,MATCH(SolverWork!$B62,MutualFunds!$B$6:$B$244,0),0)</f>
        <v>-0.15758515489569183</v>
      </c>
      <c r="T62" s="14" cm="1">
        <f t="array" ref="T62">INDEX(Benchmarks!R$6:R$244,MATCH(SolverWork!$B62,MutualFunds!$B$6:$B$244,0),0)</f>
        <v>-5.5527916768000313E-2</v>
      </c>
    </row>
    <row r="63" spans="1:20" x14ac:dyDescent="0.2">
      <c r="A63">
        <v>53</v>
      </c>
      <c r="B63" s="28">
        <f>IF(B62="","",IF(EOMONTH(B62,1)&lt;=EOMONTH(Front!$C$4,0),EOMONTH(B62,1),""))</f>
        <v>35976</v>
      </c>
      <c r="C63" s="14">
        <f>IF(B63="","",INDEX(MutualFunds!$C$6:$O$244,MATCH(B63,MutualFunds!$B$6:$B$244,0),MATCH(Front!$C$2,MutualFunds!$C$4:$O$4,0)))</f>
        <v>-1.1416339636104184E-2</v>
      </c>
      <c r="D63" s="14">
        <f t="shared" si="0"/>
        <v>-1.7925134303598947E-2</v>
      </c>
      <c r="E63" s="14" cm="1">
        <f t="array" ref="E63">INDEX(Benchmarks!C$6:C$244,MATCH(SolverWork!$B63,MutualFunds!$B$6:$B$244,0),0)</f>
        <v>4.0999999999999995E-3</v>
      </c>
      <c r="F63" s="14" cm="1">
        <f t="array" ref="F63">INDEX(Benchmarks!D$6:D$244,MATCH(SolverWork!$B63,MutualFunds!$B$6:$B$244,0),0)</f>
        <v>7.7745383867831191E-4</v>
      </c>
      <c r="G63" s="14" cm="1">
        <f t="array" ref="G63">INDEX(Benchmarks!E$6:E$244,MATCH(SolverWork!$B63,MutualFunds!$B$6:$B$244,0),0)</f>
        <v>1.6865417376490541E-2</v>
      </c>
      <c r="H63" s="14" cm="1">
        <f t="array" ref="H63">INDEX(Benchmarks!F$6:F$244,MATCH(SolverWork!$B63,MutualFunds!$B$6:$B$244,0),0)</f>
        <v>9.0022970737367782E-3</v>
      </c>
      <c r="I63" s="14" cm="1">
        <f t="array" ref="I63">INDEX(Benchmarks!G$6:G$244,MATCH(SolverWork!$B63,MutualFunds!$B$6:$B$244,0),0)</f>
        <v>3.2155794887338261E-3</v>
      </c>
      <c r="J63" s="14" cm="1">
        <f t="array" ref="J63">INDEX(Benchmarks!H$6:H$244,MATCH(SolverWork!$B63,MutualFunds!$B$6:$B$244,0),0)</f>
        <v>1.038255730372971E-2</v>
      </c>
      <c r="K63" s="14" cm="1">
        <f t="array" ref="K63">INDEX(Benchmarks!I$6:I$244,MATCH(SolverWork!$B63,MutualFunds!$B$6:$B$244,0),0)</f>
        <v>-3.5454426209269883E-2</v>
      </c>
      <c r="L63" s="14" cm="1">
        <f t="array" ref="L63">INDEX(Benchmarks!J$6:J$244,MATCH(SolverWork!$B63,MutualFunds!$B$6:$B$244,0),0)</f>
        <v>7.0149148478544407E-2</v>
      </c>
      <c r="M63" s="14" cm="1">
        <f t="array" ref="M63">INDEX(Benchmarks!K$6:K$244,MATCH(SolverWork!$B63,MutualFunds!$B$6:$B$244,0),0)</f>
        <v>6.3375337201137241E-3</v>
      </c>
      <c r="N63" s="14" cm="1">
        <f t="array" ref="N63">INDEX(Benchmarks!L$6:L$244,MATCH(SolverWork!$B63,MutualFunds!$B$6:$B$244,0),0)</f>
        <v>-5.0132572803636283E-3</v>
      </c>
      <c r="O63" s="14" cm="1">
        <f t="array" ref="O63">INDEX(Benchmarks!M$6:M$244,MATCH(SolverWork!$B63,MutualFunds!$B$6:$B$244,0),0)</f>
        <v>4.3908079956178861E-2</v>
      </c>
      <c r="P63" s="14" cm="1">
        <f t="array" ref="P63">INDEX(Benchmarks!N$6:N$244,MATCH(SolverWork!$B63,MutualFunds!$B$6:$B$244,0),0)</f>
        <v>-5.4046928552596444E-3</v>
      </c>
      <c r="Q63" s="14" cm="1">
        <f t="array" ref="Q63">INDEX(Benchmarks!O$6:O$244,MATCH(SolverWork!$B63,MutualFunds!$B$6:$B$244,0),0)</f>
        <v>-0.10693654113234873</v>
      </c>
      <c r="R63" s="14" cm="1">
        <f t="array" ref="R63">INDEX(Benchmarks!P$6:P$244,MATCH(SolverWork!$B63,MutualFunds!$B$6:$B$244,0),0)</f>
        <v>9.7169264824877397E-3</v>
      </c>
      <c r="S63" s="14" cm="1">
        <f t="array" ref="S63">INDEX(Benchmarks!Q$6:Q$244,MATCH(SolverWork!$B63,MutualFunds!$B$6:$B$244,0),0)</f>
        <v>-0.11170715286299115</v>
      </c>
      <c r="T63" s="14" cm="1">
        <f t="array" ref="T63">INDEX(Benchmarks!R$6:R$244,MATCH(SolverWork!$B63,MutualFunds!$B$6:$B$244,0),0)</f>
        <v>1.3443806679802597E-2</v>
      </c>
    </row>
    <row r="64" spans="1:20" x14ac:dyDescent="0.2">
      <c r="A64">
        <v>54</v>
      </c>
      <c r="B64" s="28">
        <f>IF(B63="","",IF(EOMONTH(B63,1)&lt;=EOMONTH(Front!$C$4,0),EOMONTH(B63,1),""))</f>
        <v>36007</v>
      </c>
      <c r="C64" s="14">
        <f>IF(B64="","",INDEX(MutualFunds!$C$6:$O$244,MATCH(B64,MutualFunds!$B$6:$B$244,0),MATCH(Front!$C$2,MutualFunds!$C$4:$O$4,0)))</f>
        <v>-2.9592204980151578E-2</v>
      </c>
      <c r="D64" s="14">
        <f t="shared" si="0"/>
        <v>-7.0256094631569212E-3</v>
      </c>
      <c r="E64" s="14" cm="1">
        <f t="array" ref="E64">INDEX(Benchmarks!C$6:C$244,MATCH(SolverWork!$B64,MutualFunds!$B$6:$B$244,0),0)</f>
        <v>4.0000000000000001E-3</v>
      </c>
      <c r="F64" s="14" cm="1">
        <f t="array" ref="F64">INDEX(Benchmarks!D$6:D$244,MATCH(SolverWork!$B64,MutualFunds!$B$6:$B$244,0),0)</f>
        <v>-1.3594872790833226E-3</v>
      </c>
      <c r="G64" s="14" cm="1">
        <f t="array" ref="G64">INDEX(Benchmarks!E$6:E$244,MATCH(SolverWork!$B64,MutualFunds!$B$6:$B$244,0),0)</f>
        <v>-2.6805159993298138E-3</v>
      </c>
      <c r="H64" s="14" cm="1">
        <f t="array" ref="H64">INDEX(Benchmarks!F$6:F$244,MATCH(SolverWork!$B64,MutualFunds!$B$6:$B$244,0),0)</f>
        <v>-8.1416128586273863E-4</v>
      </c>
      <c r="I64" s="14" cm="1">
        <f t="array" ref="I64">INDEX(Benchmarks!G$6:G$244,MATCH(SolverWork!$B64,MutualFunds!$B$6:$B$244,0),0)</f>
        <v>5.2617152046391296E-3</v>
      </c>
      <c r="J64" s="14" cm="1">
        <f t="array" ref="J64">INDEX(Benchmarks!H$6:H$244,MATCH(SolverWork!$B64,MutualFunds!$B$6:$B$244,0),0)</f>
        <v>-4.5846178167733643E-3</v>
      </c>
      <c r="K64" s="14" cm="1">
        <f t="array" ref="K64">INDEX(Benchmarks!I$6:I$244,MATCH(SolverWork!$B64,MutualFunds!$B$6:$B$244,0),0)</f>
        <v>-7.8610968897990519E-2</v>
      </c>
      <c r="L64" s="14" cm="1">
        <f t="array" ref="L64">INDEX(Benchmarks!J$6:J$244,MATCH(SolverWork!$B64,MutualFunds!$B$6:$B$244,0),0)</f>
        <v>-1.3508838404638083E-3</v>
      </c>
      <c r="M64" s="14" cm="1">
        <f t="array" ref="M64">INDEX(Benchmarks!K$6:K$244,MATCH(SolverWork!$B64,MutualFunds!$B$6:$B$244,0),0)</f>
        <v>-2.2895437436885917E-2</v>
      </c>
      <c r="N64" s="14" cm="1">
        <f t="array" ref="N64">INDEX(Benchmarks!L$6:L$244,MATCH(SolverWork!$B64,MutualFunds!$B$6:$B$244,0),0)</f>
        <v>-7.5544159799355096E-2</v>
      </c>
      <c r="O64" s="14" cm="1">
        <f t="array" ref="O64">INDEX(Benchmarks!M$6:M$244,MATCH(SolverWork!$B64,MutualFunds!$B$6:$B$244,0),0)</f>
        <v>-8.795382424227291E-2</v>
      </c>
      <c r="P64" s="14" cm="1">
        <f t="array" ref="P64">INDEX(Benchmarks!N$6:N$244,MATCH(SolverWork!$B64,MutualFunds!$B$6:$B$244,0),0)</f>
        <v>-7.7708747514910484E-2</v>
      </c>
      <c r="Q64" s="14" cm="1">
        <f t="array" ref="Q64">INDEX(Benchmarks!O$6:O$244,MATCH(SolverWork!$B64,MutualFunds!$B$6:$B$244,0),0)</f>
        <v>2.8176727046087806E-2</v>
      </c>
      <c r="R64" s="14" cm="1">
        <f t="array" ref="R64">INDEX(Benchmarks!P$6:P$244,MATCH(SolverWork!$B64,MutualFunds!$B$6:$B$244,0),0)</f>
        <v>1.8530636615572919E-2</v>
      </c>
      <c r="S64" s="14" cm="1">
        <f t="array" ref="S64">INDEX(Benchmarks!Q$6:Q$244,MATCH(SolverWork!$B64,MutualFunds!$B$6:$B$244,0),0)</f>
        <v>-3.0292657881225499E-2</v>
      </c>
      <c r="T64" s="14" cm="1">
        <f t="array" ref="T64">INDEX(Benchmarks!R$6:R$244,MATCH(SolverWork!$B64,MutualFunds!$B$6:$B$244,0),0)</f>
        <v>-1.3736440234626099E-2</v>
      </c>
    </row>
    <row r="65" spans="1:20" x14ac:dyDescent="0.2">
      <c r="A65">
        <v>55</v>
      </c>
      <c r="B65" s="28">
        <f>IF(B64="","",IF(EOMONTH(B64,1)&lt;=EOMONTH(Front!$C$4,0),EOMONTH(B64,1),""))</f>
        <v>36038</v>
      </c>
      <c r="C65" s="14">
        <f>IF(B65="","",INDEX(MutualFunds!$C$6:$O$244,MATCH(B65,MutualFunds!$B$6:$B$244,0),MATCH(Front!$C$2,MutualFunds!$C$4:$O$4,0)))</f>
        <v>-0.12123465972480468</v>
      </c>
      <c r="D65" s="14">
        <f t="shared" si="0"/>
        <v>3.806245924292942E-2</v>
      </c>
      <c r="E65" s="14" cm="1">
        <f t="array" ref="E65">INDEX(Benchmarks!C$6:C$244,MATCH(SolverWork!$B65,MutualFunds!$B$6:$B$244,0),0)</f>
        <v>4.3E-3</v>
      </c>
      <c r="F65" s="14" cm="1">
        <f t="array" ref="F65">INDEX(Benchmarks!D$6:D$244,MATCH(SolverWork!$B65,MutualFunds!$B$6:$B$244,0),0)</f>
        <v>1.4294049008168016E-2</v>
      </c>
      <c r="G65" s="14" cm="1">
        <f t="array" ref="G65">INDEX(Benchmarks!E$6:E$244,MATCH(SolverWork!$B65,MutualFunds!$B$6:$B$244,0),0)</f>
        <v>3.5612296321182554E-2</v>
      </c>
      <c r="H65" s="14" cm="1">
        <f t="array" ref="H65">INDEX(Benchmarks!F$6:F$244,MATCH(SolverWork!$B65,MutualFunds!$B$6:$B$244,0),0)</f>
        <v>1.4246620271198113E-3</v>
      </c>
      <c r="I65" s="14" cm="1">
        <f t="array" ref="I65">INDEX(Benchmarks!G$6:G$244,MATCH(SolverWork!$B65,MutualFunds!$B$6:$B$244,0),0)</f>
        <v>8.968022938748375E-3</v>
      </c>
      <c r="J65" s="14" cm="1">
        <f t="array" ref="J65">INDEX(Benchmarks!H$6:H$244,MATCH(SolverWork!$B65,MutualFunds!$B$6:$B$244,0),0)</f>
        <v>2.5966806956245387E-2</v>
      </c>
      <c r="K65" s="14" cm="1">
        <f t="array" ref="K65">INDEX(Benchmarks!I$6:I$244,MATCH(SolverWork!$B65,MutualFunds!$B$6:$B$244,0),0)</f>
        <v>-5.9015809899202049E-2</v>
      </c>
      <c r="L65" s="14" cm="1">
        <f t="array" ref="L65">INDEX(Benchmarks!J$6:J$244,MATCH(SolverWork!$B65,MutualFunds!$B$6:$B$244,0),0)</f>
        <v>-0.1308665599894423</v>
      </c>
      <c r="M65" s="14" cm="1">
        <f t="array" ref="M65">INDEX(Benchmarks!K$6:K$244,MATCH(SolverWork!$B65,MutualFunds!$B$6:$B$244,0),0)</f>
        <v>-0.16252019993235381</v>
      </c>
      <c r="N65" s="14" cm="1">
        <f t="array" ref="N65">INDEX(Benchmarks!L$6:L$244,MATCH(SolverWork!$B65,MutualFunds!$B$6:$B$244,0),0)</f>
        <v>-0.18909949736571185</v>
      </c>
      <c r="O65" s="14" cm="1">
        <f t="array" ref="O65">INDEX(Benchmarks!M$6:M$244,MATCH(SolverWork!$B65,MutualFunds!$B$6:$B$244,0),0)</f>
        <v>-0.28112471804425443</v>
      </c>
      <c r="P65" s="14" cm="1">
        <f t="array" ref="P65">INDEX(Benchmarks!N$6:N$244,MATCH(SolverWork!$B65,MutualFunds!$B$6:$B$244,0),0)</f>
        <v>-0.1654137364265891</v>
      </c>
      <c r="Q65" s="14" cm="1">
        <f t="array" ref="Q65">INDEX(Benchmarks!O$6:O$244,MATCH(SolverWork!$B65,MutualFunds!$B$6:$B$244,0),0)</f>
        <v>-0.29285474672928546</v>
      </c>
      <c r="R65" s="14" cm="1">
        <f t="array" ref="R65">INDEX(Benchmarks!P$6:P$244,MATCH(SolverWork!$B65,MutualFunds!$B$6:$B$244,0),0)</f>
        <v>-0.12700883472782276</v>
      </c>
      <c r="S65" s="14" cm="1">
        <f t="array" ref="S65">INDEX(Benchmarks!Q$6:Q$244,MATCH(SolverWork!$B65,MutualFunds!$B$6:$B$244,0),0)</f>
        <v>-0.15734204024002818</v>
      </c>
      <c r="T65" s="14" cm="1">
        <f t="array" ref="T65">INDEX(Benchmarks!R$6:R$244,MATCH(SolverWork!$B65,MutualFunds!$B$6:$B$244,0),0)</f>
        <v>-0.11462421941961547</v>
      </c>
    </row>
    <row r="66" spans="1:20" x14ac:dyDescent="0.2">
      <c r="A66">
        <v>56</v>
      </c>
      <c r="B66" s="28">
        <f>IF(B65="","",IF(EOMONTH(B65,1)&lt;=EOMONTH(Front!$C$4,0),EOMONTH(B65,1),""))</f>
        <v>36068</v>
      </c>
      <c r="C66" s="14">
        <f>IF(B66="","",INDEX(MutualFunds!$C$6:$O$244,MATCH(B66,MutualFunds!$B$6:$B$244,0),MATCH(Front!$C$2,MutualFunds!$C$4:$O$4,0)))</f>
        <v>3.5971223021582642E-2</v>
      </c>
      <c r="D66" s="14">
        <f t="shared" si="0"/>
        <v>-2.2302725060693938E-2</v>
      </c>
      <c r="E66" s="14" cm="1">
        <f t="array" ref="E66">INDEX(Benchmarks!C$6:C$244,MATCH(SolverWork!$B66,MutualFunds!$B$6:$B$244,0),0)</f>
        <v>4.5999999999999999E-3</v>
      </c>
      <c r="F66" s="14" cm="1">
        <f t="array" ref="F66">INDEX(Benchmarks!D$6:D$244,MATCH(SolverWork!$B66,MutualFunds!$B$6:$B$244,0),0)</f>
        <v>1.859840858978044E-2</v>
      </c>
      <c r="G66" s="14" cm="1">
        <f t="array" ref="G66">INDEX(Benchmarks!E$6:E$244,MATCH(SolverWork!$B66,MutualFunds!$B$6:$B$244,0),0)</f>
        <v>2.8710462287104676E-2</v>
      </c>
      <c r="H66" s="14" cm="1">
        <f t="array" ref="H66">INDEX(Benchmarks!F$6:F$244,MATCH(SolverWork!$B66,MutualFunds!$B$6:$B$244,0),0)</f>
        <v>3.1061552002947548E-2</v>
      </c>
      <c r="I66" s="14" cm="1">
        <f t="array" ref="I66">INDEX(Benchmarks!G$6:G$244,MATCH(SolverWork!$B66,MutualFunds!$B$6:$B$244,0),0)</f>
        <v>1.2226233974012601E-2</v>
      </c>
      <c r="J66" s="14" cm="1">
        <f t="array" ref="J66">INDEX(Benchmarks!H$6:H$244,MATCH(SolverWork!$B66,MutualFunds!$B$6:$B$244,0),0)</f>
        <v>3.6996904024767817E-2</v>
      </c>
      <c r="K66" s="14" cm="1">
        <f t="array" ref="K66">INDEX(Benchmarks!I$6:I$244,MATCH(SolverWork!$B66,MutualFunds!$B$6:$B$244,0),0)</f>
        <v>0.10220651667458616</v>
      </c>
      <c r="L66" s="14" cm="1">
        <f t="array" ref="L66">INDEX(Benchmarks!J$6:J$244,MATCH(SolverWork!$B66,MutualFunds!$B$6:$B$244,0),0)</f>
        <v>6.5520252059370579E-2</v>
      </c>
      <c r="M66" s="14" cm="1">
        <f t="array" ref="M66">INDEX(Benchmarks!K$6:K$244,MATCH(SolverWork!$B66,MutualFunds!$B$6:$B$244,0),0)</f>
        <v>5.8762817204783588E-2</v>
      </c>
      <c r="N66" s="14" cm="1">
        <f t="array" ref="N66">INDEX(Benchmarks!L$6:L$244,MATCH(SolverWork!$B66,MutualFunds!$B$6:$B$244,0),0)</f>
        <v>7.2902975265862202E-2</v>
      </c>
      <c r="O66" s="14" cm="1">
        <f t="array" ref="O66">INDEX(Benchmarks!M$6:M$244,MATCH(SolverWork!$B66,MutualFunds!$B$6:$B$244,0),0)</f>
        <v>0.14058867617728876</v>
      </c>
      <c r="P66" s="14" cm="1">
        <f t="array" ref="P66">INDEX(Benchmarks!N$6:N$244,MATCH(SolverWork!$B66,MutualFunds!$B$6:$B$244,0),0)</f>
        <v>4.9051892985514774E-2</v>
      </c>
      <c r="Q66" s="14" cm="1">
        <f t="array" ref="Q66">INDEX(Benchmarks!O$6:O$244,MATCH(SolverWork!$B66,MutualFunds!$B$6:$B$244,0),0)</f>
        <v>6.0579579879489961E-2</v>
      </c>
      <c r="R66" s="14" cm="1">
        <f t="array" ref="R66">INDEX(Benchmarks!P$6:P$244,MATCH(SolverWork!$B66,MutualFunds!$B$6:$B$244,0),0)</f>
        <v>-4.1428170511573791E-2</v>
      </c>
      <c r="S66" s="14" cm="1">
        <f t="array" ref="S66">INDEX(Benchmarks!Q$6:Q$244,MATCH(SolverWork!$B66,MutualFunds!$B$6:$B$244,0),0)</f>
        <v>0.10523166225333978</v>
      </c>
      <c r="T66" s="14" cm="1">
        <f t="array" ref="T66">INDEX(Benchmarks!R$6:R$244,MATCH(SolverWork!$B66,MutualFunds!$B$6:$B$244,0),0)</f>
        <v>-2.7991675683569826E-2</v>
      </c>
    </row>
    <row r="67" spans="1:20" x14ac:dyDescent="0.2">
      <c r="A67">
        <v>57</v>
      </c>
      <c r="B67" s="28">
        <f>IF(B66="","",IF(EOMONTH(B66,1)&lt;=EOMONTH(Front!$C$4,0),EOMONTH(B66,1),""))</f>
        <v>36099</v>
      </c>
      <c r="C67" s="14">
        <f>IF(B67="","",INDEX(MutualFunds!$C$6:$O$244,MATCH(B67,MutualFunds!$B$6:$B$244,0),MATCH(Front!$C$2,MutualFunds!$C$4:$O$4,0)))</f>
        <v>6.4542483660130795E-2</v>
      </c>
      <c r="D67" s="14">
        <f t="shared" si="0"/>
        <v>-1.0707306038214542E-2</v>
      </c>
      <c r="E67" s="14" cm="1">
        <f t="array" ref="E67">INDEX(Benchmarks!C$6:C$244,MATCH(SolverWork!$B67,MutualFunds!$B$6:$B$244,0),0)</f>
        <v>3.2000000000000002E-3</v>
      </c>
      <c r="F67" s="14" cm="1">
        <f t="array" ref="F67">INDEX(Benchmarks!D$6:D$244,MATCH(SolverWork!$B67,MutualFunds!$B$6:$B$244,0),0)</f>
        <v>-3.3882352941176416E-3</v>
      </c>
      <c r="G67" s="14" cm="1">
        <f t="array" ref="G67">INDEX(Benchmarks!E$6:E$244,MATCH(SolverWork!$B67,MutualFunds!$B$6:$B$244,0),0)</f>
        <v>-2.3573005361084792E-2</v>
      </c>
      <c r="H67" s="14" cm="1">
        <f t="array" ref="H67">INDEX(Benchmarks!F$6:F$244,MATCH(SolverWork!$B67,MutualFunds!$B$6:$B$244,0),0)</f>
        <v>-1.1501783287621997E-2</v>
      </c>
      <c r="I67" s="14" cm="1">
        <f t="array" ref="I67">INDEX(Benchmarks!G$6:G$244,MATCH(SolverWork!$B67,MutualFunds!$B$6:$B$244,0),0)</f>
        <v>-1.2649320721984671E-3</v>
      </c>
      <c r="J67" s="14" cm="1">
        <f t="array" ref="J67">INDEX(Benchmarks!H$6:H$244,MATCH(SolverWork!$B67,MutualFunds!$B$6:$B$244,0),0)</f>
        <v>-2.9855202268995375E-2</v>
      </c>
      <c r="K67" s="14" cm="1">
        <f t="array" ref="K67">INDEX(Benchmarks!I$6:I$244,MATCH(SolverWork!$B67,MutualFunds!$B$6:$B$244,0),0)</f>
        <v>-4.6910707260110152E-2</v>
      </c>
      <c r="L67" s="14" cm="1">
        <f t="array" ref="L67">INDEX(Benchmarks!J$6:J$244,MATCH(SolverWork!$B67,MutualFunds!$B$6:$B$244,0),0)</f>
        <v>8.3134418753785438E-2</v>
      </c>
      <c r="M67" s="14" cm="1">
        <f t="array" ref="M67">INDEX(Benchmarks!K$6:K$244,MATCH(SolverWork!$B67,MutualFunds!$B$6:$B$244,0),0)</f>
        <v>7.6883953547512138E-2</v>
      </c>
      <c r="N67" s="14" cm="1">
        <f t="array" ref="N67">INDEX(Benchmarks!L$6:L$244,MATCH(SolverWork!$B67,MutualFunds!$B$6:$B$244,0),0)</f>
        <v>6.7615162947391769E-2</v>
      </c>
      <c r="O67" s="14" cm="1">
        <f t="array" ref="O67">INDEX(Benchmarks!M$6:M$244,MATCH(SolverWork!$B67,MutualFunds!$B$6:$B$244,0),0)</f>
        <v>6.1468380371104685E-2</v>
      </c>
      <c r="P67" s="14" cm="1">
        <f t="array" ref="P67">INDEX(Benchmarks!N$6:N$244,MATCH(SolverWork!$B67,MutualFunds!$B$6:$B$244,0),0)</f>
        <v>2.5082068116536654E-2</v>
      </c>
      <c r="Q67" s="14" cm="1">
        <f t="array" ref="Q67">INDEX(Benchmarks!O$6:O$244,MATCH(SolverWork!$B67,MutualFunds!$B$6:$B$244,0),0)</f>
        <v>0.1041001294777729</v>
      </c>
      <c r="R67" s="14" cm="1">
        <f t="array" ref="R67">INDEX(Benchmarks!P$6:P$244,MATCH(SolverWork!$B67,MutualFunds!$B$6:$B$244,0),0)</f>
        <v>7.8539542198364259E-2</v>
      </c>
      <c r="S67" s="14" cm="1">
        <f t="array" ref="S67">INDEX(Benchmarks!Q$6:Q$244,MATCH(SolverWork!$B67,MutualFunds!$B$6:$B$244,0),0)</f>
        <v>0.27098420347334096</v>
      </c>
      <c r="T67" s="14" cm="1">
        <f t="array" ref="T67">INDEX(Benchmarks!R$6:R$244,MATCH(SolverWork!$B67,MutualFunds!$B$6:$B$244,0),0)</f>
        <v>0.16688150747105354</v>
      </c>
    </row>
    <row r="68" spans="1:20" x14ac:dyDescent="0.2">
      <c r="A68">
        <v>58</v>
      </c>
      <c r="B68" s="28">
        <f>IF(B67="","",IF(EOMONTH(B67,1)&lt;=EOMONTH(Front!$C$4,0),EOMONTH(B67,1),""))</f>
        <v>36129</v>
      </c>
      <c r="C68" s="14">
        <f>IF(B68="","",INDEX(MutualFunds!$C$6:$O$244,MATCH(B68,MutualFunds!$B$6:$B$244,0),MATCH(Front!$C$2,MutualFunds!$C$4:$O$4,0)))</f>
        <v>4.1059094397544134E-2</v>
      </c>
      <c r="D68" s="14">
        <f t="shared" si="0"/>
        <v>-8.2082208111659907E-3</v>
      </c>
      <c r="E68" s="14" cm="1">
        <f t="array" ref="E68">INDEX(Benchmarks!C$6:C$244,MATCH(SolverWork!$B68,MutualFunds!$B$6:$B$244,0),0)</f>
        <v>3.0999999999999999E-3</v>
      </c>
      <c r="F68" s="14" cm="1">
        <f t="array" ref="F68">INDEX(Benchmarks!D$6:D$244,MATCH(SolverWork!$B68,MutualFunds!$B$6:$B$244,0),0)</f>
        <v>-9.0660118991405577E-3</v>
      </c>
      <c r="G68" s="14" cm="1">
        <f t="array" ref="G68">INDEX(Benchmarks!E$6:E$244,MATCH(SolverWork!$B68,MutualFunds!$B$6:$B$244,0),0)</f>
        <v>2.3415421881307391E-3</v>
      </c>
      <c r="H68" s="14" cm="1">
        <f t="array" ref="H68">INDEX(Benchmarks!F$6:F$244,MATCH(SolverWork!$B68,MutualFunds!$B$6:$B$244,0),0)</f>
        <v>1.5380258720936102E-2</v>
      </c>
      <c r="I68" s="14" cm="1">
        <f t="array" ref="I68">INDEX(Benchmarks!G$6:G$244,MATCH(SolverWork!$B68,MutualFunds!$B$6:$B$244,0),0)</f>
        <v>5.6495027130682267E-3</v>
      </c>
      <c r="J68" s="14" cm="1">
        <f t="array" ref="J68">INDEX(Benchmarks!H$6:H$244,MATCH(SolverWork!$B68,MutualFunds!$B$6:$B$244,0),0)</f>
        <v>9.9246037851978813E-3</v>
      </c>
      <c r="K68" s="14" cm="1">
        <f t="array" ref="K68">INDEX(Benchmarks!I$6:I$244,MATCH(SolverWork!$B68,MutualFunds!$B$6:$B$244,0),0)</f>
        <v>-0.12167455668074864</v>
      </c>
      <c r="L68" s="14" cm="1">
        <f t="array" ref="L68">INDEX(Benchmarks!J$6:J$244,MATCH(SolverWork!$B68,MutualFunds!$B$6:$B$244,0),0)</f>
        <v>6.6737932735794633E-2</v>
      </c>
      <c r="M68" s="14" cm="1">
        <f t="array" ref="M68">INDEX(Benchmarks!K$6:K$244,MATCH(SolverWork!$B68,MutualFunds!$B$6:$B$244,0),0)</f>
        <v>5.0043293450881626E-2</v>
      </c>
      <c r="N68" s="14" cm="1">
        <f t="array" ref="N68">INDEX(Benchmarks!L$6:L$244,MATCH(SolverWork!$B68,MutualFunds!$B$6:$B$244,0),0)</f>
        <v>4.4034424305646233E-2</v>
      </c>
      <c r="O68" s="14" cm="1">
        <f t="array" ref="O68">INDEX(Benchmarks!M$6:M$244,MATCH(SolverWork!$B68,MutualFunds!$B$6:$B$244,0),0)</f>
        <v>0.10918629662661986</v>
      </c>
      <c r="P68" s="14" cm="1">
        <f t="array" ref="P68">INDEX(Benchmarks!N$6:N$244,MATCH(SolverWork!$B68,MutualFunds!$B$6:$B$244,0),0)</f>
        <v>4.0470352764573482E-2</v>
      </c>
      <c r="Q68" s="14" cm="1">
        <f t="array" ref="Q68">INDEX(Benchmarks!O$6:O$244,MATCH(SolverWork!$B68,MutualFunds!$B$6:$B$244,0),0)</f>
        <v>8.218136331653661E-2</v>
      </c>
      <c r="R68" s="14" cm="1">
        <f t="array" ref="R68">INDEX(Benchmarks!P$6:P$244,MATCH(SolverWork!$B68,MutualFunds!$B$6:$B$244,0),0)</f>
        <v>5.1830778466292499E-2</v>
      </c>
      <c r="S68" s="14" cm="1">
        <f t="array" ref="S68">INDEX(Benchmarks!Q$6:Q$244,MATCH(SolverWork!$B68,MutualFunds!$B$6:$B$244,0),0)</f>
        <v>8.9268503085844567E-2</v>
      </c>
      <c r="T68" s="14" cm="1">
        <f t="array" ref="T68">INDEX(Benchmarks!R$6:R$244,MATCH(SolverWork!$B68,MutualFunds!$B$6:$B$244,0),0)</f>
        <v>4.5064611077647747E-2</v>
      </c>
    </row>
    <row r="69" spans="1:20" x14ac:dyDescent="0.2">
      <c r="A69">
        <v>59</v>
      </c>
      <c r="B69" s="28">
        <f>IF(B68="","",IF(EOMONTH(B68,1)&lt;=EOMONTH(Front!$C$4,0),EOMONTH(B68,1),""))</f>
        <v>36160</v>
      </c>
      <c r="C69" s="14">
        <f>IF(B69="","",INDEX(MutualFunds!$C$6:$O$244,MATCH(B69,MutualFunds!$B$6:$B$244,0),MATCH(Front!$C$2,MutualFunds!$C$4:$O$4,0)))</f>
        <v>-2.3221525985993457E-2</v>
      </c>
      <c r="D69" s="14">
        <f t="shared" si="0"/>
        <v>-5.6721979709404818E-2</v>
      </c>
      <c r="E69" s="14" cm="1">
        <f t="array" ref="E69">INDEX(Benchmarks!C$6:C$244,MATCH(SolverWork!$B69,MutualFunds!$B$6:$B$244,0),0)</f>
        <v>3.8E-3</v>
      </c>
      <c r="F69" s="14" cm="1">
        <f t="array" ref="F69">INDEX(Benchmarks!D$6:D$244,MATCH(SolverWork!$B69,MutualFunds!$B$6:$B$244,0),0)</f>
        <v>-1.3342228152101454E-3</v>
      </c>
      <c r="G69" s="14" cm="1">
        <f t="array" ref="G69">INDEX(Benchmarks!E$6:E$244,MATCH(SolverWork!$B69,MutualFunds!$B$6:$B$244,0),0)</f>
        <v>2.3924601256645712E-2</v>
      </c>
      <c r="H69" s="14" cm="1">
        <f t="array" ref="H69">INDEX(Benchmarks!F$6:F$244,MATCH(SolverWork!$B69,MutualFunds!$B$6:$B$244,0),0)</f>
        <v>5.9526988403165596E-3</v>
      </c>
      <c r="I69" s="14" cm="1">
        <f t="array" ref="I69">INDEX(Benchmarks!G$6:G$244,MATCH(SolverWork!$B69,MutualFunds!$B$6:$B$244,0),0)</f>
        <v>4.5710059521137545E-3</v>
      </c>
      <c r="J69" s="14" cm="1">
        <f t="array" ref="J69">INDEX(Benchmarks!H$6:H$244,MATCH(SolverWork!$B69,MutualFunds!$B$6:$B$244,0),0)</f>
        <v>1.1426830197303699E-3</v>
      </c>
      <c r="K69" s="14" cm="1">
        <f t="array" ref="K69">INDEX(Benchmarks!I$6:I$244,MATCH(SolverWork!$B69,MutualFunds!$B$6:$B$244,0),0)</f>
        <v>-1.7209397671081435E-2</v>
      </c>
      <c r="L69" s="14" cm="1">
        <f t="array" ref="L69">INDEX(Benchmarks!J$6:J$244,MATCH(SolverWork!$B69,MutualFunds!$B$6:$B$244,0),0)</f>
        <v>7.4988822595316265E-2</v>
      </c>
      <c r="M69" s="14" cm="1">
        <f t="array" ref="M69">INDEX(Benchmarks!K$6:K$244,MATCH(SolverWork!$B69,MutualFunds!$B$6:$B$244,0),0)</f>
        <v>3.3658801701681132E-2</v>
      </c>
      <c r="N69" s="14" cm="1">
        <f t="array" ref="N69">INDEX(Benchmarks!L$6:L$244,MATCH(SolverWork!$B69,MutualFunds!$B$6:$B$244,0),0)</f>
        <v>7.5424332121847931E-2</v>
      </c>
      <c r="O69" s="14" cm="1">
        <f t="array" ref="O69">INDEX(Benchmarks!M$6:M$244,MATCH(SolverWork!$B69,MutualFunds!$B$6:$B$244,0),0)</f>
        <v>0.10848445289515739</v>
      </c>
      <c r="P69" s="14" cm="1">
        <f t="array" ref="P69">INDEX(Benchmarks!N$6:N$244,MATCH(SolverWork!$B69,MutualFunds!$B$6:$B$244,0),0)</f>
        <v>2.1554501822658535E-2</v>
      </c>
      <c r="Q69" s="14" cm="1">
        <f t="array" ref="Q69">INDEX(Benchmarks!O$6:O$244,MATCH(SolverWork!$B69,MutualFunds!$B$6:$B$244,0),0)</f>
        <v>-1.8241343981505828E-2</v>
      </c>
      <c r="R69" s="14" cm="1">
        <f t="array" ref="R69">INDEX(Benchmarks!P$6:P$244,MATCH(SolverWork!$B69,MutualFunds!$B$6:$B$244,0),0)</f>
        <v>4.2412400697660037E-2</v>
      </c>
      <c r="S69" s="14" cm="1">
        <f t="array" ref="S69">INDEX(Benchmarks!Q$6:Q$244,MATCH(SolverWork!$B69,MutualFunds!$B$6:$B$244,0),0)</f>
        <v>1.253929222661653E-2</v>
      </c>
      <c r="T69" s="14" cm="1">
        <f t="array" ref="T69">INDEX(Benchmarks!R$6:R$244,MATCH(SolverWork!$B69,MutualFunds!$B$6:$B$244,0),0)</f>
        <v>3.8011091390801569E-2</v>
      </c>
    </row>
    <row r="70" spans="1:20" x14ac:dyDescent="0.2">
      <c r="A70">
        <v>60</v>
      </c>
      <c r="B70" s="28">
        <f>IF(B69="","",IF(EOMONTH(B69,1)&lt;=EOMONTH(Front!$C$4,0),EOMONTH(B69,1),""))</f>
        <v>36191</v>
      </c>
      <c r="C70" s="14">
        <f>IF(B70="","",INDEX(MutualFunds!$C$6:$O$244,MATCH(B70,MutualFunds!$B$6:$B$244,0),MATCH(Front!$C$2,MutualFunds!$C$4:$O$4,0)))</f>
        <v>-2.0754716981131967E-2</v>
      </c>
      <c r="D70" s="14">
        <f t="shared" si="0"/>
        <v>-3.9485094115159255E-2</v>
      </c>
      <c r="E70" s="14" cm="1">
        <f t="array" ref="E70">INDEX(Benchmarks!C$6:C$244,MATCH(SolverWork!$B70,MutualFunds!$B$6:$B$244,0),0)</f>
        <v>3.4999999999999996E-3</v>
      </c>
      <c r="F70" s="14" cm="1">
        <f t="array" ref="F70">INDEX(Benchmarks!D$6:D$244,MATCH(SolverWork!$B70,MutualFunds!$B$6:$B$244,0),0)</f>
        <v>-4.7714476572189289E-4</v>
      </c>
      <c r="G70" s="14" cm="1">
        <f t="array" ref="G70">INDEX(Benchmarks!E$6:E$244,MATCH(SolverWork!$B70,MutualFunds!$B$6:$B$244,0),0)</f>
        <v>3.4615687200062759E-3</v>
      </c>
      <c r="H70" s="14" cm="1">
        <f t="array" ref="H70">INDEX(Benchmarks!F$6:F$244,MATCH(SolverWork!$B70,MutualFunds!$B$6:$B$244,0),0)</f>
        <v>9.8578685492995959E-3</v>
      </c>
      <c r="I70" s="14" cm="1">
        <f t="array" ref="I70">INDEX(Benchmarks!G$6:G$244,MATCH(SolverWork!$B70,MutualFunds!$B$6:$B$244,0),0)</f>
        <v>7.4762640084394287E-3</v>
      </c>
      <c r="J70" s="14" cm="1">
        <f t="array" ref="J70">INDEX(Benchmarks!H$6:H$244,MATCH(SolverWork!$B70,MutualFunds!$B$6:$B$244,0),0)</f>
        <v>-6.0873535230559373E-3</v>
      </c>
      <c r="K70" s="14" cm="1">
        <f t="array" ref="K70">INDEX(Benchmarks!I$6:I$244,MATCH(SolverWork!$B70,MutualFunds!$B$6:$B$244,0),0)</f>
        <v>4.3649683310863722E-3</v>
      </c>
      <c r="L70" s="14" cm="1">
        <f t="array" ref="L70">INDEX(Benchmarks!J$6:J$244,MATCH(SolverWork!$B70,MutualFunds!$B$6:$B$244,0),0)</f>
        <v>6.0636482280895618E-2</v>
      </c>
      <c r="M70" s="14" cm="1">
        <f t="array" ref="M70">INDEX(Benchmarks!K$6:K$244,MATCH(SolverWork!$B70,MutualFunds!$B$6:$B$244,0),0)</f>
        <v>1.8982866467228559E-2</v>
      </c>
      <c r="N70" s="14" cm="1">
        <f t="array" ref="N70">INDEX(Benchmarks!L$6:L$244,MATCH(SolverWork!$B70,MutualFunds!$B$6:$B$244,0),0)</f>
        <v>-3.3725872761480126E-2</v>
      </c>
      <c r="O70" s="14" cm="1">
        <f t="array" ref="O70">INDEX(Benchmarks!M$6:M$244,MATCH(SolverWork!$B70,MutualFunds!$B$6:$B$244,0),0)</f>
        <v>0.11543023920668379</v>
      </c>
      <c r="P70" s="14" cm="1">
        <f t="array" ref="P70">INDEX(Benchmarks!N$6:N$244,MATCH(SolverWork!$B70,MutualFunds!$B$6:$B$244,0),0)</f>
        <v>-3.2426325204782815E-2</v>
      </c>
      <c r="Q70" s="14" cm="1">
        <f t="array" ref="Q70">INDEX(Benchmarks!O$6:O$244,MATCH(SolverWork!$B70,MutualFunds!$B$6:$B$244,0),0)</f>
        <v>-1.6921260448267989E-2</v>
      </c>
      <c r="R70" s="14" cm="1">
        <f t="array" ref="R70">INDEX(Benchmarks!P$6:P$244,MATCH(SolverWork!$B70,MutualFunds!$B$6:$B$244,0),0)</f>
        <v>-7.6815485762582415E-3</v>
      </c>
      <c r="S70" s="14" cm="1">
        <f t="array" ref="S70">INDEX(Benchmarks!Q$6:Q$244,MATCH(SolverWork!$B70,MutualFunds!$B$6:$B$244,0),0)</f>
        <v>-3.4119987253889046E-2</v>
      </c>
      <c r="T70" s="14" cm="1">
        <f t="array" ref="T70">INDEX(Benchmarks!R$6:R$244,MATCH(SolverWork!$B70,MutualFunds!$B$6:$B$244,0),0)</f>
        <v>6.6100438316672302E-3</v>
      </c>
    </row>
    <row r="71" spans="1:20" x14ac:dyDescent="0.2">
      <c r="A71">
        <v>61</v>
      </c>
      <c r="B71" s="28">
        <f>IF(B70="","",IF(EOMONTH(B70,1)&lt;=EOMONTH(Front!$C$4,0),EOMONTH(B70,1),""))</f>
        <v>36219</v>
      </c>
      <c r="C71" s="14">
        <f>IF(B71="","",INDEX(MutualFunds!$C$6:$O$244,MATCH(B71,MutualFunds!$B$6:$B$244,0),MATCH(Front!$C$2,MutualFunds!$C$4:$O$4,0)))</f>
        <v>1.3102119460500956E-2</v>
      </c>
      <c r="D71" s="14">
        <f t="shared" si="0"/>
        <v>3.7245837511898597E-2</v>
      </c>
      <c r="E71" s="14" cm="1">
        <f t="array" ref="E71">INDEX(Benchmarks!C$6:C$244,MATCH(SolverWork!$B71,MutualFunds!$B$6:$B$244,0),0)</f>
        <v>3.4999999999999996E-3</v>
      </c>
      <c r="F71" s="14" cm="1">
        <f t="array" ref="F71">INDEX(Benchmarks!D$6:D$244,MATCH(SolverWork!$B71,MutualFunds!$B$6:$B$244,0),0)</f>
        <v>-1.9763223219400487E-2</v>
      </c>
      <c r="G71" s="14" cm="1">
        <f t="array" ref="G71">INDEX(Benchmarks!E$6:E$244,MATCH(SolverWork!$B71,MutualFunds!$B$6:$B$244,0),0)</f>
        <v>-6.2798902391219061E-2</v>
      </c>
      <c r="H71" s="14" cm="1">
        <f t="array" ref="H71">INDEX(Benchmarks!F$6:F$244,MATCH(SolverWork!$B71,MutualFunds!$B$6:$B$244,0),0)</f>
        <v>-2.561274318914622E-2</v>
      </c>
      <c r="I71" s="14" cm="1">
        <f t="array" ref="I71">INDEX(Benchmarks!G$6:G$244,MATCH(SolverWork!$B71,MutualFunds!$B$6:$B$244,0),0)</f>
        <v>-5.1526414583352642E-3</v>
      </c>
      <c r="J71" s="14" cm="1">
        <f t="array" ref="J71">INDEX(Benchmarks!H$6:H$244,MATCH(SolverWork!$B71,MutualFunds!$B$6:$B$244,0),0)</f>
        <v>-5.4279589649364593E-2</v>
      </c>
      <c r="K71" s="14" cm="1">
        <f t="array" ref="K71">INDEX(Benchmarks!I$6:I$244,MATCH(SolverWork!$B71,MutualFunds!$B$6:$B$244,0),0)</f>
        <v>-4.5987549576290483E-2</v>
      </c>
      <c r="L71" s="14" cm="1">
        <f t="array" ref="L71">INDEX(Benchmarks!J$6:J$244,MATCH(SolverWork!$B71,MutualFunds!$B$6:$B$244,0),0)</f>
        <v>-3.9780947873707076E-2</v>
      </c>
      <c r="M71" s="14" cm="1">
        <f t="array" ref="M71">INDEX(Benchmarks!K$6:K$244,MATCH(SolverWork!$B71,MutualFunds!$B$6:$B$244,0),0)</f>
        <v>-2.3504501619159325E-2</v>
      </c>
      <c r="N71" s="14" cm="1">
        <f t="array" ref="N71">INDEX(Benchmarks!L$6:L$244,MATCH(SolverWork!$B71,MutualFunds!$B$6:$B$244,0),0)</f>
        <v>-6.5887839234633705E-2</v>
      </c>
      <c r="O71" s="14" cm="1">
        <f t="array" ref="O71">INDEX(Benchmarks!M$6:M$244,MATCH(SolverWork!$B71,MutualFunds!$B$6:$B$244,0),0)</f>
        <v>-0.11368348571209971</v>
      </c>
      <c r="P71" s="14" cm="1">
        <f t="array" ref="P71">INDEX(Benchmarks!N$6:N$244,MATCH(SolverWork!$B71,MutualFunds!$B$6:$B$244,0),0)</f>
        <v>-7.717533036218209E-2</v>
      </c>
      <c r="Q71" s="14" cm="1">
        <f t="array" ref="Q71">INDEX(Benchmarks!O$6:O$244,MATCH(SolverWork!$B71,MutualFunds!$B$6:$B$244,0),0)</f>
        <v>9.0196452023381356E-3</v>
      </c>
      <c r="R71" s="14" cm="1">
        <f t="array" ref="R71">INDEX(Benchmarks!P$6:P$244,MATCH(SolverWork!$B71,MutualFunds!$B$6:$B$244,0),0)</f>
        <v>-2.6645059169367536E-2</v>
      </c>
      <c r="S71" s="14" cm="1">
        <f t="array" ref="S71">INDEX(Benchmarks!Q$6:Q$244,MATCH(SolverWork!$B71,MutualFunds!$B$6:$B$244,0),0)</f>
        <v>-1.9429656844367801E-2</v>
      </c>
      <c r="T71" s="14" cm="1">
        <f t="array" ref="T71">INDEX(Benchmarks!R$6:R$244,MATCH(SolverWork!$B71,MutualFunds!$B$6:$B$244,0),0)</f>
        <v>-2.2567402729831144E-2</v>
      </c>
    </row>
    <row r="72" spans="1:20" x14ac:dyDescent="0.2">
      <c r="A72">
        <v>62</v>
      </c>
      <c r="B72" s="28">
        <f>IF(B71="","",IF(EOMONTH(B71,1)&lt;=EOMONTH(Front!$C$4,0),EOMONTH(B71,1),""))</f>
        <v>36250</v>
      </c>
      <c r="C72" s="14">
        <f>IF(B72="","",INDEX(MutualFunds!$C$6:$O$244,MATCH(B72,MutualFunds!$B$6:$B$244,0),MATCH(Front!$C$2,MutualFunds!$C$4:$O$4,0)))</f>
        <v>1.2932674020540123E-2</v>
      </c>
      <c r="D72" s="14">
        <f t="shared" si="0"/>
        <v>-1.5354349408671527E-2</v>
      </c>
      <c r="E72" s="14" cm="1">
        <f t="array" ref="E72">INDEX(Benchmarks!C$6:C$244,MATCH(SolverWork!$B72,MutualFunds!$B$6:$B$244,0),0)</f>
        <v>4.3E-3</v>
      </c>
      <c r="F72" s="14" cm="1">
        <f t="array" ref="F72">INDEX(Benchmarks!D$6:D$244,MATCH(SolverWork!$B72,MutualFunds!$B$6:$B$244,0),0)</f>
        <v>7.7919548066619554E-4</v>
      </c>
      <c r="G72" s="14" cm="1">
        <f t="array" ref="G72">INDEX(Benchmarks!E$6:E$244,MATCH(SolverWork!$B72,MutualFunds!$B$6:$B$244,0),0)</f>
        <v>-7.6125146394513199E-3</v>
      </c>
      <c r="H72" s="14" cm="1">
        <f t="array" ref="H72">INDEX(Benchmarks!F$6:F$244,MATCH(SolverWork!$B72,MutualFunds!$B$6:$B$244,0),0)</f>
        <v>9.4607218683652322E-3</v>
      </c>
      <c r="I72" s="14" cm="1">
        <f t="array" ref="I72">INDEX(Benchmarks!G$6:G$244,MATCH(SolverWork!$B72,MutualFunds!$B$6:$B$244,0),0)</f>
        <v>6.8666586876374039E-3</v>
      </c>
      <c r="J72" s="14" cm="1">
        <f t="array" ref="J72">INDEX(Benchmarks!H$6:H$244,MATCH(SolverWork!$B72,MutualFunds!$B$6:$B$244,0),0)</f>
        <v>-2.0237998866672064E-3</v>
      </c>
      <c r="K72" s="14" cm="1">
        <f t="array" ref="K72">INDEX(Benchmarks!I$6:I$244,MATCH(SolverWork!$B72,MutualFunds!$B$6:$B$244,0),0)</f>
        <v>0.1688293760353396</v>
      </c>
      <c r="L72" s="14" cm="1">
        <f t="array" ref="L72">INDEX(Benchmarks!J$6:J$244,MATCH(SolverWork!$B72,MutualFunds!$B$6:$B$244,0),0)</f>
        <v>4.7413853801416744E-2</v>
      </c>
      <c r="M72" s="14" cm="1">
        <f t="array" ref="M72">INDEX(Benchmarks!K$6:K$244,MATCH(SolverWork!$B72,MutualFunds!$B$6:$B$244,0),0)</f>
        <v>2.8880669084017981E-2</v>
      </c>
      <c r="N72" s="14" cm="1">
        <f t="array" ref="N72">INDEX(Benchmarks!L$6:L$244,MATCH(SolverWork!$B72,MutualFunds!$B$6:$B$244,0),0)</f>
        <v>3.7699433865156329E-3</v>
      </c>
      <c r="O72" s="14" cm="1">
        <f t="array" ref="O72">INDEX(Benchmarks!M$6:M$244,MATCH(SolverWork!$B72,MutualFunds!$B$6:$B$244,0),0)</f>
        <v>4.2427015175319036E-2</v>
      </c>
      <c r="P72" s="14" cm="1">
        <f t="array" ref="P72">INDEX(Benchmarks!N$6:N$244,MATCH(SolverWork!$B72,MutualFunds!$B$6:$B$244,0),0)</f>
        <v>-1.8147308483154993E-2</v>
      </c>
      <c r="Q72" s="14" cm="1">
        <f t="array" ref="Q72">INDEX(Benchmarks!O$6:O$244,MATCH(SolverWork!$B72,MutualFunds!$B$6:$B$244,0),0)</f>
        <v>0.12874074823394535</v>
      </c>
      <c r="R72" s="14" cm="1">
        <f t="array" ref="R72">INDEX(Benchmarks!P$6:P$244,MATCH(SolverWork!$B72,MutualFunds!$B$6:$B$244,0),0)</f>
        <v>9.5930615247608458E-3</v>
      </c>
      <c r="S72" s="14" cm="1">
        <f t="array" ref="S72">INDEX(Benchmarks!Q$6:Q$244,MATCH(SolverWork!$B72,MutualFunds!$B$6:$B$244,0),0)</f>
        <v>0.1088046980139472</v>
      </c>
      <c r="T72" s="14" cm="1">
        <f t="array" ref="T72">INDEX(Benchmarks!R$6:R$244,MATCH(SolverWork!$B72,MutualFunds!$B$6:$B$244,0),0)</f>
        <v>0.13806596425553833</v>
      </c>
    </row>
    <row r="73" spans="1:20" x14ac:dyDescent="0.2">
      <c r="A73">
        <v>63</v>
      </c>
      <c r="B73" s="28">
        <f>IF(B72="","",IF(EOMONTH(B72,1)&lt;=EOMONTH(Front!$C$4,0),EOMONTH(B72,1),""))</f>
        <v>36280</v>
      </c>
      <c r="C73" s="14">
        <f>IF(B73="","",INDEX(MutualFunds!$C$6:$O$244,MATCH(B73,MutualFunds!$B$6:$B$244,0),MATCH(Front!$C$2,MutualFunds!$C$4:$O$4,0)))</f>
        <v>9.0499436725497553E-2</v>
      </c>
      <c r="D73" s="14">
        <f t="shared" si="0"/>
        <v>7.0324051724909159E-3</v>
      </c>
      <c r="E73" s="14" cm="1">
        <f t="array" ref="E73">INDEX(Benchmarks!C$6:C$244,MATCH(SolverWork!$B73,MutualFunds!$B$6:$B$244,0),0)</f>
        <v>3.7000000000000002E-3</v>
      </c>
      <c r="F73" s="14" cm="1">
        <f t="array" ref="F73">INDEX(Benchmarks!D$6:D$244,MATCH(SolverWork!$B73,MutualFunds!$B$6:$B$244,0),0)</f>
        <v>-2.7250608272506192E-3</v>
      </c>
      <c r="G73" s="14" cm="1">
        <f t="array" ref="G73">INDEX(Benchmarks!E$6:E$244,MATCH(SolverWork!$B73,MutualFunds!$B$6:$B$244,0),0)</f>
        <v>-4.2990811767680262E-3</v>
      </c>
      <c r="H73" s="14" cm="1">
        <f t="array" ref="H73">INDEX(Benchmarks!F$6:F$244,MATCH(SolverWork!$B73,MutualFunds!$B$6:$B$244,0),0)</f>
        <v>3.4671359457768137E-3</v>
      </c>
      <c r="I73" s="14" cm="1">
        <f t="array" ref="I73">INDEX(Benchmarks!G$6:G$244,MATCH(SolverWork!$B73,MutualFunds!$B$6:$B$244,0),0)</f>
        <v>4.3690259484480852E-3</v>
      </c>
      <c r="J73" s="14" cm="1">
        <f t="array" ref="J73">INDEX(Benchmarks!H$6:H$244,MATCH(SolverWork!$B73,MutualFunds!$B$6:$B$244,0),0)</f>
        <v>1.3789746917586122E-3</v>
      </c>
      <c r="K73" s="14" cm="1">
        <f t="array" ref="K73">INDEX(Benchmarks!I$6:I$244,MATCH(SolverWork!$B73,MutualFunds!$B$6:$B$244,0),0)</f>
        <v>4.1327870192875517E-2</v>
      </c>
      <c r="L73" s="14" cm="1">
        <f t="array" ref="L73">INDEX(Benchmarks!J$6:J$244,MATCH(SolverWork!$B73,MutualFunds!$B$6:$B$244,0),0)</f>
        <v>-2.2990051089002905E-3</v>
      </c>
      <c r="M73" s="14" cm="1">
        <f t="array" ref="M73">INDEX(Benchmarks!K$6:K$244,MATCH(SolverWork!$B73,MutualFunds!$B$6:$B$244,0),0)</f>
        <v>8.4918357949916853E-2</v>
      </c>
      <c r="N73" s="14" cm="1">
        <f t="array" ref="N73">INDEX(Benchmarks!L$6:L$244,MATCH(SolverWork!$B73,MutualFunds!$B$6:$B$244,0),0)</f>
        <v>8.4524374142771141E-2</v>
      </c>
      <c r="O73" s="14" cm="1">
        <f t="array" ref="O73">INDEX(Benchmarks!M$6:M$244,MATCH(SolverWork!$B73,MutualFunds!$B$6:$B$244,0),0)</f>
        <v>0.10068647990659228</v>
      </c>
      <c r="P73" s="14" cm="1">
        <f t="array" ref="P73">INDEX(Benchmarks!N$6:N$244,MATCH(SolverWork!$B73,MutualFunds!$B$6:$B$244,0),0)</f>
        <v>8.8708464892497396E-2</v>
      </c>
      <c r="Q73" s="14" cm="1">
        <f t="array" ref="Q73">INDEX(Benchmarks!O$6:O$244,MATCH(SolverWork!$B73,MutualFunds!$B$6:$B$244,0),0)</f>
        <v>0.12224230384322399</v>
      </c>
      <c r="R73" s="14" cm="1">
        <f t="array" ref="R73">INDEX(Benchmarks!P$6:P$244,MATCH(SolverWork!$B73,MutualFunds!$B$6:$B$244,0),0)</f>
        <v>2.8491153897485522E-2</v>
      </c>
      <c r="S73" s="14" cm="1">
        <f t="array" ref="S73">INDEX(Benchmarks!Q$6:Q$244,MATCH(SolverWork!$B73,MutualFunds!$B$6:$B$244,0),0)</f>
        <v>0.22964709993011889</v>
      </c>
      <c r="T73" s="14" cm="1">
        <f t="array" ref="T73">INDEX(Benchmarks!R$6:R$244,MATCH(SolverWork!$B73,MutualFunds!$B$6:$B$244,0),0)</f>
        <v>4.1192432381210946E-2</v>
      </c>
    </row>
    <row r="74" spans="1:20" x14ac:dyDescent="0.2">
      <c r="A74">
        <v>64</v>
      </c>
      <c r="B74" s="28">
        <f>IF(B73="","",IF(EOMONTH(B73,1)&lt;=EOMONTH(Front!$C$4,0),EOMONTH(B73,1),""))</f>
        <v>36311</v>
      </c>
      <c r="C74" s="14">
        <f>IF(B74="","",INDEX(MutualFunds!$C$6:$O$244,MATCH(B74,MutualFunds!$B$6:$B$244,0),MATCH(Front!$C$2,MutualFunds!$C$4:$O$4,0)))</f>
        <v>6.8870523415977712E-3</v>
      </c>
      <c r="D74" s="14">
        <f t="shared" si="0"/>
        <v>2.6663417713783326E-2</v>
      </c>
      <c r="E74" s="14" cm="1">
        <f t="array" ref="E74">INDEX(Benchmarks!C$6:C$244,MATCH(SolverWork!$B74,MutualFunds!$B$6:$B$244,0),0)</f>
        <v>3.4000000000000002E-3</v>
      </c>
      <c r="F74" s="14" cm="1">
        <f t="array" ref="F74">INDEX(Benchmarks!D$6:D$244,MATCH(SolverWork!$B74,MutualFunds!$B$6:$B$244,0),0)</f>
        <v>-1.1710744608178031E-2</v>
      </c>
      <c r="G74" s="14" cm="1">
        <f t="array" ref="G74">INDEX(Benchmarks!E$6:E$244,MATCH(SolverWork!$B74,MutualFunds!$B$6:$B$244,0),0)</f>
        <v>-1.9302404334575016E-2</v>
      </c>
      <c r="H74" s="14" cm="1">
        <f t="array" ref="H74">INDEX(Benchmarks!F$6:F$244,MATCH(SolverWork!$B74,MutualFunds!$B$6:$B$244,0),0)</f>
        <v>-1.4468652567892377E-2</v>
      </c>
      <c r="I74" s="14" cm="1">
        <f t="array" ref="I74">INDEX(Benchmarks!G$6:G$244,MATCH(SolverWork!$B74,MutualFunds!$B$6:$B$244,0),0)</f>
        <v>-6.6253981330533524E-3</v>
      </c>
      <c r="J74" s="14" cm="1">
        <f t="array" ref="J74">INDEX(Benchmarks!H$6:H$244,MATCH(SolverWork!$B74,MutualFunds!$B$6:$B$244,0),0)</f>
        <v>-2.6245443499392423E-2</v>
      </c>
      <c r="K74" s="14" cm="1">
        <f t="array" ref="K74">INDEX(Benchmarks!I$6:I$244,MATCH(SolverWork!$B74,MutualFunds!$B$6:$B$244,0),0)</f>
        <v>-5.4567265747688075E-2</v>
      </c>
      <c r="L74" s="14" cm="1">
        <f t="array" ref="L74">INDEX(Benchmarks!J$6:J$244,MATCH(SolverWork!$B74,MutualFunds!$B$6:$B$244,0),0)</f>
        <v>-2.9794229810400374E-2</v>
      </c>
      <c r="M74" s="14" cm="1">
        <f t="array" ref="M74">INDEX(Benchmarks!K$6:K$244,MATCH(SolverWork!$B74,MutualFunds!$B$6:$B$244,0),0)</f>
        <v>-1.9784202020861567E-2</v>
      </c>
      <c r="N74" s="14" cm="1">
        <f t="array" ref="N74">INDEX(Benchmarks!L$6:L$244,MATCH(SolverWork!$B74,MutualFunds!$B$6:$B$244,0),0)</f>
        <v>4.2667864361105035E-3</v>
      </c>
      <c r="O74" s="14" cm="1">
        <f t="array" ref="O74">INDEX(Benchmarks!M$6:M$244,MATCH(SolverWork!$B74,MutualFunds!$B$6:$B$244,0),0)</f>
        <v>-2.099006921456522E-2</v>
      </c>
      <c r="P74" s="14" cm="1">
        <f t="array" ref="P74">INDEX(Benchmarks!N$6:N$244,MATCH(SolverWork!$B74,MutualFunds!$B$6:$B$244,0),0)</f>
        <v>2.1978021978021952E-2</v>
      </c>
      <c r="Q74" s="14" cm="1">
        <f t="array" ref="Q74">INDEX(Benchmarks!O$6:O$244,MATCH(SolverWork!$B74,MutualFunds!$B$6:$B$244,0),0)</f>
        <v>-8.8775904063461766E-3</v>
      </c>
      <c r="R74" s="14" cm="1">
        <f t="array" ref="R74">INDEX(Benchmarks!P$6:P$244,MATCH(SolverWork!$B74,MutualFunds!$B$6:$B$244,0),0)</f>
        <v>-4.9295874434980465E-2</v>
      </c>
      <c r="S74" s="14" cm="1">
        <f t="array" ref="S74">INDEX(Benchmarks!Q$6:Q$244,MATCH(SolverWork!$B74,MutualFunds!$B$6:$B$244,0),0)</f>
        <v>-4.6297992619539929E-2</v>
      </c>
      <c r="T74" s="14" cm="1">
        <f t="array" ref="T74">INDEX(Benchmarks!R$6:R$244,MATCH(SolverWork!$B74,MutualFunds!$B$6:$B$244,0),0)</f>
        <v>-5.6852118085871012E-2</v>
      </c>
    </row>
    <row r="75" spans="1:20" x14ac:dyDescent="0.2">
      <c r="A75">
        <v>65</v>
      </c>
      <c r="B75" s="28">
        <f>IF(B74="","",IF(EOMONTH(B74,1)&lt;=EOMONTH(Front!$C$4,0),EOMONTH(B74,1),""))</f>
        <v>36341</v>
      </c>
      <c r="C75" s="14">
        <f>IF(B75="","",INDEX(MutualFunds!$C$6:$O$244,MATCH(B75,MutualFunds!$B$6:$B$244,0),MATCH(Front!$C$2,MutualFunds!$C$4:$O$4,0)))</f>
        <v>3.7961696306429524E-2</v>
      </c>
      <c r="D75" s="14">
        <f t="shared" ref="D75:D138" si="1">IF(B75="","",C75-SUMPRODUCT($E$7:$T$7,E75:T75))</f>
        <v>1.6710038703621685E-3</v>
      </c>
      <c r="E75" s="14" cm="1">
        <f t="array" ref="E75">INDEX(Benchmarks!C$6:C$244,MATCH(SolverWork!$B75,MutualFunds!$B$6:$B$244,0),0)</f>
        <v>4.0000000000000001E-3</v>
      </c>
      <c r="F75" s="14" cm="1">
        <f t="array" ref="F75">INDEX(Benchmarks!D$6:D$244,MATCH(SolverWork!$B75,MutualFunds!$B$6:$B$244,0),0)</f>
        <v>-2.6661400217240648E-3</v>
      </c>
      <c r="G75" s="14" cm="1">
        <f t="array" ref="G75">INDEX(Benchmarks!E$6:E$244,MATCH(SolverWork!$B75,MutualFunds!$B$6:$B$244,0),0)</f>
        <v>-1.4848066298342531E-2</v>
      </c>
      <c r="H75" s="14" cm="1">
        <f t="array" ref="H75">INDEX(Benchmarks!F$6:F$244,MATCH(SolverWork!$B75,MutualFunds!$B$6:$B$244,0),0)</f>
        <v>-4.9320541485100722E-3</v>
      </c>
      <c r="I75" s="14" cm="1">
        <f t="array" ref="I75">INDEX(Benchmarks!G$6:G$244,MATCH(SolverWork!$B75,MutualFunds!$B$6:$B$244,0),0)</f>
        <v>-3.6817053584464066E-3</v>
      </c>
      <c r="J75" s="14" cm="1">
        <f t="array" ref="J75">INDEX(Benchmarks!H$6:H$244,MATCH(SolverWork!$B75,MutualFunds!$B$6:$B$244,0),0)</f>
        <v>-2.3958073371599779E-2</v>
      </c>
      <c r="K75" s="14" cm="1">
        <f t="array" ref="K75">INDEX(Benchmarks!I$6:I$244,MATCH(SolverWork!$B75,MutualFunds!$B$6:$B$244,0),0)</f>
        <v>6.4314749620497449E-2</v>
      </c>
      <c r="L75" s="14" cm="1">
        <f t="array" ref="L75">INDEX(Benchmarks!J$6:J$244,MATCH(SolverWork!$B75,MutualFunds!$B$6:$B$244,0),0)</f>
        <v>7.0724186782966131E-2</v>
      </c>
      <c r="M75" s="14" cm="1">
        <f t="array" ref="M75">INDEX(Benchmarks!K$6:K$244,MATCH(SolverWork!$B75,MutualFunds!$B$6:$B$244,0),0)</f>
        <v>3.7136338656763565E-2</v>
      </c>
      <c r="N75" s="14" cm="1">
        <f t="array" ref="N75">INDEX(Benchmarks!L$6:L$244,MATCH(SolverWork!$B75,MutualFunds!$B$6:$B$244,0),0)</f>
        <v>4.1074286790321032E-2</v>
      </c>
      <c r="O75" s="14" cm="1">
        <f t="array" ref="O75">INDEX(Benchmarks!M$6:M$244,MATCH(SolverWork!$B75,MutualFunds!$B$6:$B$244,0),0)</f>
        <v>4.3056943056943041E-2</v>
      </c>
      <c r="P75" s="14" cm="1">
        <f t="array" ref="P75">INDEX(Benchmarks!N$6:N$244,MATCH(SolverWork!$B75,MutualFunds!$B$6:$B$244,0),0)</f>
        <v>4.7730738788826513E-2</v>
      </c>
      <c r="Q75" s="14" cm="1">
        <f t="array" ref="Q75">INDEX(Benchmarks!O$6:O$244,MATCH(SolverWork!$B75,MutualFunds!$B$6:$B$244,0),0)</f>
        <v>0.11140117637579569</v>
      </c>
      <c r="R75" s="14" cm="1">
        <f t="array" ref="R75">INDEX(Benchmarks!P$6:P$244,MATCH(SolverWork!$B75,MutualFunds!$B$6:$B$244,0),0)</f>
        <v>1.5541468626424965E-2</v>
      </c>
      <c r="S75" s="14" cm="1">
        <f t="array" ref="S75">INDEX(Benchmarks!Q$6:Q$244,MATCH(SolverWork!$B75,MutualFunds!$B$6:$B$244,0),0)</f>
        <v>0.17173827818723533</v>
      </c>
      <c r="T75" s="14" cm="1">
        <f t="array" ref="T75">INDEX(Benchmarks!R$6:R$244,MATCH(SolverWork!$B75,MutualFunds!$B$6:$B$244,0),0)</f>
        <v>9.4130327316857151E-2</v>
      </c>
    </row>
    <row r="76" spans="1:20" x14ac:dyDescent="0.2">
      <c r="A76">
        <v>66</v>
      </c>
      <c r="B76" s="28">
        <f>IF(B75="","",IF(EOMONTH(B75,1)&lt;=EOMONTH(Front!$C$4,0),EOMONTH(B75,1),""))</f>
        <v>36372</v>
      </c>
      <c r="C76" s="14">
        <f>IF(B76="","",INDEX(MutualFunds!$C$6:$O$244,MATCH(B76,MutualFunds!$B$6:$B$244,0),MATCH(Front!$C$2,MutualFunds!$C$4:$O$4,0)))</f>
        <v>-3.657331136738054E-2</v>
      </c>
      <c r="D76" s="14">
        <f t="shared" si="1"/>
        <v>-5.2735669485553111E-3</v>
      </c>
      <c r="E76" s="14" cm="1">
        <f t="array" ref="E76">INDEX(Benchmarks!C$6:C$244,MATCH(SolverWork!$B76,MutualFunds!$B$6:$B$244,0),0)</f>
        <v>3.8E-3</v>
      </c>
      <c r="F76" s="14" cm="1">
        <f t="array" ref="F76">INDEX(Benchmarks!D$6:D$244,MATCH(SolverWork!$B76,MutualFunds!$B$6:$B$244,0),0)</f>
        <v>-5.1485148514851089E-3</v>
      </c>
      <c r="G76" s="14" cm="1">
        <f t="array" ref="G76">INDEX(Benchmarks!E$6:E$244,MATCH(SolverWork!$B76,MutualFunds!$B$6:$B$244,0),0)</f>
        <v>-1.1216263582194191E-2</v>
      </c>
      <c r="H76" s="14" cm="1">
        <f t="array" ref="H76">INDEX(Benchmarks!F$6:F$244,MATCH(SolverWork!$B76,MutualFunds!$B$6:$B$244,0),0)</f>
        <v>-6.0326879557454699E-3</v>
      </c>
      <c r="I76" s="14" cm="1">
        <f t="array" ref="I76">INDEX(Benchmarks!G$6:G$244,MATCH(SolverWork!$B76,MutualFunds!$B$6:$B$244,0),0)</f>
        <v>-6.521894596898262E-3</v>
      </c>
      <c r="J76" s="14" cm="1">
        <f t="array" ref="J76">INDEX(Benchmarks!H$6:H$244,MATCH(SolverWork!$B76,MutualFunds!$B$6:$B$244,0),0)</f>
        <v>-1.9602829625840769E-3</v>
      </c>
      <c r="K76" s="14" cm="1">
        <f t="array" ref="K76">INDEX(Benchmarks!I$6:I$244,MATCH(SolverWork!$B76,MutualFunds!$B$6:$B$244,0),0)</f>
        <v>3.5873759049724709E-2</v>
      </c>
      <c r="L76" s="14" cm="1">
        <f t="array" ref="L76">INDEX(Benchmarks!J$6:J$244,MATCH(SolverWork!$B76,MutualFunds!$B$6:$B$244,0),0)</f>
        <v>-3.2403684005707638E-2</v>
      </c>
      <c r="M76" s="14" cm="1">
        <f t="array" ref="M76">INDEX(Benchmarks!K$6:K$244,MATCH(SolverWork!$B76,MutualFunds!$B$6:$B$244,0),0)</f>
        <v>-3.1631850222386251E-2</v>
      </c>
      <c r="N76" s="14" cm="1">
        <f t="array" ref="N76">INDEX(Benchmarks!L$6:L$244,MATCH(SolverWork!$B76,MutualFunds!$B$6:$B$244,0),0)</f>
        <v>-1.7816364828506171E-2</v>
      </c>
      <c r="O76" s="14" cm="1">
        <f t="array" ref="O76">INDEX(Benchmarks!M$6:M$244,MATCH(SolverWork!$B76,MutualFunds!$B$6:$B$244,0),0)</f>
        <v>-2.7863526187441475E-2</v>
      </c>
      <c r="P76" s="14" cm="1">
        <f t="array" ref="P76">INDEX(Benchmarks!N$6:N$244,MATCH(SolverWork!$B76,MutualFunds!$B$6:$B$244,0),0)</f>
        <v>-1.4436142868987693E-2</v>
      </c>
      <c r="Q76" s="14" cm="1">
        <f t="array" ref="Q76">INDEX(Benchmarks!O$6:O$244,MATCH(SolverWork!$B76,MutualFunds!$B$6:$B$244,0),0)</f>
        <v>-2.8679967521169226E-2</v>
      </c>
      <c r="R76" s="14" cm="1">
        <f t="array" ref="R76">INDEX(Benchmarks!P$6:P$244,MATCH(SolverWork!$B76,MutualFunds!$B$6:$B$244,0),0)</f>
        <v>7.9268033632139343E-3</v>
      </c>
      <c r="S76" s="14" cm="1">
        <f t="array" ref="S76">INDEX(Benchmarks!Q$6:Q$244,MATCH(SolverWork!$B76,MutualFunds!$B$6:$B$244,0),0)</f>
        <v>-4.0048580232663084E-2</v>
      </c>
      <c r="T76" s="14" cm="1">
        <f t="array" ref="T76">INDEX(Benchmarks!R$6:R$244,MATCH(SolverWork!$B76,MutualFunds!$B$6:$B$244,0),0)</f>
        <v>9.933498636899557E-2</v>
      </c>
    </row>
    <row r="77" spans="1:20" x14ac:dyDescent="0.2">
      <c r="A77">
        <v>67</v>
      </c>
      <c r="B77" s="28">
        <f>IF(B76="","",IF(EOMONTH(B76,1)&lt;=EOMONTH(Front!$C$4,0),EOMONTH(B76,1),""))</f>
        <v>36403</v>
      </c>
      <c r="C77" s="14">
        <f>IF(B77="","",INDEX(MutualFunds!$C$6:$O$244,MATCH(B77,MutualFunds!$B$6:$B$244,0),MATCH(Front!$C$2,MutualFunds!$C$4:$O$4,0)))</f>
        <v>-5.5745554035567677E-2</v>
      </c>
      <c r="D77" s="14">
        <f t="shared" si="1"/>
        <v>-2.8645541790214713E-2</v>
      </c>
      <c r="E77" s="14" cm="1">
        <f t="array" ref="E77">INDEX(Benchmarks!C$6:C$244,MATCH(SolverWork!$B77,MutualFunds!$B$6:$B$244,0),0)</f>
        <v>3.9000000000000003E-3</v>
      </c>
      <c r="F77" s="14" cm="1">
        <f t="array" ref="F77">INDEX(Benchmarks!D$6:D$244,MATCH(SolverWork!$B77,MutualFunds!$B$6:$B$244,0),0)</f>
        <v>-4.0804140127388196E-3</v>
      </c>
      <c r="G77" s="14" cm="1">
        <f t="array" ref="G77">INDEX(Benchmarks!E$6:E$244,MATCH(SolverWork!$B77,MutualFunds!$B$6:$B$244,0),0)</f>
        <v>-1.1432116270826003E-2</v>
      </c>
      <c r="H77" s="14" cm="1">
        <f t="array" ref="H77">INDEX(Benchmarks!F$6:F$244,MATCH(SolverWork!$B77,MutualFunds!$B$6:$B$244,0),0)</f>
        <v>-2.3829954303153629E-3</v>
      </c>
      <c r="I77" s="14" cm="1">
        <f t="array" ref="I77">INDEX(Benchmarks!G$6:G$244,MATCH(SolverWork!$B77,MutualFunds!$B$6:$B$244,0),0)</f>
        <v>-2.9501657993152387E-5</v>
      </c>
      <c r="J77" s="14" cm="1">
        <f t="array" ref="J77">INDEX(Benchmarks!H$6:H$244,MATCH(SolverWork!$B77,MutualFunds!$B$6:$B$244,0),0)</f>
        <v>-1.1101622544833573E-2</v>
      </c>
      <c r="K77" s="14" cm="1">
        <f t="array" ref="K77">INDEX(Benchmarks!I$6:I$244,MATCH(SolverWork!$B77,MutualFunds!$B$6:$B$244,0),0)</f>
        <v>7.0384398083240832E-2</v>
      </c>
      <c r="L77" s="14" cm="1">
        <f t="array" ref="L77">INDEX(Benchmarks!J$6:J$244,MATCH(SolverWork!$B77,MutualFunds!$B$6:$B$244,0),0)</f>
        <v>1.3245388245388392E-2</v>
      </c>
      <c r="M77" s="14" cm="1">
        <f t="array" ref="M77">INDEX(Benchmarks!K$6:K$244,MATCH(SolverWork!$B77,MutualFunds!$B$6:$B$244,0),0)</f>
        <v>-2.7359100631746503E-2</v>
      </c>
      <c r="N77" s="14" cm="1">
        <f t="array" ref="N77">INDEX(Benchmarks!L$6:L$244,MATCH(SolverWork!$B77,MutualFunds!$B$6:$B$244,0),0)</f>
        <v>-5.1805897654289716E-2</v>
      </c>
      <c r="O77" s="14" cm="1">
        <f t="array" ref="O77">INDEX(Benchmarks!M$6:M$244,MATCH(SolverWork!$B77,MutualFunds!$B$6:$B$244,0),0)</f>
        <v>-2.2493198232677331E-2</v>
      </c>
      <c r="P77" s="14" cm="1">
        <f t="array" ref="P77">INDEX(Benchmarks!N$6:N$244,MATCH(SolverWork!$B77,MutualFunds!$B$6:$B$244,0),0)</f>
        <v>-3.3763320246774996E-2</v>
      </c>
      <c r="Q77" s="14" cm="1">
        <f t="array" ref="Q77">INDEX(Benchmarks!O$6:O$244,MATCH(SolverWork!$B77,MutualFunds!$B$6:$B$244,0),0)</f>
        <v>8.3495049012290261E-3</v>
      </c>
      <c r="R77" s="14" cm="1">
        <f t="array" ref="R77">INDEX(Benchmarks!P$6:P$244,MATCH(SolverWork!$B77,MutualFunds!$B$6:$B$244,0),0)</f>
        <v>8.8216563194280818E-3</v>
      </c>
      <c r="S77" s="14" cm="1">
        <f t="array" ref="S77">INDEX(Benchmarks!Q$6:Q$244,MATCH(SolverWork!$B77,MutualFunds!$B$6:$B$244,0),0)</f>
        <v>1.5321504128371473E-2</v>
      </c>
      <c r="T77" s="14" cm="1">
        <f t="array" ref="T77">INDEX(Benchmarks!R$6:R$244,MATCH(SolverWork!$B77,MutualFunds!$B$6:$B$244,0),0)</f>
        <v>-7.466786144309942E-3</v>
      </c>
    </row>
    <row r="78" spans="1:20" x14ac:dyDescent="0.2">
      <c r="A78">
        <v>68</v>
      </c>
      <c r="B78" s="28">
        <f>IF(B77="","",IF(EOMONTH(B77,1)&lt;=EOMONTH(Front!$C$4,0),EOMONTH(B77,1),""))</f>
        <v>36433</v>
      </c>
      <c r="C78" s="14">
        <f>IF(B78="","",INDEX(MutualFunds!$C$6:$O$244,MATCH(B78,MutualFunds!$B$6:$B$244,0),MATCH(Front!$C$2,MutualFunds!$C$4:$O$4,0)))</f>
        <v>-6.1934081854400601E-2</v>
      </c>
      <c r="D78" s="14">
        <f t="shared" si="1"/>
        <v>-2.2149677501755144E-2</v>
      </c>
      <c r="E78" s="14" cm="1">
        <f t="array" ref="E78">INDEX(Benchmarks!C$6:C$244,MATCH(SolverWork!$B78,MutualFunds!$B$6:$B$244,0),0)</f>
        <v>3.9000000000000003E-3</v>
      </c>
      <c r="F78" s="14" cm="1">
        <f t="array" ref="F78">INDEX(Benchmarks!D$6:D$244,MATCH(SolverWork!$B78,MutualFunds!$B$6:$B$244,0),0)</f>
        <v>3.4975517138002826E-3</v>
      </c>
      <c r="G78" s="14" cm="1">
        <f t="array" ref="G78">INDEX(Benchmarks!E$6:E$244,MATCH(SolverWork!$B78,MutualFunds!$B$6:$B$244,0),0)</f>
        <v>7.1716718960106044E-4</v>
      </c>
      <c r="H78" s="14" cm="1">
        <f t="array" ref="H78">INDEX(Benchmarks!F$6:F$244,MATCH(SolverWork!$B78,MutualFunds!$B$6:$B$244,0),0)</f>
        <v>1.1340941295084502E-2</v>
      </c>
      <c r="I78" s="14" cm="1">
        <f t="array" ref="I78">INDEX(Benchmarks!G$6:G$244,MATCH(SolverWork!$B78,MutualFunds!$B$6:$B$244,0),0)</f>
        <v>1.6801099854257606E-2</v>
      </c>
      <c r="J78" s="14" cm="1">
        <f t="array" ref="J78">INDEX(Benchmarks!H$6:H$244,MATCH(SolverWork!$B78,MutualFunds!$B$6:$B$244,0),0)</f>
        <v>-1.1226252158894622E-2</v>
      </c>
      <c r="K78" s="14" cm="1">
        <f t="array" ref="K78">INDEX(Benchmarks!I$6:I$244,MATCH(SolverWork!$B78,MutualFunds!$B$6:$B$244,0),0)</f>
        <v>5.3037382264049172E-2</v>
      </c>
      <c r="L78" s="14" cm="1">
        <f t="array" ref="L78">INDEX(Benchmarks!J$6:J$244,MATCH(SolverWork!$B78,MutualFunds!$B$6:$B$244,0),0)</f>
        <v>-1.7980947340566329E-2</v>
      </c>
      <c r="M78" s="14" cm="1">
        <f t="array" ref="M78">INDEX(Benchmarks!K$6:K$244,MATCH(SolverWork!$B78,MutualFunds!$B$6:$B$244,0),0)</f>
        <v>-4.0454150258272419E-2</v>
      </c>
      <c r="N78" s="14" cm="1">
        <f t="array" ref="N78">INDEX(Benchmarks!L$6:L$244,MATCH(SolverWork!$B78,MutualFunds!$B$6:$B$244,0),0)</f>
        <v>-2.0259525861545811E-2</v>
      </c>
      <c r="O78" s="14" cm="1">
        <f t="array" ref="O78">INDEX(Benchmarks!M$6:M$244,MATCH(SolverWork!$B78,MutualFunds!$B$6:$B$244,0),0)</f>
        <v>1.0513013342843765E-2</v>
      </c>
      <c r="P78" s="14" cm="1">
        <f t="array" ref="P78">INDEX(Benchmarks!N$6:N$244,MATCH(SolverWork!$B78,MutualFunds!$B$6:$B$244,0),0)</f>
        <v>-3.1025075458555887E-2</v>
      </c>
      <c r="Q78" s="14" cm="1">
        <f t="array" ref="Q78">INDEX(Benchmarks!O$6:O$244,MATCH(SolverWork!$B78,MutualFunds!$B$6:$B$244,0),0)</f>
        <v>-3.5102739726027336E-2</v>
      </c>
      <c r="R78" s="14" cm="1">
        <f t="array" ref="R78">INDEX(Benchmarks!P$6:P$244,MATCH(SolverWork!$B78,MutualFunds!$B$6:$B$244,0),0)</f>
        <v>-9.0567379334652604E-3</v>
      </c>
      <c r="S78" s="14" cm="1">
        <f t="array" ref="S78">INDEX(Benchmarks!Q$6:Q$244,MATCH(SolverWork!$B78,MutualFunds!$B$6:$B$244,0),0)</f>
        <v>-8.093356630153821E-2</v>
      </c>
      <c r="T78" s="14" cm="1">
        <f t="array" ref="T78">INDEX(Benchmarks!R$6:R$244,MATCH(SolverWork!$B78,MutualFunds!$B$6:$B$244,0),0)</f>
        <v>6.0201820100427017E-2</v>
      </c>
    </row>
    <row r="79" spans="1:20" x14ac:dyDescent="0.2">
      <c r="A79">
        <v>69</v>
      </c>
      <c r="B79" s="28">
        <f>IF(B78="","",IF(EOMONTH(B78,1)&lt;=EOMONTH(Front!$C$4,0),EOMONTH(B78,1),""))</f>
        <v>36464</v>
      </c>
      <c r="C79" s="14">
        <f>IF(B79="","",INDEX(MutualFunds!$C$6:$O$244,MATCH(B79,MutualFunds!$B$6:$B$244,0),MATCH(Front!$C$2,MutualFunds!$C$4:$O$4,0)))</f>
        <v>1.5830115830115836E-2</v>
      </c>
      <c r="D79" s="14">
        <f t="shared" si="1"/>
        <v>-3.8556567797778378E-2</v>
      </c>
      <c r="E79" s="14" cm="1">
        <f t="array" ref="E79">INDEX(Benchmarks!C$6:C$244,MATCH(SolverWork!$B79,MutualFunds!$B$6:$B$244,0),0)</f>
        <v>3.9000000000000003E-3</v>
      </c>
      <c r="F79" s="14" cm="1">
        <f t="array" ref="F79">INDEX(Benchmarks!D$6:D$244,MATCH(SolverWork!$B79,MutualFunds!$B$6:$B$244,0),0)</f>
        <v>-3.1866162119099099E-3</v>
      </c>
      <c r="G79" s="14" cm="1">
        <f t="array" ref="G79">INDEX(Benchmarks!E$6:E$244,MATCH(SolverWork!$B79,MutualFunds!$B$6:$B$244,0),0)</f>
        <v>-6.6290423721221438E-3</v>
      </c>
      <c r="H79" s="14" cm="1">
        <f t="array" ref="H79">INDEX(Benchmarks!F$6:F$244,MATCH(SolverWork!$B79,MutualFunds!$B$6:$B$244,0),0)</f>
        <v>2.690862700811765E-3</v>
      </c>
      <c r="I79" s="14" cm="1">
        <f t="array" ref="I79">INDEX(Benchmarks!G$6:G$244,MATCH(SolverWork!$B79,MutualFunds!$B$6:$B$244,0),0)</f>
        <v>5.1693201891316034E-3</v>
      </c>
      <c r="J79" s="14" cm="1">
        <f t="array" ref="J79">INDEX(Benchmarks!H$6:H$244,MATCH(SolverWork!$B79,MutualFunds!$B$6:$B$244,0),0)</f>
        <v>-4.3668122270742356E-3</v>
      </c>
      <c r="K79" s="14" cm="1">
        <f t="array" ref="K79">INDEX(Benchmarks!I$6:I$244,MATCH(SolverWork!$B79,MutualFunds!$B$6:$B$244,0),0)</f>
        <v>-5.1569090477039267E-2</v>
      </c>
      <c r="L79" s="14" cm="1">
        <f t="array" ref="L79">INDEX(Benchmarks!J$6:J$244,MATCH(SolverWork!$B79,MutualFunds!$B$6:$B$244,0),0)</f>
        <v>6.8686759811913092E-2</v>
      </c>
      <c r="M79" s="14" cm="1">
        <f t="array" ref="M79">INDEX(Benchmarks!K$6:K$244,MATCH(SolverWork!$B79,MutualFunds!$B$6:$B$244,0),0)</f>
        <v>5.539565789006138E-2</v>
      </c>
      <c r="N79" s="14" cm="1">
        <f t="array" ref="N79">INDEX(Benchmarks!L$6:L$244,MATCH(SolverWork!$B79,MutualFunds!$B$6:$B$244,0),0)</f>
        <v>2.2177619189215951E-2</v>
      </c>
      <c r="O79" s="14" cm="1">
        <f t="array" ref="O79">INDEX(Benchmarks!M$6:M$244,MATCH(SolverWork!$B79,MutualFunds!$B$6:$B$244,0),0)</f>
        <v>5.8877235516614369E-2</v>
      </c>
      <c r="P79" s="14" cm="1">
        <f t="array" ref="P79">INDEX(Benchmarks!N$6:N$244,MATCH(SolverWork!$B79,MutualFunds!$B$6:$B$244,0),0)</f>
        <v>-1.8789748504907149E-2</v>
      </c>
      <c r="Q79" s="14" cm="1">
        <f t="array" ref="Q79">INDEX(Benchmarks!O$6:O$244,MATCH(SolverWork!$B79,MutualFunds!$B$6:$B$244,0),0)</f>
        <v>2.0415834545821788E-2</v>
      </c>
      <c r="R79" s="14" cm="1">
        <f t="array" ref="R79">INDEX(Benchmarks!P$6:P$244,MATCH(SolverWork!$B79,MutualFunds!$B$6:$B$244,0),0)</f>
        <v>3.544799861397082E-2</v>
      </c>
      <c r="S79" s="14" cm="1">
        <f t="array" ref="S79">INDEX(Benchmarks!Q$6:Q$244,MATCH(SolverWork!$B79,MutualFunds!$B$6:$B$244,0),0)</f>
        <v>4.7072489317835517E-2</v>
      </c>
      <c r="T79" s="14" cm="1">
        <f t="array" ref="T79">INDEX(Benchmarks!R$6:R$244,MATCH(SolverWork!$B79,MutualFunds!$B$6:$B$244,0),0)</f>
        <v>4.2415414365747472E-2</v>
      </c>
    </row>
    <row r="80" spans="1:20" x14ac:dyDescent="0.2">
      <c r="A80">
        <v>70</v>
      </c>
      <c r="B80" s="28">
        <f>IF(B79="","",IF(EOMONTH(B79,1)&lt;=EOMONTH(Front!$C$4,0),EOMONTH(B79,1),""))</f>
        <v>36494</v>
      </c>
      <c r="C80" s="14">
        <f>IF(B80="","",INDEX(MutualFunds!$C$6:$O$244,MATCH(B80,MutualFunds!$B$6:$B$244,0),MATCH(Front!$C$2,MutualFunds!$C$4:$O$4,0)))</f>
        <v>-2.4705435195743142E-2</v>
      </c>
      <c r="D80" s="14">
        <f t="shared" si="1"/>
        <v>-1.6855610016699753E-2</v>
      </c>
      <c r="E80" s="14" cm="1">
        <f t="array" ref="E80">INDEX(Benchmarks!C$6:C$244,MATCH(SolverWork!$B80,MutualFunds!$B$6:$B$244,0),0)</f>
        <v>3.5999999999999999E-3</v>
      </c>
      <c r="F80" s="14" cm="1">
        <f t="array" ref="F80">INDEX(Benchmarks!D$6:D$244,MATCH(SolverWork!$B80,MutualFunds!$B$6:$B$244,0),0)</f>
        <v>-4.2957042957043638E-3</v>
      </c>
      <c r="G80" s="14" cm="1">
        <f t="array" ref="G80">INDEX(Benchmarks!E$6:E$244,MATCH(SolverWork!$B80,MutualFunds!$B$6:$B$244,0),0)</f>
        <v>-1.3256380196591207E-2</v>
      </c>
      <c r="H80" s="14" cm="1">
        <f t="array" ref="H80">INDEX(Benchmarks!F$6:F$244,MATCH(SolverWork!$B80,MutualFunds!$B$6:$B$244,0),0)</f>
        <v>1.8004303028424475E-3</v>
      </c>
      <c r="I80" s="14" cm="1">
        <f t="array" ref="I80">INDEX(Benchmarks!G$6:G$244,MATCH(SolverWork!$B80,MutualFunds!$B$6:$B$244,0),0)</f>
        <v>1.0876643620190459E-3</v>
      </c>
      <c r="J80" s="14" cm="1">
        <f t="array" ref="J80">INDEX(Benchmarks!H$6:H$244,MATCH(SolverWork!$B80,MutualFunds!$B$6:$B$244,0),0)</f>
        <v>-6.403508771929859E-3</v>
      </c>
      <c r="K80" s="14" cm="1">
        <f t="array" ref="K80">INDEX(Benchmarks!I$6:I$244,MATCH(SolverWork!$B80,MutualFunds!$B$6:$B$244,0),0)</f>
        <v>4.0463672344473685E-2</v>
      </c>
      <c r="L80" s="14" cm="1">
        <f t="array" ref="L80">INDEX(Benchmarks!J$6:J$244,MATCH(SolverWork!$B80,MutualFunds!$B$6:$B$244,0),0)</f>
        <v>4.207062620557496E-2</v>
      </c>
      <c r="M80" s="14" cm="1">
        <f t="array" ref="M80">INDEX(Benchmarks!K$6:K$244,MATCH(SolverWork!$B80,MutualFunds!$B$6:$B$244,0),0)</f>
        <v>-7.7604201737255067E-3</v>
      </c>
      <c r="N80" s="14" cm="1">
        <f t="array" ref="N80">INDEX(Benchmarks!L$6:L$244,MATCH(SolverWork!$B80,MutualFunds!$B$6:$B$244,0),0)</f>
        <v>5.5319871033429474E-2</v>
      </c>
      <c r="O80" s="14" cm="1">
        <f t="array" ref="O80">INDEX(Benchmarks!M$6:M$244,MATCH(SolverWork!$B80,MutualFunds!$B$6:$B$244,0),0)</f>
        <v>0.13148036779143996</v>
      </c>
      <c r="P80" s="14" cm="1">
        <f t="array" ref="P80">INDEX(Benchmarks!N$6:N$244,MATCH(SolverWork!$B80,MutualFunds!$B$6:$B$244,0),0)</f>
        <v>-2.2792254703445248E-3</v>
      </c>
      <c r="Q80" s="14" cm="1">
        <f t="array" ref="Q80">INDEX(Benchmarks!O$6:O$244,MATCH(SolverWork!$B80,MutualFunds!$B$6:$B$244,0),0)</f>
        <v>8.9323974509651696E-2</v>
      </c>
      <c r="R80" s="14" cm="1">
        <f t="array" ref="R80">INDEX(Benchmarks!P$6:P$244,MATCH(SolverWork!$B80,MutualFunds!$B$6:$B$244,0),0)</f>
        <v>2.5706937067534727E-2</v>
      </c>
      <c r="S80" s="14" cm="1">
        <f t="array" ref="S80">INDEX(Benchmarks!Q$6:Q$244,MATCH(SolverWork!$B80,MutualFunds!$B$6:$B$244,0),0)</f>
        <v>9.8848180238925068E-2</v>
      </c>
      <c r="T80" s="14" cm="1">
        <f t="array" ref="T80">INDEX(Benchmarks!R$6:R$244,MATCH(SolverWork!$B80,MutualFunds!$B$6:$B$244,0),0)</f>
        <v>4.2435862909341503E-2</v>
      </c>
    </row>
    <row r="81" spans="1:20" x14ac:dyDescent="0.2">
      <c r="A81">
        <v>71</v>
      </c>
      <c r="B81" s="28">
        <f>IF(B80="","",IF(EOMONTH(B80,1)&lt;=EOMONTH(Front!$C$4,0),EOMONTH(B80,1),""))</f>
        <v>36525</v>
      </c>
      <c r="C81" s="14">
        <f>IF(B81="","",INDEX(MutualFunds!$C$6:$O$244,MATCH(B81,MutualFunds!$B$6:$B$244,0),MATCH(Front!$C$2,MutualFunds!$C$4:$O$4,0)))</f>
        <v>-8.3008573655494897E-2</v>
      </c>
      <c r="D81" s="14">
        <f t="shared" si="1"/>
        <v>-0.11801363582982603</v>
      </c>
      <c r="E81" s="14" cm="1">
        <f t="array" ref="E81">INDEX(Benchmarks!C$6:C$244,MATCH(SolverWork!$B81,MutualFunds!$B$6:$B$244,0),0)</f>
        <v>4.4000000000000003E-3</v>
      </c>
      <c r="F81" s="14" cm="1">
        <f t="array" ref="F81">INDEX(Benchmarks!D$6:D$244,MATCH(SolverWork!$B81,MutualFunds!$B$6:$B$244,0),0)</f>
        <v>-8.4278117788703054E-3</v>
      </c>
      <c r="G81" s="14" cm="1">
        <f t="array" ref="G81">INDEX(Benchmarks!E$6:E$244,MATCH(SolverWork!$B81,MutualFunds!$B$6:$B$244,0),0)</f>
        <v>-2.1111314202156846E-2</v>
      </c>
      <c r="H81" s="14" cm="1">
        <f t="array" ref="H81">INDEX(Benchmarks!F$6:F$244,MATCH(SolverWork!$B81,MutualFunds!$B$6:$B$244,0),0)</f>
        <v>-3.5844047441943444E-3</v>
      </c>
      <c r="I81" s="14" cm="1">
        <f t="array" ref="I81">INDEX(Benchmarks!G$6:G$244,MATCH(SolverWork!$B81,MutualFunds!$B$6:$B$244,0),0)</f>
        <v>-3.4878168619336633E-3</v>
      </c>
      <c r="J81" s="14" cm="1">
        <f t="array" ref="J81">INDEX(Benchmarks!H$6:H$244,MATCH(SolverWork!$B81,MutualFunds!$B$6:$B$244,0),0)</f>
        <v>-8.6518937053058163E-3</v>
      </c>
      <c r="K81" s="14" cm="1">
        <f t="array" ref="K81">INDEX(Benchmarks!I$6:I$244,MATCH(SolverWork!$B81,MutualFunds!$B$6:$B$244,0),0)</f>
        <v>4.2238735772740184E-2</v>
      </c>
      <c r="L81" s="14" cm="1">
        <f t="array" ref="L81">INDEX(Benchmarks!J$6:J$244,MATCH(SolverWork!$B81,MutualFunds!$B$6:$B$244,0),0)</f>
        <v>7.3473190089043627E-2</v>
      </c>
      <c r="M81" s="14" cm="1">
        <f t="array" ref="M81">INDEX(Benchmarks!K$6:K$244,MATCH(SolverWork!$B81,MutualFunds!$B$6:$B$244,0),0)</f>
        <v>3.5933020036306176E-2</v>
      </c>
      <c r="N81" s="14" cm="1">
        <f t="array" ref="N81">INDEX(Benchmarks!L$6:L$244,MATCH(SolverWork!$B81,MutualFunds!$B$6:$B$244,0),0)</f>
        <v>5.7749293639308211E-2</v>
      </c>
      <c r="O81" s="14" cm="1">
        <f t="array" ref="O81">INDEX(Benchmarks!M$6:M$244,MATCH(SolverWork!$B81,MutualFunds!$B$6:$B$244,0),0)</f>
        <v>0.21129105591096242</v>
      </c>
      <c r="P81" s="14" cm="1">
        <f t="array" ref="P81">INDEX(Benchmarks!N$6:N$244,MATCH(SolverWork!$B81,MutualFunds!$B$6:$B$244,0),0)</f>
        <v>7.771148845035953E-3</v>
      </c>
      <c r="Q81" s="14" cm="1">
        <f t="array" ref="Q81">INDEX(Benchmarks!O$6:O$244,MATCH(SolverWork!$B81,MutualFunds!$B$6:$B$244,0),0)</f>
        <v>0.12588509723992283</v>
      </c>
      <c r="R81" s="14" cm="1">
        <f t="array" ref="R81">INDEX(Benchmarks!P$6:P$244,MATCH(SolverWork!$B81,MutualFunds!$B$6:$B$244,0),0)</f>
        <v>0.10131600221739719</v>
      </c>
      <c r="S81" s="14" cm="1">
        <f t="array" ref="S81">INDEX(Benchmarks!Q$6:Q$244,MATCH(SolverWork!$B81,MutualFunds!$B$6:$B$244,0),0)</f>
        <v>7.1754585294594983E-2</v>
      </c>
      <c r="T81" s="14" cm="1">
        <f t="array" ref="T81">INDEX(Benchmarks!R$6:R$244,MATCH(SolverWork!$B81,MutualFunds!$B$6:$B$244,0),0)</f>
        <v>6.1637509063596309E-2</v>
      </c>
    </row>
    <row r="82" spans="1:20" x14ac:dyDescent="0.2">
      <c r="A82">
        <v>72</v>
      </c>
      <c r="B82" s="28">
        <f>IF(B81="","",IF(EOMONTH(B81,1)&lt;=EOMONTH(Front!$C$4,0),EOMONTH(B81,1),""))</f>
        <v>36556</v>
      </c>
      <c r="C82" s="14">
        <f>IF(B82="","",INDEX(MutualFunds!$C$6:$O$244,MATCH(B82,MutualFunds!$B$6:$B$244,0),MATCH(Front!$C$2,MutualFunds!$C$4:$O$4,0)))</f>
        <v>-5.7373565660858536E-2</v>
      </c>
      <c r="D82" s="14">
        <f t="shared" si="1"/>
        <v>-2.5310533205413023E-2</v>
      </c>
      <c r="E82" s="14" cm="1">
        <f t="array" ref="E82">INDEX(Benchmarks!C$6:C$244,MATCH(SolverWork!$B82,MutualFunds!$B$6:$B$244,0),0)</f>
        <v>4.0999999999999995E-3</v>
      </c>
      <c r="F82" s="14" cm="1">
        <f t="array" ref="F82">INDEX(Benchmarks!D$6:D$244,MATCH(SolverWork!$B82,MutualFunds!$B$6:$B$244,0),0)</f>
        <v>-8.4994434888190761E-3</v>
      </c>
      <c r="G82" s="14" cm="1">
        <f t="array" ref="G82">INDEX(Benchmarks!E$6:E$244,MATCH(SolverWork!$B82,MutualFunds!$B$6:$B$244,0),0)</f>
        <v>7.7490430398655429E-3</v>
      </c>
      <c r="H82" s="14" cm="1">
        <f t="array" ref="H82">INDEX(Benchmarks!F$6:F$244,MATCH(SolverWork!$B82,MutualFunds!$B$6:$B$244,0),0)</f>
        <v>-3.3528028369561877E-3</v>
      </c>
      <c r="I82" s="14" cm="1">
        <f t="array" ref="I82">INDEX(Benchmarks!G$6:G$244,MATCH(SolverWork!$B82,MutualFunds!$B$6:$B$244,0),0)</f>
        <v>-7.6736644004472198E-3</v>
      </c>
      <c r="J82" s="14" cm="1">
        <f t="array" ref="J82">INDEX(Benchmarks!H$6:H$244,MATCH(SolverWork!$B82,MutualFunds!$B$6:$B$244,0),0)</f>
        <v>-2.4935435034286321E-3</v>
      </c>
      <c r="K82" s="14" cm="1">
        <f t="array" ref="K82">INDEX(Benchmarks!I$6:I$244,MATCH(SolverWork!$B82,MutualFunds!$B$6:$B$244,0),0)</f>
        <v>7.2302988075855223E-2</v>
      </c>
      <c r="L82" s="14" cm="1">
        <f t="array" ref="L82">INDEX(Benchmarks!J$6:J$244,MATCH(SolverWork!$B82,MutualFunds!$B$6:$B$244,0),0)</f>
        <v>-6.7069391067182085E-2</v>
      </c>
      <c r="M82" s="14" cm="1">
        <f t="array" ref="M82">INDEX(Benchmarks!K$6:K$244,MATCH(SolverWork!$B82,MutualFunds!$B$6:$B$244,0),0)</f>
        <v>-3.2721376983672092E-2</v>
      </c>
      <c r="N82" s="14" cm="1">
        <f t="array" ref="N82">INDEX(Benchmarks!L$6:L$244,MATCH(SolverWork!$B82,MutualFunds!$B$6:$B$244,0),0)</f>
        <v>-3.8721306491193867E-2</v>
      </c>
      <c r="O82" s="14" cm="1">
        <f t="array" ref="O82">INDEX(Benchmarks!M$6:M$244,MATCH(SolverWork!$B82,MutualFunds!$B$6:$B$244,0),0)</f>
        <v>-6.275310064814855E-3</v>
      </c>
      <c r="P82" s="14" cm="1">
        <f t="array" ref="P82">INDEX(Benchmarks!N$6:N$244,MATCH(SolverWork!$B82,MutualFunds!$B$6:$B$244,0),0)</f>
        <v>-6.8024732586498299E-2</v>
      </c>
      <c r="Q82" s="14" cm="1">
        <f t="array" ref="Q82">INDEX(Benchmarks!O$6:O$244,MATCH(SolverWork!$B82,MutualFunds!$B$6:$B$244,0),0)</f>
        <v>4.031302357893043E-3</v>
      </c>
      <c r="R82" s="14" cm="1">
        <f t="array" ref="R82">INDEX(Benchmarks!P$6:P$244,MATCH(SolverWork!$B82,MutualFunds!$B$6:$B$244,0),0)</f>
        <v>-7.2286685035509821E-2</v>
      </c>
      <c r="S82" s="14" cm="1">
        <f t="array" ref="S82">INDEX(Benchmarks!Q$6:Q$244,MATCH(SolverWork!$B82,MutualFunds!$B$6:$B$244,0),0)</f>
        <v>-2.2783307183920205E-2</v>
      </c>
      <c r="T82" s="14" cm="1">
        <f t="array" ref="T82">INDEX(Benchmarks!R$6:R$244,MATCH(SolverWork!$B82,MutualFunds!$B$6:$B$244,0),0)</f>
        <v>-4.3692032316427917E-2</v>
      </c>
    </row>
    <row r="83" spans="1:20" x14ac:dyDescent="0.2">
      <c r="A83">
        <v>73</v>
      </c>
      <c r="B83" s="28">
        <f>IF(B82="","",IF(EOMONTH(B82,1)&lt;=EOMONTH(Front!$C$4,0),EOMONTH(B82,1),""))</f>
        <v>36585</v>
      </c>
      <c r="C83" s="14">
        <f>IF(B83="","",INDEX(MutualFunds!$C$6:$O$244,MATCH(B83,MutualFunds!$B$6:$B$244,0),MATCH(Front!$C$2,MutualFunds!$C$4:$O$4,0)))</f>
        <v>-6.8981064021641003E-2</v>
      </c>
      <c r="D83" s="14">
        <f t="shared" si="1"/>
        <v>-5.868075926629357E-3</v>
      </c>
      <c r="E83" s="14" cm="1">
        <f t="array" ref="E83">INDEX(Benchmarks!C$6:C$244,MATCH(SolverWork!$B83,MutualFunds!$B$6:$B$244,0),0)</f>
        <v>4.3E-3</v>
      </c>
      <c r="F83" s="14" cm="1">
        <f t="array" ref="F83">INDEX(Benchmarks!D$6:D$244,MATCH(SolverWork!$B83,MutualFunds!$B$6:$B$244,0),0)</f>
        <v>3.3676905806714792E-3</v>
      </c>
      <c r="G83" s="14" cm="1">
        <f t="array" ref="G83">INDEX(Benchmarks!E$6:E$244,MATCH(SolverWork!$B83,MutualFunds!$B$6:$B$244,0),0)</f>
        <v>2.2234574763757696E-2</v>
      </c>
      <c r="H83" s="14" cm="1">
        <f t="array" ref="H83">INDEX(Benchmarks!F$6:F$244,MATCH(SolverWork!$B83,MutualFunds!$B$6:$B$244,0),0)</f>
        <v>7.7436219680784195E-3</v>
      </c>
      <c r="I83" s="14" cm="1">
        <f t="array" ref="I83">INDEX(Benchmarks!G$6:G$244,MATCH(SolverWork!$B83,MutualFunds!$B$6:$B$244,0),0)</f>
        <v>1.2379806010049446E-2</v>
      </c>
      <c r="J83" s="14" cm="1">
        <f t="array" ref="J83">INDEX(Benchmarks!H$6:H$244,MATCH(SolverWork!$B83,MutualFunds!$B$6:$B$244,0),0)</f>
        <v>1.7141326667261866E-2</v>
      </c>
      <c r="K83" s="14" cm="1">
        <f t="array" ref="K83">INDEX(Benchmarks!I$6:I$244,MATCH(SolverWork!$B83,MutualFunds!$B$6:$B$244,0),0)</f>
        <v>6.2475381191735541E-2</v>
      </c>
      <c r="L83" s="14" cm="1">
        <f t="array" ref="L83">INDEX(Benchmarks!J$6:J$244,MATCH(SolverWork!$B83,MutualFunds!$B$6:$B$244,0),0)</f>
        <v>2.0585179637101738E-2</v>
      </c>
      <c r="M83" s="14" cm="1">
        <f t="array" ref="M83">INDEX(Benchmarks!K$6:K$244,MATCH(SolverWork!$B83,MutualFunds!$B$6:$B$244,0),0)</f>
        <v>-6.4524321487225533E-2</v>
      </c>
      <c r="N83" s="14" cm="1">
        <f t="array" ref="N83">INDEX(Benchmarks!L$6:L$244,MATCH(SolverWork!$B83,MutualFunds!$B$6:$B$244,0),0)</f>
        <v>9.0762244713536985E-2</v>
      </c>
      <c r="O83" s="14" cm="1">
        <f t="array" ref="O83">INDEX(Benchmarks!M$6:M$244,MATCH(SolverWork!$B83,MutualFunds!$B$6:$B$244,0),0)</f>
        <v>0.33370219240611382</v>
      </c>
      <c r="P83" s="14" cm="1">
        <f t="array" ref="P83">INDEX(Benchmarks!N$6:N$244,MATCH(SolverWork!$B83,MutualFunds!$B$6:$B$244,0),0)</f>
        <v>-8.2414897660025317E-3</v>
      </c>
      <c r="Q83" s="14" cm="1">
        <f t="array" ref="Q83">INDEX(Benchmarks!O$6:O$244,MATCH(SolverWork!$B83,MutualFunds!$B$6:$B$244,0),0)</f>
        <v>1.2918376940656371E-2</v>
      </c>
      <c r="R83" s="14" cm="1">
        <f t="array" ref="R83">INDEX(Benchmarks!P$6:P$244,MATCH(SolverWork!$B83,MutualFunds!$B$6:$B$244,0),0)</f>
        <v>5.0980622107427966E-2</v>
      </c>
      <c r="S83" s="14" cm="1">
        <f t="array" ref="S83">INDEX(Benchmarks!Q$6:Q$244,MATCH(SolverWork!$B83,MutualFunds!$B$6:$B$244,0),0)</f>
        <v>-5.3711349153214828E-2</v>
      </c>
      <c r="T83" s="14" cm="1">
        <f t="array" ref="T83">INDEX(Benchmarks!R$6:R$244,MATCH(SolverWork!$B83,MutualFunds!$B$6:$B$244,0),0)</f>
        <v>-2.6312460542143676E-2</v>
      </c>
    </row>
    <row r="84" spans="1:20" x14ac:dyDescent="0.2">
      <c r="A84">
        <v>74</v>
      </c>
      <c r="B84" s="28">
        <f>IF(B83="","",IF(EOMONTH(B83,1)&lt;=EOMONTH(Front!$C$4,0),EOMONTH(B83,1),""))</f>
        <v>36616</v>
      </c>
      <c r="C84" s="14">
        <f>IF(B84="","",INDEX(MutualFunds!$C$6:$O$244,MATCH(B84,MutualFunds!$B$6:$B$244,0),MATCH(Front!$C$2,MutualFunds!$C$4:$O$4,0)))</f>
        <v>0.12929782082324445</v>
      </c>
      <c r="D84" s="14">
        <f t="shared" si="1"/>
        <v>2.7942619425815537E-2</v>
      </c>
      <c r="E84" s="14" cm="1">
        <f t="array" ref="E84">INDEX(Benchmarks!C$6:C$244,MATCH(SolverWork!$B84,MutualFunds!$B$6:$B$244,0),0)</f>
        <v>4.6999999999999993E-3</v>
      </c>
      <c r="F84" s="14" cm="1">
        <f t="array" ref="F84">INDEX(Benchmarks!D$6:D$244,MATCH(SolverWork!$B84,MutualFunds!$B$6:$B$244,0),0)</f>
        <v>6.2042310821806288E-3</v>
      </c>
      <c r="G84" s="14" cm="1">
        <f t="array" ref="G84">INDEX(Benchmarks!E$6:E$244,MATCH(SolverWork!$B84,MutualFunds!$B$6:$B$244,0),0)</f>
        <v>2.5919883994924772E-2</v>
      </c>
      <c r="H84" s="14" cm="1">
        <f t="array" ref="H84">INDEX(Benchmarks!F$6:F$244,MATCH(SolverWork!$B84,MutualFunds!$B$6:$B$244,0),0)</f>
        <v>1.1091190799010777E-2</v>
      </c>
      <c r="I84" s="14" cm="1">
        <f t="array" ref="I84">INDEX(Benchmarks!G$6:G$244,MATCH(SolverWork!$B84,MutualFunds!$B$6:$B$244,0),0)</f>
        <v>9.9080852279665021E-3</v>
      </c>
      <c r="J84" s="14" cm="1">
        <f t="array" ref="J84">INDEX(Benchmarks!H$6:H$244,MATCH(SolverWork!$B84,MutualFunds!$B$6:$B$244,0),0)</f>
        <v>2.3523216009830532E-2</v>
      </c>
      <c r="K84" s="14" cm="1">
        <f t="array" ref="K84">INDEX(Benchmarks!I$6:I$244,MATCH(SolverWork!$B84,MutualFunds!$B$6:$B$244,0),0)</f>
        <v>-1.160697876331653E-2</v>
      </c>
      <c r="L84" s="14" cm="1">
        <f t="array" ref="L84">INDEX(Benchmarks!J$6:J$244,MATCH(SolverWork!$B84,MutualFunds!$B$6:$B$244,0),0)</f>
        <v>9.1830212352927154E-2</v>
      </c>
      <c r="M84" s="14" cm="1">
        <f t="array" ref="M84">INDEX(Benchmarks!K$6:K$244,MATCH(SolverWork!$B84,MutualFunds!$B$6:$B$244,0),0)</f>
        <v>0.10260262071961206</v>
      </c>
      <c r="N84" s="14" cm="1">
        <f t="array" ref="N84">INDEX(Benchmarks!L$6:L$244,MATCH(SolverWork!$B84,MutualFunds!$B$6:$B$244,0),0)</f>
        <v>3.6266478879073749E-2</v>
      </c>
      <c r="O84" s="14" cm="1">
        <f t="array" ref="O84">INDEX(Benchmarks!M$6:M$244,MATCH(SolverWork!$B84,MutualFunds!$B$6:$B$244,0),0)</f>
        <v>-9.5974343018524685E-2</v>
      </c>
      <c r="P84" s="14" cm="1">
        <f t="array" ref="P84">INDEX(Benchmarks!N$6:N$244,MATCH(SolverWork!$B84,MutualFunds!$B$6:$B$244,0),0)</f>
        <v>5.7162564596654149E-2</v>
      </c>
      <c r="Q84" s="14" cm="1">
        <f t="array" ref="Q84">INDEX(Benchmarks!O$6:O$244,MATCH(SolverWork!$B84,MutualFunds!$B$6:$B$244,0),0)</f>
        <v>3.3410950675150548E-3</v>
      </c>
      <c r="R84" s="14" cm="1">
        <f t="array" ref="R84">INDEX(Benchmarks!P$6:P$244,MATCH(SolverWork!$B84,MutualFunds!$B$6:$B$244,0),0)</f>
        <v>2.3005550398247917E-2</v>
      </c>
      <c r="S84" s="14" cm="1">
        <f t="array" ref="S84">INDEX(Benchmarks!Q$6:Q$244,MATCH(SolverWork!$B84,MutualFunds!$B$6:$B$244,0),0)</f>
        <v>4.4824322066930239E-2</v>
      </c>
      <c r="T84" s="14" cm="1">
        <f t="array" ref="T84">INDEX(Benchmarks!R$6:R$244,MATCH(SolverWork!$B84,MutualFunds!$B$6:$B$244,0),0)</f>
        <v>8.2038615677115664E-2</v>
      </c>
    </row>
    <row r="85" spans="1:20" x14ac:dyDescent="0.2">
      <c r="A85">
        <v>75</v>
      </c>
      <c r="B85" s="28">
        <f>IF(B84="","",IF(EOMONTH(B84,1)&lt;=EOMONTH(Front!$C$4,0),EOMONTH(B84,1),""))</f>
        <v>36646</v>
      </c>
      <c r="C85" s="14">
        <f>IF(B85="","",INDEX(MutualFunds!$C$6:$O$244,MATCH(B85,MutualFunds!$B$6:$B$244,0),MATCH(Front!$C$2,MutualFunds!$C$4:$O$4,0)))</f>
        <v>-1.7152658662092258E-3</v>
      </c>
      <c r="D85" s="14">
        <f t="shared" si="1"/>
        <v>6.1066038653520534E-3</v>
      </c>
      <c r="E85" s="14" cm="1">
        <f t="array" ref="E85">INDEX(Benchmarks!C$6:C$244,MATCH(SolverWork!$B85,MutualFunds!$B$6:$B$244,0),0)</f>
        <v>4.5999999999999999E-3</v>
      </c>
      <c r="F85" s="14" cm="1">
        <f t="array" ref="F85">INDEX(Benchmarks!D$6:D$244,MATCH(SolverWork!$B85,MutualFunds!$B$6:$B$244,0),0)</f>
        <v>-5.6605680784393231E-3</v>
      </c>
      <c r="G85" s="14" cm="1">
        <f t="array" ref="G85">INDEX(Benchmarks!E$6:E$244,MATCH(SolverWork!$B85,MutualFunds!$B$6:$B$244,0),0)</f>
        <v>-1.5282685512367526E-2</v>
      </c>
      <c r="H85" s="14" cm="1">
        <f t="array" ref="H85">INDEX(Benchmarks!F$6:F$244,MATCH(SolverWork!$B85,MutualFunds!$B$6:$B$244,0),0)</f>
        <v>-1.2782156685519934E-2</v>
      </c>
      <c r="I85" s="14" cm="1">
        <f t="array" ref="I85">INDEX(Benchmarks!G$6:G$244,MATCH(SolverWork!$B85,MutualFunds!$B$6:$B$244,0),0)</f>
        <v>-1.1407997919170805E-5</v>
      </c>
      <c r="J85" s="14" cm="1">
        <f t="array" ref="J85">INDEX(Benchmarks!H$6:H$244,MATCH(SolverWork!$B85,MutualFunds!$B$6:$B$244,0),0)</f>
        <v>-8.8328616756710495E-3</v>
      </c>
      <c r="K85" s="14" cm="1">
        <f t="array" ref="K85">INDEX(Benchmarks!I$6:I$244,MATCH(SolverWork!$B85,MutualFunds!$B$6:$B$244,0),0)</f>
        <v>-9.1080170426675339E-3</v>
      </c>
      <c r="L85" s="14" cm="1">
        <f t="array" ref="L85">INDEX(Benchmarks!J$6:J$244,MATCH(SolverWork!$B85,MutualFunds!$B$6:$B$244,0),0)</f>
        <v>-4.9956634865568006E-2</v>
      </c>
      <c r="M85" s="14" cm="1">
        <f t="array" ref="M85">INDEX(Benchmarks!K$6:K$244,MATCH(SolverWork!$B85,MutualFunds!$B$6:$B$244,0),0)</f>
        <v>-7.6984947719178189E-3</v>
      </c>
      <c r="N85" s="14" cm="1">
        <f t="array" ref="N85">INDEX(Benchmarks!L$6:L$244,MATCH(SolverWork!$B85,MutualFunds!$B$6:$B$244,0),0)</f>
        <v>-3.1739369409883568E-2</v>
      </c>
      <c r="O85" s="14" cm="1">
        <f t="array" ref="O85">INDEX(Benchmarks!M$6:M$244,MATCH(SolverWork!$B85,MutualFunds!$B$6:$B$244,0),0)</f>
        <v>-0.12490733876945892</v>
      </c>
      <c r="P85" s="14" cm="1">
        <f t="array" ref="P85">INDEX(Benchmarks!N$6:N$244,MATCH(SolverWork!$B85,MutualFunds!$B$6:$B$244,0),0)</f>
        <v>1.1371521484718889E-2</v>
      </c>
      <c r="Q85" s="14" cm="1">
        <f t="array" ref="Q85">INDEX(Benchmarks!O$6:O$244,MATCH(SolverWork!$B85,MutualFunds!$B$6:$B$244,0),0)</f>
        <v>-9.6204675973760645E-2</v>
      </c>
      <c r="R85" s="14" cm="1">
        <f t="array" ref="R85">INDEX(Benchmarks!P$6:P$244,MATCH(SolverWork!$B85,MutualFunds!$B$6:$B$244,0),0)</f>
        <v>-4.5234629878471412E-2</v>
      </c>
      <c r="S85" s="14" cm="1">
        <f t="array" ref="S85">INDEX(Benchmarks!Q$6:Q$244,MATCH(SolverWork!$B85,MutualFunds!$B$6:$B$244,0),0)</f>
        <v>-8.2598718447088965E-2</v>
      </c>
      <c r="T85" s="14" cm="1">
        <f t="array" ref="T85">INDEX(Benchmarks!R$6:R$244,MATCH(SolverWork!$B85,MutualFunds!$B$6:$B$244,0),0)</f>
        <v>-7.5569258340325629E-2</v>
      </c>
    </row>
    <row r="86" spans="1:20" x14ac:dyDescent="0.2">
      <c r="A86">
        <v>76</v>
      </c>
      <c r="B86" s="28">
        <f>IF(B85="","",IF(EOMONTH(B85,1)&lt;=EOMONTH(Front!$C$4,0),EOMONTH(B85,1),""))</f>
        <v>36677</v>
      </c>
      <c r="C86" s="14">
        <f>IF(B86="","",INDEX(MutualFunds!$C$6:$O$244,MATCH(B86,MutualFunds!$B$6:$B$244,0),MATCH(Front!$C$2,MutualFunds!$C$4:$O$4,0)))</f>
        <v>3.0927835051546341E-2</v>
      </c>
      <c r="D86" s="14">
        <f t="shared" si="1"/>
        <v>3.0413435011278859E-2</v>
      </c>
      <c r="E86" s="14" cm="1">
        <f t="array" ref="E86">INDEX(Benchmarks!C$6:C$244,MATCH(SolverWork!$B86,MutualFunds!$B$6:$B$244,0),0)</f>
        <v>5.0000000000000001E-3</v>
      </c>
      <c r="F86" s="14" cm="1">
        <f t="array" ref="F86">INDEX(Benchmarks!D$6:D$244,MATCH(SolverWork!$B86,MutualFunds!$B$6:$B$244,0),0)</f>
        <v>-2.3381112127681607E-3</v>
      </c>
      <c r="G86" s="14" cm="1">
        <f t="array" ref="G86">INDEX(Benchmarks!E$6:E$244,MATCH(SolverWork!$B86,MutualFunds!$B$6:$B$244,0),0)</f>
        <v>-1.139319996411587E-2</v>
      </c>
      <c r="H86" s="14" cm="1">
        <f t="array" ref="H86">INDEX(Benchmarks!F$6:F$244,MATCH(SolverWork!$B86,MutualFunds!$B$6:$B$244,0),0)</f>
        <v>-5.1514757768693301E-3</v>
      </c>
      <c r="I86" s="14" cm="1">
        <f t="array" ref="I86">INDEX(Benchmarks!G$6:G$244,MATCH(SolverWork!$B86,MutualFunds!$B$6:$B$244,0),0)</f>
        <v>1.0837721659928785E-3</v>
      </c>
      <c r="J86" s="14" cm="1">
        <f t="array" ref="J86">INDEX(Benchmarks!H$6:H$244,MATCH(SolverWork!$B86,MutualFunds!$B$6:$B$244,0),0)</f>
        <v>-1.1593701332410358E-2</v>
      </c>
      <c r="K86" s="14" cm="1">
        <f t="array" ref="K86">INDEX(Benchmarks!I$6:I$244,MATCH(SolverWork!$B86,MutualFunds!$B$6:$B$244,0),0)</f>
        <v>0.11197352158973983</v>
      </c>
      <c r="L86" s="14" cm="1">
        <f t="array" ref="L86">INDEX(Benchmarks!J$6:J$244,MATCH(SolverWork!$B86,MutualFunds!$B$6:$B$244,0),0)</f>
        <v>-4.1309110827095173E-2</v>
      </c>
      <c r="M86" s="14" cm="1">
        <f t="array" ref="M86">INDEX(Benchmarks!K$6:K$244,MATCH(SolverWork!$B86,MutualFunds!$B$6:$B$244,0),0)</f>
        <v>7.1130814530547155E-4</v>
      </c>
      <c r="N86" s="14" cm="1">
        <f t="array" ref="N86">INDEX(Benchmarks!L$6:L$244,MATCH(SolverWork!$B86,MutualFunds!$B$6:$B$244,0),0)</f>
        <v>-1.2829113728080536E-2</v>
      </c>
      <c r="O86" s="14" cm="1">
        <f t="array" ref="O86">INDEX(Benchmarks!M$6:M$244,MATCH(SolverWork!$B86,MutualFunds!$B$6:$B$244,0),0)</f>
        <v>-6.5993021520340395E-2</v>
      </c>
      <c r="P86" s="14" cm="1">
        <f t="array" ref="P86">INDEX(Benchmarks!N$6:N$244,MATCH(SolverWork!$B86,MutualFunds!$B$6:$B$244,0),0)</f>
        <v>-3.522605089345199E-3</v>
      </c>
      <c r="Q86" s="14" cm="1">
        <f t="array" ref="Q86">INDEX(Benchmarks!O$6:O$244,MATCH(SolverWork!$B86,MutualFunds!$B$6:$B$244,0),0)</f>
        <v>-4.3548483579589646E-2</v>
      </c>
      <c r="R86" s="14" cm="1">
        <f t="array" ref="R86">INDEX(Benchmarks!P$6:P$244,MATCH(SolverWork!$B86,MutualFunds!$B$6:$B$244,0),0)</f>
        <v>-9.3171207082608475E-3</v>
      </c>
      <c r="S86" s="14" cm="1">
        <f t="array" ref="S86">INDEX(Benchmarks!Q$6:Q$244,MATCH(SolverWork!$B86,MutualFunds!$B$6:$B$244,0),0)</f>
        <v>-8.2569026790595801E-2</v>
      </c>
      <c r="T86" s="14" cm="1">
        <f t="array" ref="T86">INDEX(Benchmarks!R$6:R$244,MATCH(SolverWork!$B86,MutualFunds!$B$6:$B$244,0),0)</f>
        <v>-5.1304615800906478E-2</v>
      </c>
    </row>
    <row r="87" spans="1:20" x14ac:dyDescent="0.2">
      <c r="A87">
        <v>77</v>
      </c>
      <c r="B87" s="28">
        <f>IF(B86="","",IF(EOMONTH(B86,1)&lt;=EOMONTH(Front!$C$4,0),EOMONTH(B86,1),""))</f>
        <v>36707</v>
      </c>
      <c r="C87" s="14">
        <f>IF(B87="","",INDEX(MutualFunds!$C$6:$O$244,MATCH(B87,MutualFunds!$B$6:$B$244,0),MATCH(Front!$C$2,MutualFunds!$C$4:$O$4,0)))</f>
        <v>-7.8333333333333297E-2</v>
      </c>
      <c r="D87" s="14">
        <f t="shared" si="1"/>
        <v>-3.8553170997777254E-2</v>
      </c>
      <c r="E87" s="14" cm="1">
        <f t="array" ref="E87">INDEX(Benchmarks!C$6:C$244,MATCH(SolverWork!$B87,MutualFunds!$B$6:$B$244,0),0)</f>
        <v>4.0000000000000001E-3</v>
      </c>
      <c r="F87" s="14" cm="1">
        <f t="array" ref="F87">INDEX(Benchmarks!D$6:D$244,MATCH(SolverWork!$B87,MutualFunds!$B$6:$B$244,0),0)</f>
        <v>1.0902791929896141E-2</v>
      </c>
      <c r="G87" s="14" cm="1">
        <f t="array" ref="G87">INDEX(Benchmarks!E$6:E$244,MATCH(SolverWork!$B87,MutualFunds!$B$6:$B$244,0),0)</f>
        <v>1.5698729582577169E-2</v>
      </c>
      <c r="H87" s="14" cm="1">
        <f t="array" ref="H87">INDEX(Benchmarks!F$6:F$244,MATCH(SolverWork!$B87,MutualFunds!$B$6:$B$244,0),0)</f>
        <v>2.492826542996537E-2</v>
      </c>
      <c r="I87" s="14" cm="1">
        <f t="array" ref="I87">INDEX(Benchmarks!G$6:G$244,MATCH(SolverWork!$B87,MutualFunds!$B$6:$B$244,0),0)</f>
        <v>2.107307200536053E-2</v>
      </c>
      <c r="J87" s="14" cm="1">
        <f t="array" ref="J87">INDEX(Benchmarks!H$6:H$244,MATCH(SolverWork!$B87,MutualFunds!$B$6:$B$244,0),0)</f>
        <v>1.4618347338935463E-2</v>
      </c>
      <c r="K87" s="14" cm="1">
        <f t="array" ref="K87">INDEX(Benchmarks!I$6:I$244,MATCH(SolverWork!$B87,MutualFunds!$B$6:$B$244,0),0)</f>
        <v>7.1267504822645947E-2</v>
      </c>
      <c r="L87" s="14" cm="1">
        <f t="array" ref="L87">INDEX(Benchmarks!J$6:J$244,MATCH(SolverWork!$B87,MutualFunds!$B$6:$B$244,0),0)</f>
        <v>8.0417083273818094E-2</v>
      </c>
      <c r="M87" s="14" cm="1">
        <f t="array" ref="M87">INDEX(Benchmarks!K$6:K$244,MATCH(SolverWork!$B87,MutualFunds!$B$6:$B$244,0),0)</f>
        <v>-4.0697578312257218E-2</v>
      </c>
      <c r="N87" s="14" cm="1">
        <f t="array" ref="N87">INDEX(Benchmarks!L$6:L$244,MATCH(SolverWork!$B87,MutualFunds!$B$6:$B$244,0),0)</f>
        <v>2.6828095267967263E-2</v>
      </c>
      <c r="O87" s="14" cm="1">
        <f t="array" ref="O87">INDEX(Benchmarks!M$6:M$244,MATCH(SolverWork!$B87,MutualFunds!$B$6:$B$244,0),0)</f>
        <v>0.10407264246690706</v>
      </c>
      <c r="P87" s="14" cm="1">
        <f t="array" ref="P87">INDEX(Benchmarks!N$6:N$244,MATCH(SolverWork!$B87,MutualFunds!$B$6:$B$244,0),0)</f>
        <v>-2.7951619035874717E-2</v>
      </c>
      <c r="Q87" s="14" cm="1">
        <f t="array" ref="Q87">INDEX(Benchmarks!O$6:O$244,MATCH(SolverWork!$B87,MutualFunds!$B$6:$B$244,0),0)</f>
        <v>3.2001167469301803E-2</v>
      </c>
      <c r="R87" s="14" cm="1">
        <f t="array" ref="R87">INDEX(Benchmarks!P$6:P$244,MATCH(SolverWork!$B87,MutualFunds!$B$6:$B$244,0),0)</f>
        <v>2.0266956399714882E-2</v>
      </c>
      <c r="S87" s="14" cm="1">
        <f t="array" ref="S87">INDEX(Benchmarks!Q$6:Q$244,MATCH(SolverWork!$B87,MutualFunds!$B$6:$B$244,0),0)</f>
        <v>4.5173329558956574E-2</v>
      </c>
      <c r="T87" s="14" cm="1">
        <f t="array" ref="T87">INDEX(Benchmarks!R$6:R$244,MATCH(SolverWork!$B87,MutualFunds!$B$6:$B$244,0),0)</f>
        <v>6.8308237984529507E-2</v>
      </c>
    </row>
    <row r="88" spans="1:20" x14ac:dyDescent="0.2">
      <c r="A88">
        <v>78</v>
      </c>
      <c r="B88" s="28">
        <f>IF(B87="","",IF(EOMONTH(B87,1)&lt;=EOMONTH(Front!$C$4,0),EOMONTH(B87,1),""))</f>
        <v>36738</v>
      </c>
      <c r="C88" s="14">
        <f>IF(B88="","",INDEX(MutualFunds!$C$6:$O$244,MATCH(B88,MutualFunds!$B$6:$B$244,0),MATCH(Front!$C$2,MutualFunds!$C$4:$O$4,0)))</f>
        <v>1.4466546112115744E-2</v>
      </c>
      <c r="D88" s="14">
        <f t="shared" si="1"/>
        <v>-4.3261571449423886E-3</v>
      </c>
      <c r="E88" s="14" cm="1">
        <f t="array" ref="E88">INDEX(Benchmarks!C$6:C$244,MATCH(SolverWork!$B88,MutualFunds!$B$6:$B$244,0),0)</f>
        <v>4.7999999999999996E-3</v>
      </c>
      <c r="F88" s="14" cm="1">
        <f t="array" ref="F88">INDEX(Benchmarks!D$6:D$244,MATCH(SolverWork!$B88,MutualFunds!$B$6:$B$244,0),0)</f>
        <v>1.4111480697510388E-3</v>
      </c>
      <c r="G88" s="14" cm="1">
        <f t="array" ref="G88">INDEX(Benchmarks!E$6:E$244,MATCH(SolverWork!$B88,MutualFunds!$B$6:$B$244,0),0)</f>
        <v>1.1078352541767129E-2</v>
      </c>
      <c r="H88" s="14" cm="1">
        <f t="array" ref="H88">INDEX(Benchmarks!F$6:F$244,MATCH(SolverWork!$B88,MutualFunds!$B$6:$B$244,0),0)</f>
        <v>1.1827695589267358E-2</v>
      </c>
      <c r="I88" s="14" cm="1">
        <f t="array" ref="I88">INDEX(Benchmarks!G$6:G$244,MATCH(SolverWork!$B88,MutualFunds!$B$6:$B$244,0),0)</f>
        <v>6.7956830838942148E-3</v>
      </c>
      <c r="J88" s="14" cm="1">
        <f t="array" ref="J88">INDEX(Benchmarks!H$6:H$244,MATCH(SolverWork!$B88,MutualFunds!$B$6:$B$244,0),0)</f>
        <v>8.9724786472263496E-3</v>
      </c>
      <c r="K88" s="14" cm="1">
        <f t="array" ref="K88">INDEX(Benchmarks!I$6:I$244,MATCH(SolverWork!$B88,MutualFunds!$B$6:$B$244,0),0)</f>
        <v>-7.6798348656246115E-2</v>
      </c>
      <c r="L88" s="14" cm="1">
        <f t="array" ref="L88">INDEX(Benchmarks!J$6:J$244,MATCH(SolverWork!$B88,MutualFunds!$B$6:$B$244,0),0)</f>
        <v>-4.4927727833597837E-2</v>
      </c>
      <c r="M88" s="14" cm="1">
        <f t="array" ref="M88">INDEX(Benchmarks!K$6:K$244,MATCH(SolverWork!$B88,MutualFunds!$B$6:$B$244,0),0)</f>
        <v>1.8920269501835191E-2</v>
      </c>
      <c r="N88" s="14" cm="1">
        <f t="array" ref="N88">INDEX(Benchmarks!L$6:L$244,MATCH(SolverWork!$B88,MutualFunds!$B$6:$B$244,0),0)</f>
        <v>5.1928481244654656E-3</v>
      </c>
      <c r="O88" s="14" cm="1">
        <f t="array" ref="O88">INDEX(Benchmarks!M$6:M$244,MATCH(SolverWork!$B88,MutualFunds!$B$6:$B$244,0),0)</f>
        <v>-6.4347673019940016E-2</v>
      </c>
      <c r="P88" s="14" cm="1">
        <f t="array" ref="P88">INDEX(Benchmarks!N$6:N$244,MATCH(SolverWork!$B88,MutualFunds!$B$6:$B$244,0),0)</f>
        <v>5.4444926050047047E-2</v>
      </c>
      <c r="Q88" s="14" cm="1">
        <f t="array" ref="Q88">INDEX(Benchmarks!O$6:O$244,MATCH(SolverWork!$B88,MutualFunds!$B$6:$B$244,0),0)</f>
        <v>-5.2603935194537668E-2</v>
      </c>
      <c r="R88" s="14" cm="1">
        <f t="array" ref="R88">INDEX(Benchmarks!P$6:P$244,MATCH(SolverWork!$B88,MutualFunds!$B$6:$B$244,0),0)</f>
        <v>-1.7096536979287345E-2</v>
      </c>
      <c r="S88" s="14" cm="1">
        <f t="array" ref="S88">INDEX(Benchmarks!Q$6:Q$244,MATCH(SolverWork!$B88,MutualFunds!$B$6:$B$244,0),0)</f>
        <v>-3.7223142852051791E-2</v>
      </c>
      <c r="T88" s="14" cm="1">
        <f t="array" ref="T88">INDEX(Benchmarks!R$6:R$244,MATCH(SolverWork!$B88,MutualFunds!$B$6:$B$244,0),0)</f>
        <v>-0.11555769934742893</v>
      </c>
    </row>
    <row r="89" spans="1:20" x14ac:dyDescent="0.2">
      <c r="A89">
        <v>79</v>
      </c>
      <c r="B89" s="28">
        <f>IF(B88="","",IF(EOMONTH(B88,1)&lt;=EOMONTH(Front!$C$4,0),EOMONTH(B88,1),""))</f>
        <v>36769</v>
      </c>
      <c r="C89" s="14">
        <f>IF(B89="","",INDEX(MutualFunds!$C$6:$O$244,MATCH(B89,MutualFunds!$B$6:$B$244,0),MATCH(Front!$C$2,MutualFunds!$C$4:$O$4,0)))</f>
        <v>5.6595365418894809E-2</v>
      </c>
      <c r="D89" s="14">
        <f t="shared" si="1"/>
        <v>-7.2957100709281283E-3</v>
      </c>
      <c r="E89" s="14" cm="1">
        <f t="array" ref="E89">INDEX(Benchmarks!C$6:C$244,MATCH(SolverWork!$B89,MutualFunds!$B$6:$B$244,0),0)</f>
        <v>5.0000000000000001E-3</v>
      </c>
      <c r="F89" s="14" cm="1">
        <f t="array" ref="F89">INDEX(Benchmarks!D$6:D$244,MATCH(SolverWork!$B89,MutualFunds!$B$6:$B$244,0),0)</f>
        <v>6.3412179164569239E-3</v>
      </c>
      <c r="G89" s="14" cm="1">
        <f t="array" ref="G89">INDEX(Benchmarks!E$6:E$244,MATCH(SolverWork!$B89,MutualFunds!$B$6:$B$244,0),0)</f>
        <v>1.6788901652381422E-2</v>
      </c>
      <c r="H89" s="14" cm="1">
        <f t="array" ref="H89">INDEX(Benchmarks!F$6:F$244,MATCH(SolverWork!$B89,MutualFunds!$B$6:$B$244,0),0)</f>
        <v>1.2949834046041024E-2</v>
      </c>
      <c r="I89" s="14" cm="1">
        <f t="array" ref="I89">INDEX(Benchmarks!G$6:G$244,MATCH(SolverWork!$B89,MutualFunds!$B$6:$B$244,0),0)</f>
        <v>1.481323003351067E-2</v>
      </c>
      <c r="J89" s="14" cm="1">
        <f t="array" ref="J89">INDEX(Benchmarks!H$6:H$244,MATCH(SolverWork!$B89,MutualFunds!$B$6:$B$244,0),0)</f>
        <v>-3.0782385634886655E-3</v>
      </c>
      <c r="K89" s="14" cm="1">
        <f t="array" ref="K89">INDEX(Benchmarks!I$6:I$244,MATCH(SolverWork!$B89,MutualFunds!$B$6:$B$244,0),0)</f>
        <v>0.15408830010385124</v>
      </c>
      <c r="L89" s="14" cm="1">
        <f t="array" ref="L89">INDEX(Benchmarks!J$6:J$244,MATCH(SolverWork!$B89,MutualFunds!$B$6:$B$244,0),0)</f>
        <v>5.733071865267049E-2</v>
      </c>
      <c r="M89" s="14" cm="1">
        <f t="array" ref="M89">INDEX(Benchmarks!K$6:K$244,MATCH(SolverWork!$B89,MutualFunds!$B$6:$B$244,0),0)</f>
        <v>6.4669970066462606E-2</v>
      </c>
      <c r="N89" s="14" cm="1">
        <f t="array" ref="N89">INDEX(Benchmarks!L$6:L$244,MATCH(SolverWork!$B89,MutualFunds!$B$6:$B$244,0),0)</f>
        <v>0.10630862421749969</v>
      </c>
      <c r="O89" s="14" cm="1">
        <f t="array" ref="O89">INDEX(Benchmarks!M$6:M$244,MATCH(SolverWork!$B89,MutualFunds!$B$6:$B$244,0),0)</f>
        <v>0.1064101090126153</v>
      </c>
      <c r="P89" s="14" cm="1">
        <f t="array" ref="P89">INDEX(Benchmarks!N$6:N$244,MATCH(SolverWork!$B89,MutualFunds!$B$6:$B$244,0),0)</f>
        <v>5.210495182522748E-2</v>
      </c>
      <c r="Q89" s="14" cm="1">
        <f t="array" ref="Q89">INDEX(Benchmarks!O$6:O$244,MATCH(SolverWork!$B89,MutualFunds!$B$6:$B$244,0),0)</f>
        <v>3.5016892452177746E-3</v>
      </c>
      <c r="R89" s="14" cm="1">
        <f t="array" ref="R89">INDEX(Benchmarks!P$6:P$244,MATCH(SolverWork!$B89,MutualFunds!$B$6:$B$244,0),0)</f>
        <v>-1.2905674964029593E-2</v>
      </c>
      <c r="S89" s="14" cm="1">
        <f t="array" ref="S89">INDEX(Benchmarks!Q$6:Q$244,MATCH(SolverWork!$B89,MutualFunds!$B$6:$B$244,0),0)</f>
        <v>-1.35438258809594E-2</v>
      </c>
      <c r="T89" s="14" cm="1">
        <f t="array" ref="T89">INDEX(Benchmarks!R$6:R$244,MATCH(SolverWork!$B89,MutualFunds!$B$6:$B$244,0),0)</f>
        <v>6.428219727969639E-2</v>
      </c>
    </row>
    <row r="90" spans="1:20" x14ac:dyDescent="0.2">
      <c r="A90">
        <v>80</v>
      </c>
      <c r="B90" s="28">
        <f>IF(B89="","",IF(EOMONTH(B89,1)&lt;=EOMONTH(Front!$C$4,0),EOMONTH(B89,1),""))</f>
        <v>36799</v>
      </c>
      <c r="C90" s="14">
        <f>IF(B90="","",INDEX(MutualFunds!$C$6:$O$244,MATCH(B90,MutualFunds!$B$6:$B$244,0),MATCH(Front!$C$2,MutualFunds!$C$4:$O$4,0)))</f>
        <v>-1.2652889076339126E-2</v>
      </c>
      <c r="D90" s="14">
        <f t="shared" si="1"/>
        <v>-1.1060397146380364E-2</v>
      </c>
      <c r="E90" s="14" cm="1">
        <f t="array" ref="E90">INDEX(Benchmarks!C$6:C$244,MATCH(SolverWork!$B90,MutualFunds!$B$6:$B$244,0),0)</f>
        <v>5.1000000000000004E-3</v>
      </c>
      <c r="F90" s="14" cm="1">
        <f t="array" ref="F90">INDEX(Benchmarks!D$6:D$244,MATCH(SolverWork!$B90,MutualFunds!$B$6:$B$244,0),0)</f>
        <v>3.9007801560312118E-3</v>
      </c>
      <c r="G90" s="14" cm="1">
        <f t="array" ref="G90">INDEX(Benchmarks!E$6:E$244,MATCH(SolverWork!$B90,MutualFunds!$B$6:$B$244,0),0)</f>
        <v>-1.7206917528460972E-2</v>
      </c>
      <c r="H90" s="14" cm="1">
        <f t="array" ref="H90">INDEX(Benchmarks!F$6:F$244,MATCH(SolverWork!$B90,MutualFunds!$B$6:$B$244,0),0)</f>
        <v>7.6531612567557672E-3</v>
      </c>
      <c r="I90" s="14" cm="1">
        <f t="array" ref="I90">INDEX(Benchmarks!G$6:G$244,MATCH(SolverWork!$B90,MutualFunds!$B$6:$B$244,0),0)</f>
        <v>1.0588096502094007E-2</v>
      </c>
      <c r="J90" s="14" cm="1">
        <f t="array" ref="J90">INDEX(Benchmarks!H$6:H$244,MATCH(SolverWork!$B90,MutualFunds!$B$6:$B$244,0),0)</f>
        <v>-6.0039454498670795E-3</v>
      </c>
      <c r="K90" s="14" cm="1">
        <f t="array" ref="K90">INDEX(Benchmarks!I$6:I$244,MATCH(SolverWork!$B90,MutualFunds!$B$6:$B$244,0),0)</f>
        <v>-1.3691576277451352E-2</v>
      </c>
      <c r="L90" s="14" cm="1">
        <f t="array" ref="L90">INDEX(Benchmarks!J$6:J$244,MATCH(SolverWork!$B90,MutualFunds!$B$6:$B$244,0),0)</f>
        <v>-9.7981671394283279E-2</v>
      </c>
      <c r="M90" s="14" cm="1">
        <f t="array" ref="M90">INDEX(Benchmarks!K$6:K$244,MATCH(SolverWork!$B90,MutualFunds!$B$6:$B$244,0),0)</f>
        <v>-1.3342863950441294E-3</v>
      </c>
      <c r="N90" s="14" cm="1">
        <f t="array" ref="N90">INDEX(Benchmarks!L$6:L$244,MATCH(SolverWork!$B90,MutualFunds!$B$6:$B$244,0),0)</f>
        <v>-1.6929598871970489E-2</v>
      </c>
      <c r="O90" s="14" cm="1">
        <f t="array" ref="O90">INDEX(Benchmarks!M$6:M$244,MATCH(SolverWork!$B90,MutualFunds!$B$6:$B$244,0),0)</f>
        <v>-5.3963800563018277E-2</v>
      </c>
      <c r="P90" s="14" cm="1">
        <f t="array" ref="P90">INDEX(Benchmarks!N$6:N$244,MATCH(SolverWork!$B90,MutualFunds!$B$6:$B$244,0),0)</f>
        <v>6.3370752253710406E-3</v>
      </c>
      <c r="Q90" s="14" cm="1">
        <f t="array" ref="Q90">INDEX(Benchmarks!O$6:O$244,MATCH(SolverWork!$B90,MutualFunds!$B$6:$B$244,0),0)</f>
        <v>-8.8603739729908385E-2</v>
      </c>
      <c r="R90" s="14" cm="1">
        <f t="array" ref="R90">INDEX(Benchmarks!P$6:P$244,MATCH(SolverWork!$B90,MutualFunds!$B$6:$B$244,0),0)</f>
        <v>-4.7962658982498026E-2</v>
      </c>
      <c r="S90" s="14" cm="1">
        <f t="array" ref="S90">INDEX(Benchmarks!Q$6:Q$244,MATCH(SolverWork!$B90,MutualFunds!$B$6:$B$244,0),0)</f>
        <v>-0.11675003095673198</v>
      </c>
      <c r="T90" s="14" cm="1">
        <f t="array" ref="T90">INDEX(Benchmarks!R$6:R$244,MATCH(SolverWork!$B90,MutualFunds!$B$6:$B$244,0),0)</f>
        <v>-5.011589667468723E-2</v>
      </c>
    </row>
    <row r="91" spans="1:20" x14ac:dyDescent="0.2">
      <c r="A91">
        <v>81</v>
      </c>
      <c r="B91" s="28">
        <f>IF(B90="","",IF(EOMONTH(B90,1)&lt;=EOMONTH(Front!$C$4,0),EOMONTH(B90,1),""))</f>
        <v>36830</v>
      </c>
      <c r="C91" s="14">
        <f>IF(B91="","",INDEX(MutualFunds!$C$6:$O$244,MATCH(B91,MutualFunds!$B$6:$B$244,0),MATCH(Front!$C$2,MutualFunds!$C$4:$O$4,0)))</f>
        <v>1.2815036309269574E-2</v>
      </c>
      <c r="D91" s="14">
        <f t="shared" si="1"/>
        <v>-4.4820638465528362E-3</v>
      </c>
      <c r="E91" s="14" cm="1">
        <f t="array" ref="E91">INDEX(Benchmarks!C$6:C$244,MATCH(SolverWork!$B91,MutualFunds!$B$6:$B$244,0),0)</f>
        <v>5.6000000000000008E-3</v>
      </c>
      <c r="F91" s="14" cm="1">
        <f t="array" ref="F91">INDEX(Benchmarks!D$6:D$244,MATCH(SolverWork!$B91,MutualFunds!$B$6:$B$244,0),0)</f>
        <v>1.7933645511606317E-3</v>
      </c>
      <c r="G91" s="14" cm="1">
        <f t="array" ref="G91">INDEX(Benchmarks!E$6:E$244,MATCH(SolverWork!$B91,MutualFunds!$B$6:$B$244,0),0)</f>
        <v>9.1077902555486874E-3</v>
      </c>
      <c r="H91" s="14" cm="1">
        <f t="array" ref="H91">INDEX(Benchmarks!F$6:F$244,MATCH(SolverWork!$B91,MutualFunds!$B$6:$B$244,0),0)</f>
        <v>-3.2270832008502934E-4</v>
      </c>
      <c r="I91" s="14" cm="1">
        <f t="array" ref="I91">INDEX(Benchmarks!G$6:G$244,MATCH(SolverWork!$B91,MutualFunds!$B$6:$B$244,0),0)</f>
        <v>7.1350206181666851E-3</v>
      </c>
      <c r="J91" s="14" cm="1">
        <f t="array" ref="J91">INDEX(Benchmarks!H$6:H$244,MATCH(SolverWork!$B91,MutualFunds!$B$6:$B$244,0),0)</f>
        <v>4.9184571576495585E-3</v>
      </c>
      <c r="K91" s="14" cm="1">
        <f t="array" ref="K91">INDEX(Benchmarks!I$6:I$244,MATCH(SolverWork!$B91,MutualFunds!$B$6:$B$244,0),0)</f>
        <v>2.2537308032276565E-3</v>
      </c>
      <c r="L91" s="14" cm="1">
        <f t="array" ref="L91">INDEX(Benchmarks!J$6:J$244,MATCH(SolverWork!$B91,MutualFunds!$B$6:$B$244,0),0)</f>
        <v>-2.6246084253558864E-2</v>
      </c>
      <c r="M91" s="14" cm="1">
        <f t="array" ref="M91">INDEX(Benchmarks!K$6:K$244,MATCH(SolverWork!$B91,MutualFunds!$B$6:$B$244,0),0)</f>
        <v>1.743252055796778E-2</v>
      </c>
      <c r="N91" s="14" cm="1">
        <f t="array" ref="N91">INDEX(Benchmarks!L$6:L$244,MATCH(SolverWork!$B91,MutualFunds!$B$6:$B$244,0),0)</f>
        <v>-2.8928544817822761E-2</v>
      </c>
      <c r="O91" s="14" cm="1">
        <f t="array" ref="O91">INDEX(Benchmarks!M$6:M$244,MATCH(SolverWork!$B91,MutualFunds!$B$6:$B$244,0),0)</f>
        <v>-6.73819592492923E-2</v>
      </c>
      <c r="P91" s="14" cm="1">
        <f t="array" ref="P91">INDEX(Benchmarks!N$6:N$244,MATCH(SolverWork!$B91,MutualFunds!$B$6:$B$244,0),0)</f>
        <v>3.5131577701391407E-3</v>
      </c>
      <c r="Q91" s="14" cm="1">
        <f t="array" ref="Q91">INDEX(Benchmarks!O$6:O$244,MATCH(SolverWork!$B91,MutualFunds!$B$6:$B$244,0),0)</f>
        <v>-7.3009680569695243E-2</v>
      </c>
      <c r="R91" s="14" cm="1">
        <f t="array" ref="R91">INDEX(Benchmarks!P$6:P$244,MATCH(SolverWork!$B91,MutualFunds!$B$6:$B$244,0),0)</f>
        <v>-8.7433232737077239E-3</v>
      </c>
      <c r="S91" s="14" cm="1">
        <f t="array" ref="S91">INDEX(Benchmarks!Q$6:Q$244,MATCH(SolverWork!$B91,MutualFunds!$B$6:$B$244,0),0)</f>
        <v>-7.9184491921813913E-2</v>
      </c>
      <c r="T91" s="14" cm="1">
        <f t="array" ref="T91">INDEX(Benchmarks!R$6:R$244,MATCH(SolverWork!$B91,MutualFunds!$B$6:$B$244,0),0)</f>
        <v>-5.8448678743609581E-2</v>
      </c>
    </row>
    <row r="92" spans="1:20" x14ac:dyDescent="0.2">
      <c r="A92">
        <v>82</v>
      </c>
      <c r="B92" s="28">
        <f>IF(B91="","",IF(EOMONTH(B91,1)&lt;=EOMONTH(Front!$C$4,0),EOMONTH(B91,1),""))</f>
        <v>36860</v>
      </c>
      <c r="C92" s="14">
        <f>IF(B92="","",INDEX(MutualFunds!$C$6:$O$244,MATCH(B92,MutualFunds!$B$6:$B$244,0),MATCH(Front!$C$2,MutualFunds!$C$4:$O$4,0)))</f>
        <v>-1.1387600168705169E-2</v>
      </c>
      <c r="D92" s="14">
        <f t="shared" si="1"/>
        <v>4.0489628565597235E-2</v>
      </c>
      <c r="E92" s="14" cm="1">
        <f t="array" ref="E92">INDEX(Benchmarks!C$6:C$244,MATCH(SolverWork!$B92,MutualFunds!$B$6:$B$244,0),0)</f>
        <v>5.1000000000000004E-3</v>
      </c>
      <c r="F92" s="14" cm="1">
        <f t="array" ref="F92">INDEX(Benchmarks!D$6:D$244,MATCH(SolverWork!$B92,MutualFunds!$B$6:$B$244,0),0)</f>
        <v>1.0641471904525185E-2</v>
      </c>
      <c r="G92" s="14" cm="1">
        <f t="array" ref="G92">INDEX(Benchmarks!E$6:E$244,MATCH(SolverWork!$B92,MutualFunds!$B$6:$B$244,0),0)</f>
        <v>2.5236593059936866E-2</v>
      </c>
      <c r="H92" s="14" cm="1">
        <f t="array" ref="H92">INDEX(Benchmarks!F$6:F$244,MATCH(SolverWork!$B92,MutualFunds!$B$6:$B$244,0),0)</f>
        <v>1.4236980449905786E-2</v>
      </c>
      <c r="I92" s="14" cm="1">
        <f t="array" ref="I92">INDEX(Benchmarks!G$6:G$244,MATCH(SolverWork!$B92,MutualFunds!$B$6:$B$244,0),0)</f>
        <v>1.4942753252997569E-2</v>
      </c>
      <c r="J92" s="14" cm="1">
        <f t="array" ref="J92">INDEX(Benchmarks!H$6:H$244,MATCH(SolverWork!$B92,MutualFunds!$B$6:$B$244,0),0)</f>
        <v>2.1123132405976245E-2</v>
      </c>
      <c r="K92" s="14" cm="1">
        <f t="array" ref="K92">INDEX(Benchmarks!I$6:I$244,MATCH(SolverWork!$B92,MutualFunds!$B$6:$B$244,0),0)</f>
        <v>9.2153662071348605E-2</v>
      </c>
      <c r="L92" s="14" cm="1">
        <f t="array" ref="L92">INDEX(Benchmarks!J$6:J$244,MATCH(SolverWork!$B92,MutualFunds!$B$6:$B$244,0),0)</f>
        <v>-0.10682035548820629</v>
      </c>
      <c r="M92" s="14" cm="1">
        <f t="array" ref="M92">INDEX(Benchmarks!K$6:K$244,MATCH(SolverWork!$B92,MutualFunds!$B$6:$B$244,0),0)</f>
        <v>-5.31524067097097E-2</v>
      </c>
      <c r="N92" s="14" cm="1">
        <f t="array" ref="N92">INDEX(Benchmarks!L$6:L$244,MATCH(SolverWork!$B92,MutualFunds!$B$6:$B$244,0),0)</f>
        <v>-7.9031670215418931E-2</v>
      </c>
      <c r="O92" s="14" cm="1">
        <f t="array" ref="O92">INDEX(Benchmarks!M$6:M$244,MATCH(SolverWork!$B92,MutualFunds!$B$6:$B$244,0),0)</f>
        <v>-0.18839369362134964</v>
      </c>
      <c r="P92" s="14" cm="1">
        <f t="array" ref="P92">INDEX(Benchmarks!N$6:N$244,MATCH(SolverWork!$B92,MutualFunds!$B$6:$B$244,0),0)</f>
        <v>-4.1802706324193329E-3</v>
      </c>
      <c r="Q92" s="14" cm="1">
        <f t="array" ref="Q92">INDEX(Benchmarks!O$6:O$244,MATCH(SolverWork!$B92,MutualFunds!$B$6:$B$244,0),0)</f>
        <v>-8.8001296643537563E-2</v>
      </c>
      <c r="R92" s="14" cm="1">
        <f t="array" ref="R92">INDEX(Benchmarks!P$6:P$244,MATCH(SolverWork!$B92,MutualFunds!$B$6:$B$244,0),0)</f>
        <v>-3.9900588748413214E-2</v>
      </c>
      <c r="S92" s="14" cm="1">
        <f t="array" ref="S92">INDEX(Benchmarks!Q$6:Q$244,MATCH(SolverWork!$B92,MutualFunds!$B$6:$B$244,0),0)</f>
        <v>-5.0976248915791514E-2</v>
      </c>
      <c r="T92" s="14" cm="1">
        <f t="array" ref="T92">INDEX(Benchmarks!R$6:R$244,MATCH(SolverWork!$B92,MutualFunds!$B$6:$B$244,0),0)</f>
        <v>-4.2029391503209279E-2</v>
      </c>
    </row>
    <row r="93" spans="1:20" x14ac:dyDescent="0.2">
      <c r="A93">
        <v>83</v>
      </c>
      <c r="B93" s="28">
        <f>IF(B92="","",IF(EOMONTH(B92,1)&lt;=EOMONTH(Front!$C$4,0),EOMONTH(B92,1),""))</f>
        <v>36891</v>
      </c>
      <c r="C93" s="14">
        <f>IF(B93="","",INDEX(MutualFunds!$C$6:$O$244,MATCH(B93,MutualFunds!$B$6:$B$244,0),MATCH(Front!$C$2,MutualFunds!$C$4:$O$4,0)))</f>
        <v>8.2764505119453977E-2</v>
      </c>
      <c r="D93" s="14">
        <f t="shared" si="1"/>
        <v>3.2961173957133709E-2</v>
      </c>
      <c r="E93" s="14" cm="1">
        <f t="array" ref="E93">INDEX(Benchmarks!C$6:C$244,MATCH(SolverWork!$B93,MutualFunds!$B$6:$B$244,0),0)</f>
        <v>5.0000000000000001E-3</v>
      </c>
      <c r="F93" s="14" cm="1">
        <f t="array" ref="F93">INDEX(Benchmarks!D$6:D$244,MATCH(SolverWork!$B93,MutualFunds!$B$6:$B$244,0),0)</f>
        <v>1.2792757331233981E-2</v>
      </c>
      <c r="G93" s="14" cm="1">
        <f t="array" ref="G93">INDEX(Benchmarks!E$6:E$244,MATCH(SolverWork!$B93,MutualFunds!$B$6:$B$244,0),0)</f>
        <v>1.8290598290598297E-2</v>
      </c>
      <c r="H93" s="14" cm="1">
        <f t="array" ref="H93">INDEX(Benchmarks!F$6:F$244,MATCH(SolverWork!$B93,MutualFunds!$B$6:$B$244,0),0)</f>
        <v>1.917175760457877E-2</v>
      </c>
      <c r="I93" s="14" cm="1">
        <f t="array" ref="I93">INDEX(Benchmarks!G$6:G$244,MATCH(SolverWork!$B93,MutualFunds!$B$6:$B$244,0),0)</f>
        <v>1.6639895778588709E-2</v>
      </c>
      <c r="J93" s="14" cm="1">
        <f t="array" ref="J93">INDEX(Benchmarks!H$6:H$244,MATCH(SolverWork!$B93,MutualFunds!$B$6:$B$244,0),0)</f>
        <v>9.1658257652203444E-3</v>
      </c>
      <c r="K93" s="14" cm="1">
        <f t="array" ref="K93">INDEX(Benchmarks!I$6:I$244,MATCH(SolverWork!$B93,MutualFunds!$B$6:$B$244,0),0)</f>
        <v>-2.0617824013350883E-2</v>
      </c>
      <c r="L93" s="14" cm="1">
        <f t="array" ref="L93">INDEX(Benchmarks!J$6:J$244,MATCH(SolverWork!$B93,MutualFunds!$B$6:$B$244,0),0)</f>
        <v>-4.3860990974704091E-2</v>
      </c>
      <c r="M93" s="14" cm="1">
        <f t="array" ref="M93">INDEX(Benchmarks!K$6:K$244,MATCH(SolverWork!$B93,MutualFunds!$B$6:$B$244,0),0)</f>
        <v>5.0324434097776052E-2</v>
      </c>
      <c r="N93" s="14" cm="1">
        <f t="array" ref="N93">INDEX(Benchmarks!L$6:L$244,MATCH(SolverWork!$B93,MutualFunds!$B$6:$B$244,0),0)</f>
        <v>9.1270750453021285E-2</v>
      </c>
      <c r="O93" s="14" cm="1">
        <f t="array" ref="O93">INDEX(Benchmarks!M$6:M$244,MATCH(SolverWork!$B93,MutualFunds!$B$6:$B$244,0),0)</f>
        <v>6.0018205324397778E-2</v>
      </c>
      <c r="P93" s="14" cm="1">
        <f t="array" ref="P93">INDEX(Benchmarks!N$6:N$244,MATCH(SolverWork!$B93,MutualFunds!$B$6:$B$244,0),0)</f>
        <v>0.1292511205238272</v>
      </c>
      <c r="Q93" s="14" cm="1">
        <f t="array" ref="Q93">INDEX(Benchmarks!O$6:O$244,MATCH(SolverWork!$B93,MutualFunds!$B$6:$B$244,0),0)</f>
        <v>2.2787998382134883E-2</v>
      </c>
      <c r="R93" s="14" cm="1">
        <f t="array" ref="R93">INDEX(Benchmarks!P$6:P$244,MATCH(SolverWork!$B93,MutualFunds!$B$6:$B$244,0),0)</f>
        <v>6.764508598347703E-2</v>
      </c>
      <c r="S93" s="14" cm="1">
        <f t="array" ref="S93">INDEX(Benchmarks!Q$6:Q$244,MATCH(SolverWork!$B93,MutualFunds!$B$6:$B$244,0),0)</f>
        <v>-2.8925760455811591E-3</v>
      </c>
      <c r="T93" s="14" cm="1">
        <f t="array" ref="T93">INDEX(Benchmarks!R$6:R$244,MATCH(SolverWork!$B93,MutualFunds!$B$6:$B$244,0),0)</f>
        <v>-6.130426466368967E-2</v>
      </c>
    </row>
    <row r="94" spans="1:20" x14ac:dyDescent="0.2">
      <c r="A94">
        <v>84</v>
      </c>
      <c r="B94" s="28">
        <f>IF(B93="","",IF(EOMONTH(B93,1)&lt;=EOMONTH(Front!$C$4,0),EOMONTH(B93,1),""))</f>
        <v>36922</v>
      </c>
      <c r="C94" s="14">
        <f>IF(B94="","",INDEX(MutualFunds!$C$6:$O$244,MATCH(B94,MutualFunds!$B$6:$B$244,0),MATCH(Front!$C$2,MutualFunds!$C$4:$O$4,0)))</f>
        <v>7.0921985815602714E-3</v>
      </c>
      <c r="D94" s="14">
        <f t="shared" si="1"/>
        <v>-3.321109871497873E-2</v>
      </c>
      <c r="E94" s="14" cm="1">
        <f t="array" ref="E94">INDEX(Benchmarks!C$6:C$244,MATCH(SolverWork!$B94,MutualFunds!$B$6:$B$244,0),0)</f>
        <v>5.4000000000000003E-3</v>
      </c>
      <c r="F94" s="14" cm="1">
        <f t="array" ref="F94">INDEX(Benchmarks!D$6:D$244,MATCH(SolverWork!$B94,MutualFunds!$B$6:$B$244,0),0)</f>
        <v>8.1616789739603901E-3</v>
      </c>
      <c r="G94" s="14" cm="1">
        <f t="array" ref="G94">INDEX(Benchmarks!E$6:E$244,MATCH(SolverWork!$B94,MutualFunds!$B$6:$B$244,0),0)</f>
        <v>-3.5252643948296266E-3</v>
      </c>
      <c r="H94" s="14" cm="1">
        <f t="array" ref="H94">INDEX(Benchmarks!F$6:F$244,MATCH(SolverWork!$B94,MutualFunds!$B$6:$B$244,0),0)</f>
        <v>2.6750728838872896E-2</v>
      </c>
      <c r="I94" s="14" cm="1">
        <f t="array" ref="I94">INDEX(Benchmarks!G$6:G$244,MATCH(SolverWork!$B94,MutualFunds!$B$6:$B$244,0),0)</f>
        <v>1.4685645636899808E-2</v>
      </c>
      <c r="J94" s="14" cm="1">
        <f t="array" ref="J94">INDEX(Benchmarks!H$6:H$244,MATCH(SolverWork!$B94,MutualFunds!$B$6:$B$244,0),0)</f>
        <v>-1.4998750104158554E-3</v>
      </c>
      <c r="K94" s="14" cm="1">
        <f t="array" ref="K94">INDEX(Benchmarks!I$6:I$244,MATCH(SolverWork!$B94,MutualFunds!$B$6:$B$244,0),0)</f>
        <v>-5.307459344467972E-2</v>
      </c>
      <c r="L94" s="14" cm="1">
        <f t="array" ref="L94">INDEX(Benchmarks!J$6:J$244,MATCH(SolverWork!$B94,MutualFunds!$B$6:$B$244,0),0)</f>
        <v>2.8012508181223167E-2</v>
      </c>
      <c r="M94" s="14" cm="1">
        <f t="array" ref="M94">INDEX(Benchmarks!K$6:K$244,MATCH(SolverWork!$B94,MutualFunds!$B$6:$B$244,0),0)</f>
        <v>4.1028059419948165E-2</v>
      </c>
      <c r="N94" s="14" cm="1">
        <f t="array" ref="N94">INDEX(Benchmarks!L$6:L$244,MATCH(SolverWork!$B94,MutualFunds!$B$6:$B$244,0),0)</f>
        <v>1.5231042314812863E-2</v>
      </c>
      <c r="O94" s="14" cm="1">
        <f t="array" ref="O94">INDEX(Benchmarks!M$6:M$244,MATCH(SolverWork!$B94,MutualFunds!$B$6:$B$244,0),0)</f>
        <v>7.6053340634586797E-2</v>
      </c>
      <c r="P94" s="14" cm="1">
        <f t="array" ref="P94">INDEX(Benchmarks!N$6:N$244,MATCH(SolverWork!$B94,MutualFunds!$B$6:$B$244,0),0)</f>
        <v>6.9647817002452543E-4</v>
      </c>
      <c r="Q94" s="14" cm="1">
        <f t="array" ref="Q94">INDEX(Benchmarks!O$6:O$244,MATCH(SolverWork!$B94,MutualFunds!$B$6:$B$244,0),0)</f>
        <v>0.13550014529963175</v>
      </c>
      <c r="R94" s="14" cm="1">
        <f t="array" ref="R94">INDEX(Benchmarks!P$6:P$244,MATCH(SolverWork!$B94,MutualFunds!$B$6:$B$244,0),0)</f>
        <v>1.8789955861741805E-4</v>
      </c>
      <c r="S94" s="14" cm="1">
        <f t="array" ref="S94">INDEX(Benchmarks!Q$6:Q$244,MATCH(SolverWork!$B94,MutualFunds!$B$6:$B$244,0),0)</f>
        <v>0.13374678212029012</v>
      </c>
      <c r="T94" s="14" cm="1">
        <f t="array" ref="T94">INDEX(Benchmarks!R$6:R$244,MATCH(SolverWork!$B94,MutualFunds!$B$6:$B$244,0),0)</f>
        <v>-1.1949260900555805E-2</v>
      </c>
    </row>
    <row r="95" spans="1:20" x14ac:dyDescent="0.2">
      <c r="A95">
        <v>85</v>
      </c>
      <c r="B95" s="28">
        <f>IF(B94="","",IF(EOMONTH(B94,1)&lt;=EOMONTH(Front!$C$4,0),EOMONTH(B94,1),""))</f>
        <v>36950</v>
      </c>
      <c r="C95" s="14">
        <f>IF(B95="","",INDEX(MutualFunds!$C$6:$O$244,MATCH(B95,MutualFunds!$B$6:$B$244,0),MATCH(Front!$C$2,MutualFunds!$C$4:$O$4,0)))</f>
        <v>6.6510172143974229E-3</v>
      </c>
      <c r="D95" s="14">
        <f t="shared" si="1"/>
        <v>7.3395140890423496E-2</v>
      </c>
      <c r="E95" s="14" cm="1">
        <f t="array" ref="E95">INDEX(Benchmarks!C$6:C$244,MATCH(SolverWork!$B95,MutualFunds!$B$6:$B$244,0),0)</f>
        <v>3.8E-3</v>
      </c>
      <c r="F95" s="14" cm="1">
        <f t="array" ref="F95">INDEX(Benchmarks!D$6:D$244,MATCH(SolverWork!$B95,MutualFunds!$B$6:$B$244,0),0)</f>
        <v>4.4333076329991688E-3</v>
      </c>
      <c r="G95" s="14" cm="1">
        <f t="array" ref="G95">INDEX(Benchmarks!E$6:E$244,MATCH(SolverWork!$B95,MutualFunds!$B$6:$B$244,0),0)</f>
        <v>8.9285714285714472E-3</v>
      </c>
      <c r="H95" s="14" cm="1">
        <f t="array" ref="H95">INDEX(Benchmarks!F$6:F$244,MATCH(SolverWork!$B95,MutualFunds!$B$6:$B$244,0),0)</f>
        <v>9.8117623063007538E-3</v>
      </c>
      <c r="I95" s="14" cm="1">
        <f t="array" ref="I95">INDEX(Benchmarks!G$6:G$244,MATCH(SolverWork!$B95,MutualFunds!$B$6:$B$244,0),0)</f>
        <v>5.9710886550341097E-3</v>
      </c>
      <c r="J95" s="14" cm="1">
        <f t="array" ref="J95">INDEX(Benchmarks!H$6:H$244,MATCH(SolverWork!$B95,MutualFunds!$B$6:$B$244,0),0)</f>
        <v>-2.8373529166318052E-3</v>
      </c>
      <c r="K95" s="14" cm="1">
        <f t="array" ref="K95">INDEX(Benchmarks!I$6:I$244,MATCH(SolverWork!$B95,MutualFunds!$B$6:$B$244,0),0)</f>
        <v>-1.3957100120934303E-2</v>
      </c>
      <c r="L95" s="14" cm="1">
        <f t="array" ref="L95">INDEX(Benchmarks!J$6:J$244,MATCH(SolverWork!$B95,MutualFunds!$B$6:$B$244,0),0)</f>
        <v>-0.11798078691586154</v>
      </c>
      <c r="M95" s="14" cm="1">
        <f t="array" ref="M95">INDEX(Benchmarks!K$6:K$244,MATCH(SolverWork!$B95,MutualFunds!$B$6:$B$244,0),0)</f>
        <v>-6.7995469988674936E-2</v>
      </c>
      <c r="N95" s="14" cm="1">
        <f t="array" ref="N95">INDEX(Benchmarks!L$6:L$244,MATCH(SolverWork!$B95,MutualFunds!$B$6:$B$244,0),0)</f>
        <v>-6.4277791355680361E-2</v>
      </c>
      <c r="O95" s="14" cm="1">
        <f t="array" ref="O95">INDEX(Benchmarks!M$6:M$244,MATCH(SolverWork!$B95,MutualFunds!$B$6:$B$244,0),0)</f>
        <v>-0.1431371982073153</v>
      </c>
      <c r="P95" s="14" cm="1">
        <f t="array" ref="P95">INDEX(Benchmarks!N$6:N$244,MATCH(SolverWork!$B95,MutualFunds!$B$6:$B$244,0),0)</f>
        <v>9.7439079611586349E-3</v>
      </c>
      <c r="Q95" s="14" cm="1">
        <f t="array" ref="Q95">INDEX(Benchmarks!O$6:O$244,MATCH(SolverWork!$B95,MutualFunds!$B$6:$B$244,0),0)</f>
        <v>-7.9145801562969936E-2</v>
      </c>
      <c r="R95" s="14" cm="1">
        <f t="array" ref="R95">INDEX(Benchmarks!P$6:P$244,MATCH(SolverWork!$B95,MutualFunds!$B$6:$B$244,0),0)</f>
        <v>-8.8887357605782341E-2</v>
      </c>
      <c r="S95" s="14" cm="1">
        <f t="array" ref="S95">INDEX(Benchmarks!Q$6:Q$244,MATCH(SolverWork!$B95,MutualFunds!$B$6:$B$244,0),0)</f>
        <v>-4.9046169195307396E-2</v>
      </c>
      <c r="T95" s="14" cm="1">
        <f t="array" ref="T95">INDEX(Benchmarks!R$6:R$244,MATCH(SolverWork!$B95,MutualFunds!$B$6:$B$244,0),0)</f>
        <v>-4.5070262779981315E-2</v>
      </c>
    </row>
    <row r="96" spans="1:20" x14ac:dyDescent="0.2">
      <c r="A96">
        <v>86</v>
      </c>
      <c r="B96" s="28">
        <f>IF(B95="","",IF(EOMONTH(B95,1)&lt;=EOMONTH(Front!$C$4,0),EOMONTH(B95,1),""))</f>
        <v>36981</v>
      </c>
      <c r="C96" s="14">
        <f>IF(B96="","",INDEX(MutualFunds!$C$6:$O$244,MATCH(B96,MutualFunds!$B$6:$B$244,0),MATCH(Front!$C$2,MutualFunds!$C$4:$O$4,0)))</f>
        <v>-2.6428293820443052E-2</v>
      </c>
      <c r="D96" s="14">
        <f t="shared" si="1"/>
        <v>1.3516587583366206E-2</v>
      </c>
      <c r="E96" s="14" cm="1">
        <f t="array" ref="E96">INDEX(Benchmarks!C$6:C$244,MATCH(SolverWork!$B96,MutualFunds!$B$6:$B$244,0),0)</f>
        <v>4.1999999999999997E-3</v>
      </c>
      <c r="F96" s="14" cm="1">
        <f t="array" ref="F96">INDEX(Benchmarks!D$6:D$244,MATCH(SolverWork!$B96,MutualFunds!$B$6:$B$244,0),0)</f>
        <v>1.8230665899059463E-3</v>
      </c>
      <c r="G96" s="14" cm="1">
        <f t="array" ref="G96">INDEX(Benchmarks!E$6:E$244,MATCH(SolverWork!$B96,MutualFunds!$B$6:$B$244,0),0)</f>
        <v>-1.1020203706795736E-2</v>
      </c>
      <c r="H96" s="14" cm="1">
        <f t="array" ref="H96">INDEX(Benchmarks!F$6:F$244,MATCH(SolverWork!$B96,MutualFunds!$B$6:$B$244,0),0)</f>
        <v>7.5911800923097669E-3</v>
      </c>
      <c r="I96" s="14" cm="1">
        <f t="array" ref="I96">INDEX(Benchmarks!G$6:G$244,MATCH(SolverWork!$B96,MutualFunds!$B$6:$B$244,0),0)</f>
        <v>6.3249025076450036E-3</v>
      </c>
      <c r="J96" s="14" cm="1">
        <f t="array" ref="J96">INDEX(Benchmarks!H$6:H$244,MATCH(SolverWork!$B96,MutualFunds!$B$6:$B$244,0),0)</f>
        <v>-3.0964934304126245E-3</v>
      </c>
      <c r="K96" s="14" cm="1">
        <f t="array" ref="K96">INDEX(Benchmarks!I$6:I$244,MATCH(SolverWork!$B96,MutualFunds!$B$6:$B$244,0),0)</f>
        <v>-3.919513133467431E-2</v>
      </c>
      <c r="L96" s="14" cm="1">
        <f t="array" ref="L96">INDEX(Benchmarks!J$6:J$244,MATCH(SolverWork!$B96,MutualFunds!$B$6:$B$244,0),0)</f>
        <v>-9.0853678098232318E-2</v>
      </c>
      <c r="M96" s="14" cm="1">
        <f t="array" ref="M96">INDEX(Benchmarks!K$6:K$244,MATCH(SolverWork!$B96,MutualFunds!$B$6:$B$244,0),0)</f>
        <v>-4.0423187842260531E-2</v>
      </c>
      <c r="N96" s="14" cm="1">
        <f t="array" ref="N96">INDEX(Benchmarks!L$6:L$244,MATCH(SolverWork!$B96,MutualFunds!$B$6:$B$244,0),0)</f>
        <v>-6.4423772402153814E-2</v>
      </c>
      <c r="O96" s="14" cm="1">
        <f t="array" ref="O96">INDEX(Benchmarks!M$6:M$244,MATCH(SolverWork!$B96,MutualFunds!$B$6:$B$244,0),0)</f>
        <v>-0.10878500131602928</v>
      </c>
      <c r="P96" s="14" cm="1">
        <f t="array" ref="P96">INDEX(Benchmarks!N$6:N$244,MATCH(SolverWork!$B96,MutualFunds!$B$6:$B$244,0),0)</f>
        <v>-2.5129550890247133E-2</v>
      </c>
      <c r="Q96" s="14" cm="1">
        <f t="array" ref="Q96">INDEX(Benchmarks!O$6:O$244,MATCH(SolverWork!$B96,MutualFunds!$B$6:$B$244,0),0)</f>
        <v>-0.10281814431099284</v>
      </c>
      <c r="R96" s="14" cm="1">
        <f t="array" ref="R96">INDEX(Benchmarks!P$6:P$244,MATCH(SolverWork!$B96,MutualFunds!$B$6:$B$244,0),0)</f>
        <v>-7.6686755140871407E-2</v>
      </c>
      <c r="S96" s="14" cm="1">
        <f t="array" ref="S96">INDEX(Benchmarks!Q$6:Q$244,MATCH(SolverWork!$B96,MutualFunds!$B$6:$B$244,0),0)</f>
        <v>-0.10953235864713678</v>
      </c>
      <c r="T96" s="14" cm="1">
        <f t="array" ref="T96">INDEX(Benchmarks!R$6:R$244,MATCH(SolverWork!$B96,MutualFunds!$B$6:$B$244,0),0)</f>
        <v>-3.2797302123913019E-2</v>
      </c>
    </row>
    <row r="97" spans="1:20" x14ac:dyDescent="0.2">
      <c r="A97">
        <v>87</v>
      </c>
      <c r="B97" s="28">
        <f>IF(B96="","",IF(EOMONTH(B96,1)&lt;=EOMONTH(Front!$C$4,0),EOMONTH(B96,1),""))</f>
        <v>37011</v>
      </c>
      <c r="C97" s="14">
        <f>IF(B97="","",INDEX(MutualFunds!$C$6:$O$244,MATCH(B97,MutualFunds!$B$6:$B$244,0),MATCH(Front!$C$2,MutualFunds!$C$4:$O$4,0)))</f>
        <v>5.9081836327345323E-2</v>
      </c>
      <c r="D97" s="14">
        <f t="shared" si="1"/>
        <v>-5.9626551361430039E-3</v>
      </c>
      <c r="E97" s="14" cm="1">
        <f t="array" ref="E97">INDEX(Benchmarks!C$6:C$244,MATCH(SolverWork!$B97,MutualFunds!$B$6:$B$244,0),0)</f>
        <v>3.9000000000000003E-3</v>
      </c>
      <c r="F97" s="14" cm="1">
        <f t="array" ref="F97">INDEX(Benchmarks!D$6:D$244,MATCH(SolverWork!$B97,MutualFunds!$B$6:$B$244,0),0)</f>
        <v>-8.8114165309835027E-3</v>
      </c>
      <c r="G97" s="14" cm="1">
        <f t="array" ref="G97">INDEX(Benchmarks!E$6:E$244,MATCH(SolverWork!$B97,MutualFunds!$B$6:$B$244,0),0)</f>
        <v>-3.359783893297319E-2</v>
      </c>
      <c r="H97" s="14" cm="1">
        <f t="array" ref="H97">INDEX(Benchmarks!F$6:F$244,MATCH(SolverWork!$B97,MutualFunds!$B$6:$B$244,0),0)</f>
        <v>-5.0783423994992579E-3</v>
      </c>
      <c r="I97" s="14" cm="1">
        <f t="array" ref="I97">INDEX(Benchmarks!G$6:G$244,MATCH(SolverWork!$B97,MutualFunds!$B$6:$B$244,0),0)</f>
        <v>9.5082252730446825E-4</v>
      </c>
      <c r="J97" s="14" cm="1">
        <f t="array" ref="J97">INDEX(Benchmarks!H$6:H$244,MATCH(SolverWork!$B97,MutualFunds!$B$6:$B$244,0),0)</f>
        <v>-3.374748153122898E-2</v>
      </c>
      <c r="K97" s="14" cm="1">
        <f t="array" ref="K97">INDEX(Benchmarks!I$6:I$244,MATCH(SolverWork!$B97,MutualFunds!$B$6:$B$244,0),0)</f>
        <v>5.3704116760231471E-2</v>
      </c>
      <c r="L97" s="14" cm="1">
        <f t="array" ref="L97">INDEX(Benchmarks!J$6:J$244,MATCH(SolverWork!$B97,MutualFunds!$B$6:$B$244,0),0)</f>
        <v>8.878224355128983E-2</v>
      </c>
      <c r="M97" s="14" cm="1">
        <f t="array" ref="M97">INDEX(Benchmarks!K$6:K$244,MATCH(SolverWork!$B97,MutualFunds!$B$6:$B$244,0),0)</f>
        <v>6.6675671568710237E-2</v>
      </c>
      <c r="N97" s="14" cm="1">
        <f t="array" ref="N97">INDEX(Benchmarks!L$6:L$244,MATCH(SolverWork!$B97,MutualFunds!$B$6:$B$244,0),0)</f>
        <v>0.11416177212743345</v>
      </c>
      <c r="O97" s="14" cm="1">
        <f t="array" ref="O97">INDEX(Benchmarks!M$6:M$244,MATCH(SolverWork!$B97,MutualFunds!$B$6:$B$244,0),0)</f>
        <v>0.13896587759552909</v>
      </c>
      <c r="P97" s="14" cm="1">
        <f t="array" ref="P97">INDEX(Benchmarks!N$6:N$244,MATCH(SolverWork!$B97,MutualFunds!$B$6:$B$244,0),0)</f>
        <v>4.3231961836612993E-2</v>
      </c>
      <c r="Q97" s="14" cm="1">
        <f t="array" ref="Q97">INDEX(Benchmarks!O$6:O$244,MATCH(SolverWork!$B97,MutualFunds!$B$6:$B$244,0),0)</f>
        <v>4.6532199860764165E-2</v>
      </c>
      <c r="R97" s="14" cm="1">
        <f t="array" ref="R97">INDEX(Benchmarks!P$6:P$244,MATCH(SolverWork!$B97,MutualFunds!$B$6:$B$244,0),0)</f>
        <v>6.837141085875531E-2</v>
      </c>
      <c r="S97" s="14" cm="1">
        <f t="array" ref="S97">INDEX(Benchmarks!Q$6:Q$244,MATCH(SolverWork!$B97,MutualFunds!$B$6:$B$244,0),0)</f>
        <v>1.5083032857650554E-3</v>
      </c>
      <c r="T97" s="14" cm="1">
        <f t="array" ref="T97">INDEX(Benchmarks!R$6:R$244,MATCH(SolverWork!$B97,MutualFunds!$B$6:$B$244,0),0)</f>
        <v>6.7745024368250445E-2</v>
      </c>
    </row>
    <row r="98" spans="1:20" x14ac:dyDescent="0.2">
      <c r="A98">
        <v>88</v>
      </c>
      <c r="B98" s="28">
        <f>IF(B97="","",IF(EOMONTH(B97,1)&lt;=EOMONTH(Front!$C$4,0),EOMONTH(B97,1),""))</f>
        <v>37042</v>
      </c>
      <c r="C98" s="14">
        <f>IF(B98="","",INDEX(MutualFunds!$C$6:$O$244,MATCH(B98,MutualFunds!$B$6:$B$244,0),MATCH(Front!$C$2,MutualFunds!$C$4:$O$4,0)))</f>
        <v>3.0531473803241563E-2</v>
      </c>
      <c r="D98" s="14">
        <f t="shared" si="1"/>
        <v>2.263007437146565E-2</v>
      </c>
      <c r="E98" s="14" cm="1">
        <f t="array" ref="E98">INDEX(Benchmarks!C$6:C$244,MATCH(SolverWork!$B98,MutualFunds!$B$6:$B$244,0),0)</f>
        <v>3.2000000000000002E-3</v>
      </c>
      <c r="F98" s="14" cm="1">
        <f t="array" ref="F98">INDEX(Benchmarks!D$6:D$244,MATCH(SolverWork!$B98,MutualFunds!$B$6:$B$244,0),0)</f>
        <v>-1.4494154024543983E-3</v>
      </c>
      <c r="G98" s="14" cm="1">
        <f t="array" ref="G98">INDEX(Benchmarks!E$6:E$244,MATCH(SolverWork!$B98,MutualFunds!$B$6:$B$244,0),0)</f>
        <v>-5.3284416491963613E-3</v>
      </c>
      <c r="H98" s="14" cm="1">
        <f t="array" ref="H98">INDEX(Benchmarks!F$6:F$244,MATCH(SolverWork!$B98,MutualFunds!$B$6:$B$244,0),0)</f>
        <v>1.0218247919102259E-2</v>
      </c>
      <c r="I98" s="14" cm="1">
        <f t="array" ref="I98">INDEX(Benchmarks!G$6:G$244,MATCH(SolverWork!$B98,MutualFunds!$B$6:$B$244,0),0)</f>
        <v>5.6297135573416977E-3</v>
      </c>
      <c r="J98" s="14" cm="1">
        <f t="array" ref="J98">INDEX(Benchmarks!H$6:H$244,MATCH(SolverWork!$B98,MutualFunds!$B$6:$B$244,0),0)</f>
        <v>-1.0165073848827122E-2</v>
      </c>
      <c r="K98" s="14" cm="1">
        <f t="array" ref="K98">INDEX(Benchmarks!I$6:I$244,MATCH(SolverWork!$B98,MutualFunds!$B$6:$B$244,0),0)</f>
        <v>-2.8485298280782573E-2</v>
      </c>
      <c r="L98" s="14" cm="1">
        <f t="array" ref="L98">INDEX(Benchmarks!J$6:J$244,MATCH(SolverWork!$B98,MutualFunds!$B$6:$B$244,0),0)</f>
        <v>1.588073245827286E-3</v>
      </c>
      <c r="M98" s="14" cm="1">
        <f t="array" ref="M98">INDEX(Benchmarks!K$6:K$244,MATCH(SolverWork!$B98,MutualFunds!$B$6:$B$244,0),0)</f>
        <v>8.1201722172977008E-3</v>
      </c>
      <c r="N98" s="14" cm="1">
        <f t="array" ref="N98">INDEX(Benchmarks!L$6:L$244,MATCH(SolverWork!$B98,MutualFunds!$B$6:$B$244,0),0)</f>
        <v>2.3023621136628539E-2</v>
      </c>
      <c r="O98" s="14" cm="1">
        <f t="array" ref="O98">INDEX(Benchmarks!M$6:M$244,MATCH(SolverWork!$B98,MutualFunds!$B$6:$B$244,0),0)</f>
        <v>2.5956583890163355E-2</v>
      </c>
      <c r="P98" s="14" cm="1">
        <f t="array" ref="P98">INDEX(Benchmarks!N$6:N$244,MATCH(SolverWork!$B98,MutualFunds!$B$6:$B$244,0),0)</f>
        <v>3.5569346343853302E-2</v>
      </c>
      <c r="Q98" s="14" cm="1">
        <f t="array" ref="Q98">INDEX(Benchmarks!O$6:O$244,MATCH(SolverWork!$B98,MutualFunds!$B$6:$B$244,0),0)</f>
        <v>8.6540192670937106E-3</v>
      </c>
      <c r="R98" s="14" cm="1">
        <f t="array" ref="R98">INDEX(Benchmarks!P$6:P$244,MATCH(SolverWork!$B98,MutualFunds!$B$6:$B$244,0),0)</f>
        <v>-5.2496249230275092E-2</v>
      </c>
      <c r="S98" s="14" cm="1">
        <f t="array" ref="S98">INDEX(Benchmarks!Q$6:Q$244,MATCH(SolverWork!$B98,MutualFunds!$B$6:$B$244,0),0)</f>
        <v>-9.7917416724557609E-3</v>
      </c>
      <c r="T98" s="14" cm="1">
        <f t="array" ref="T98">INDEX(Benchmarks!R$6:R$244,MATCH(SolverWork!$B98,MutualFunds!$B$6:$B$244,0),0)</f>
        <v>-2.4253825879165794E-3</v>
      </c>
    </row>
    <row r="99" spans="1:20" x14ac:dyDescent="0.2">
      <c r="A99">
        <v>89</v>
      </c>
      <c r="B99" s="28">
        <f>IF(B98="","",IF(EOMONTH(B98,1)&lt;=EOMONTH(Front!$C$4,0),EOMONTH(B98,1),""))</f>
        <v>37072</v>
      </c>
      <c r="C99" s="14">
        <f>IF(B99="","",INDEX(MutualFunds!$C$6:$O$244,MATCH(B99,MutualFunds!$B$6:$B$244,0),MATCH(Front!$C$2,MutualFunds!$C$4:$O$4,0)))</f>
        <v>-3.2187271397220156E-2</v>
      </c>
      <c r="D99" s="14">
        <f t="shared" si="1"/>
        <v>5.8004770106932779E-4</v>
      </c>
      <c r="E99" s="14" cm="1">
        <f t="array" ref="E99">INDEX(Benchmarks!C$6:C$244,MATCH(SolverWork!$B99,MutualFunds!$B$6:$B$244,0),0)</f>
        <v>2.8000000000000004E-3</v>
      </c>
      <c r="F99" s="14" cm="1">
        <f t="array" ref="F99">INDEX(Benchmarks!D$6:D$244,MATCH(SolverWork!$B99,MutualFunds!$B$6:$B$244,0),0)</f>
        <v>-2.1288949100057952E-3</v>
      </c>
      <c r="G99" s="14" cm="1">
        <f t="array" ref="G99">INDEX(Benchmarks!E$6:E$244,MATCH(SolverWork!$B99,MutualFunds!$B$6:$B$244,0),0)</f>
        <v>1.4929305348204242E-3</v>
      </c>
      <c r="H99" s="14" cm="1">
        <f t="array" ref="H99">INDEX(Benchmarks!F$6:F$244,MATCH(SolverWork!$B99,MutualFunds!$B$6:$B$244,0),0)</f>
        <v>4.3309545595303063E-3</v>
      </c>
      <c r="I99" s="14" cm="1">
        <f t="array" ref="I99">INDEX(Benchmarks!G$6:G$244,MATCH(SolverWork!$B99,MutualFunds!$B$6:$B$244,0),0)</f>
        <v>1.9535847576126501E-3</v>
      </c>
      <c r="J99" s="14" cm="1">
        <f t="array" ref="J99">INDEX(Benchmarks!H$6:H$244,MATCH(SolverWork!$B99,MutualFunds!$B$6:$B$244,0),0)</f>
        <v>-5.2663916439921242E-4</v>
      </c>
      <c r="K99" s="14" cm="1">
        <f t="array" ref="K99">INDEX(Benchmarks!I$6:I$244,MATCH(SolverWork!$B99,MutualFunds!$B$6:$B$244,0),0)</f>
        <v>-7.234175487231187E-2</v>
      </c>
      <c r="L99" s="14" cm="1">
        <f t="array" ref="L99">INDEX(Benchmarks!J$6:J$244,MATCH(SolverWork!$B99,MutualFunds!$B$6:$B$244,0),0)</f>
        <v>-1.3914056432824265E-2</v>
      </c>
      <c r="M99" s="14" cm="1">
        <f t="array" ref="M99">INDEX(Benchmarks!K$6:K$244,MATCH(SolverWork!$B99,MutualFunds!$B$6:$B$244,0),0)</f>
        <v>-3.3333856709949941E-2</v>
      </c>
      <c r="N99" s="14" cm="1">
        <f t="array" ref="N99">INDEX(Benchmarks!L$6:L$244,MATCH(SolverWork!$B99,MutualFunds!$B$6:$B$244,0),0)</f>
        <v>-1.535533951314984E-3</v>
      </c>
      <c r="O99" s="14" cm="1">
        <f t="array" ref="O99">INDEX(Benchmarks!M$6:M$244,MATCH(SolverWork!$B99,MutualFunds!$B$6:$B$244,0),0)</f>
        <v>2.7166270275874926E-2</v>
      </c>
      <c r="P99" s="14" cm="1">
        <f t="array" ref="P99">INDEX(Benchmarks!N$6:N$244,MATCH(SolverWork!$B99,MutualFunds!$B$6:$B$244,0),0)</f>
        <v>1.794655459269363E-2</v>
      </c>
      <c r="Q99" s="14" cm="1">
        <f t="array" ref="Q99">INDEX(Benchmarks!O$6:O$244,MATCH(SolverWork!$B99,MutualFunds!$B$6:$B$244,0),0)</f>
        <v>-2.3164773328896163E-2</v>
      </c>
      <c r="R99" s="14" cm="1">
        <f t="array" ref="R99">INDEX(Benchmarks!P$6:P$244,MATCH(SolverWork!$B99,MutualFunds!$B$6:$B$244,0),0)</f>
        <v>-3.9584951687858541E-2</v>
      </c>
      <c r="S99" s="14" cm="1">
        <f t="array" ref="S99">INDEX(Benchmarks!Q$6:Q$244,MATCH(SolverWork!$B99,MutualFunds!$B$6:$B$244,0),0)</f>
        <v>-2.2721686228722483E-2</v>
      </c>
      <c r="T99" s="14" cm="1">
        <f t="array" ref="T99">INDEX(Benchmarks!R$6:R$244,MATCH(SolverWork!$B99,MutualFunds!$B$6:$B$244,0),0)</f>
        <v>-5.9689500912485656E-2</v>
      </c>
    </row>
    <row r="100" spans="1:20" x14ac:dyDescent="0.2">
      <c r="A100">
        <v>90</v>
      </c>
      <c r="B100" s="28">
        <f>IF(B99="","",IF(EOMONTH(B99,1)&lt;=EOMONTH(Front!$C$4,0),EOMONTH(B99,1),""))</f>
        <v>37103</v>
      </c>
      <c r="C100" s="14">
        <f>IF(B100="","",INDEX(MutualFunds!$C$6:$O$244,MATCH(B100,MutualFunds!$B$6:$B$244,0),MATCH(Front!$C$2,MutualFunds!$C$4:$O$4,0)))</f>
        <v>3.4013605442176817E-3</v>
      </c>
      <c r="D100" s="14">
        <f t="shared" si="1"/>
        <v>2.0730120774084756E-2</v>
      </c>
      <c r="E100" s="14" cm="1">
        <f t="array" ref="E100">INDEX(Benchmarks!C$6:C$244,MATCH(SolverWork!$B100,MutualFunds!$B$6:$B$244,0),0)</f>
        <v>3.0000000000000001E-3</v>
      </c>
      <c r="F100" s="14" cm="1">
        <f t="array" ref="F100">INDEX(Benchmarks!D$6:D$244,MATCH(SolverWork!$B100,MutualFunds!$B$6:$B$244,0),0)</f>
        <v>1.2800620636151989E-2</v>
      </c>
      <c r="G100" s="14" cm="1">
        <f t="array" ref="G100">INDEX(Benchmarks!E$6:E$244,MATCH(SolverWork!$B100,MutualFunds!$B$6:$B$244,0),0)</f>
        <v>3.1918625043844268E-2</v>
      </c>
      <c r="H100" s="14" cm="1">
        <f t="array" ref="H100">INDEX(Benchmarks!F$6:F$244,MATCH(SolverWork!$B100,MutualFunds!$B$6:$B$244,0),0)</f>
        <v>2.8198345638989757E-2</v>
      </c>
      <c r="I100" s="14" cm="1">
        <f t="array" ref="I100">INDEX(Benchmarks!G$6:G$244,MATCH(SolverWork!$B100,MutualFunds!$B$6:$B$244,0),0)</f>
        <v>1.8422468805596653E-2</v>
      </c>
      <c r="J100" s="14" cm="1">
        <f t="array" ref="J100">INDEX(Benchmarks!H$6:H$244,MATCH(SolverWork!$B100,MutualFunds!$B$6:$B$244,0),0)</f>
        <v>2.5291999648722186E-2</v>
      </c>
      <c r="K100" s="14" cm="1">
        <f t="array" ref="K100">INDEX(Benchmarks!I$6:I$244,MATCH(SolverWork!$B100,MutualFunds!$B$6:$B$244,0),0)</f>
        <v>2.3940844042097502E-3</v>
      </c>
      <c r="L100" s="14" cm="1">
        <f t="array" ref="L100">INDEX(Benchmarks!J$6:J$244,MATCH(SolverWork!$B100,MutualFunds!$B$6:$B$244,0),0)</f>
        <v>-3.6260418717595925E-3</v>
      </c>
      <c r="M100" s="14" cm="1">
        <f t="array" ref="M100">INDEX(Benchmarks!K$6:K$244,MATCH(SolverWork!$B100,MutualFunds!$B$6:$B$244,0),0)</f>
        <v>-1.8143130948900302E-2</v>
      </c>
      <c r="N100" s="14" cm="1">
        <f t="array" ref="N100">INDEX(Benchmarks!L$6:L$244,MATCH(SolverWork!$B100,MutualFunds!$B$6:$B$244,0),0)</f>
        <v>-1.2284293653114928E-2</v>
      </c>
      <c r="O100" s="14" cm="1">
        <f t="array" ref="O100">INDEX(Benchmarks!M$6:M$244,MATCH(SolverWork!$B100,MutualFunds!$B$6:$B$244,0),0)</f>
        <v>-8.3614614418836455E-2</v>
      </c>
      <c r="P100" s="14" cm="1">
        <f t="array" ref="P100">INDEX(Benchmarks!N$6:N$244,MATCH(SolverWork!$B100,MutualFunds!$B$6:$B$244,0),0)</f>
        <v>8.280595211352746E-3</v>
      </c>
      <c r="Q100" s="14" cm="1">
        <f t="array" ref="Q100">INDEX(Benchmarks!O$6:O$244,MATCH(SolverWork!$B100,MutualFunds!$B$6:$B$244,0),0)</f>
        <v>-6.5725576670548402E-2</v>
      </c>
      <c r="R100" s="14" cm="1">
        <f t="array" ref="R100">INDEX(Benchmarks!P$6:P$244,MATCH(SolverWork!$B100,MutualFunds!$B$6:$B$244,0),0)</f>
        <v>1.9032280379368141E-3</v>
      </c>
      <c r="S100" s="14" cm="1">
        <f t="array" ref="S100">INDEX(Benchmarks!Q$6:Q$244,MATCH(SolverWork!$B100,MutualFunds!$B$6:$B$244,0),0)</f>
        <v>-3.9887025188771658E-2</v>
      </c>
      <c r="T100" s="14" cm="1">
        <f t="array" ref="T100">INDEX(Benchmarks!R$6:R$244,MATCH(SolverWork!$B100,MutualFunds!$B$6:$B$244,0),0)</f>
        <v>-7.453263034603734E-2</v>
      </c>
    </row>
    <row r="101" spans="1:20" x14ac:dyDescent="0.2">
      <c r="A101">
        <v>91</v>
      </c>
      <c r="B101" s="28">
        <f>IF(B100="","",IF(EOMONTH(B100,1)&lt;=EOMONTH(Front!$C$4,0),EOMONTH(B100,1),""))</f>
        <v>37134</v>
      </c>
      <c r="C101" s="14">
        <f>IF(B101="","",INDEX(MutualFunds!$C$6:$O$244,MATCH(B101,MutualFunds!$B$6:$B$244,0),MATCH(Front!$C$2,MutualFunds!$C$4:$O$4,0)))</f>
        <v>-1.6572504708097843E-2</v>
      </c>
      <c r="D101" s="14">
        <f t="shared" si="1"/>
        <v>4.2275934550854322E-2</v>
      </c>
      <c r="E101" s="14" cm="1">
        <f t="array" ref="E101">INDEX(Benchmarks!C$6:C$244,MATCH(SolverWork!$B101,MutualFunds!$B$6:$B$244,0),0)</f>
        <v>3.0999999999999999E-3</v>
      </c>
      <c r="F101" s="14" cm="1">
        <f t="array" ref="F101">INDEX(Benchmarks!D$6:D$244,MATCH(SolverWork!$B101,MutualFunds!$B$6:$B$244,0),0)</f>
        <v>3.3512064343164355E-3</v>
      </c>
      <c r="G101" s="14" cm="1">
        <f t="array" ref="G101">INDEX(Benchmarks!E$6:E$244,MATCH(SolverWork!$B101,MutualFunds!$B$6:$B$244,0),0)</f>
        <v>1.3851121685927901E-2</v>
      </c>
      <c r="H101" s="14" cm="1">
        <f t="array" ref="H101">INDEX(Benchmarks!F$6:F$244,MATCH(SolverWork!$B101,MutualFunds!$B$6:$B$244,0),0)</f>
        <v>1.0848019300427314E-2</v>
      </c>
      <c r="I101" s="14" cm="1">
        <f t="array" ref="I101">INDEX(Benchmarks!G$6:G$244,MATCH(SolverWork!$B101,MutualFunds!$B$6:$B$244,0),0)</f>
        <v>8.7907559537482513E-3</v>
      </c>
      <c r="J101" s="14" cm="1">
        <f t="array" ref="J101">INDEX(Benchmarks!H$6:H$244,MATCH(SolverWork!$B101,MutualFunds!$B$6:$B$244,0),0)</f>
        <v>1.15631691648823E-2</v>
      </c>
      <c r="K101" s="14" cm="1">
        <f t="array" ref="K101">INDEX(Benchmarks!I$6:I$244,MATCH(SolverWork!$B101,MutualFunds!$B$6:$B$244,0),0)</f>
        <v>9.5591120697200091E-3</v>
      </c>
      <c r="L101" s="14" cm="1">
        <f t="array" ref="L101">INDEX(Benchmarks!J$6:J$244,MATCH(SolverWork!$B101,MutualFunds!$B$6:$B$244,0),0)</f>
        <v>-6.7959886047392407E-2</v>
      </c>
      <c r="M101" s="14" cm="1">
        <f t="array" ref="M101">INDEX(Benchmarks!K$6:K$244,MATCH(SolverWork!$B101,MutualFunds!$B$6:$B$244,0),0)</f>
        <v>-6.0050621184800333E-2</v>
      </c>
      <c r="N101" s="14" cm="1">
        <f t="array" ref="N101">INDEX(Benchmarks!L$6:L$244,MATCH(SolverWork!$B101,MutualFunds!$B$6:$B$244,0),0)</f>
        <v>-3.3050904123721317E-2</v>
      </c>
      <c r="O101" s="14" cm="1">
        <f t="array" ref="O101">INDEX(Benchmarks!M$6:M$244,MATCH(SolverWork!$B101,MutualFunds!$B$6:$B$244,0),0)</f>
        <v>-7.2207534699272879E-2</v>
      </c>
      <c r="P101" s="14" cm="1">
        <f t="array" ref="P101">INDEX(Benchmarks!N$6:N$244,MATCH(SolverWork!$B101,MutualFunds!$B$6:$B$244,0),0)</f>
        <v>-6.8912004670958829E-3</v>
      </c>
      <c r="Q101" s="14" cm="1">
        <f t="array" ref="Q101">INDEX(Benchmarks!O$6:O$244,MATCH(SolverWork!$B101,MutualFunds!$B$6:$B$244,0),0)</f>
        <v>-1.1592290811692448E-2</v>
      </c>
      <c r="R101" s="14" cm="1">
        <f t="array" ref="R101">INDEX(Benchmarks!P$6:P$244,MATCH(SolverWork!$B101,MutualFunds!$B$6:$B$244,0),0)</f>
        <v>-2.8188799898026411E-2</v>
      </c>
      <c r="S101" s="14" cm="1">
        <f t="array" ref="S101">INDEX(Benchmarks!Q$6:Q$244,MATCH(SolverWork!$B101,MutualFunds!$B$6:$B$244,0),0)</f>
        <v>-1.8010446058714116E-2</v>
      </c>
      <c r="T101" s="14" cm="1">
        <f t="array" ref="T101">INDEX(Benchmarks!R$6:R$244,MATCH(SolverWork!$B101,MutualFunds!$B$6:$B$244,0),0)</f>
        <v>-2.5058913508437843E-2</v>
      </c>
    </row>
    <row r="102" spans="1:20" x14ac:dyDescent="0.2">
      <c r="A102">
        <v>92</v>
      </c>
      <c r="B102" s="28">
        <f>IF(B101="","",IF(EOMONTH(B101,1)&lt;=EOMONTH(Front!$C$4,0),EOMONTH(B101,1),""))</f>
        <v>37164</v>
      </c>
      <c r="C102" s="14">
        <f>IF(B102="","",INDEX(MutualFunds!$C$6:$O$244,MATCH(B102,MutualFunds!$B$6:$B$244,0),MATCH(Front!$C$2,MutualFunds!$C$4:$O$4,0)))</f>
        <v>-7.6981999234010015E-2</v>
      </c>
      <c r="D102" s="14">
        <f t="shared" si="1"/>
        <v>1.7415129720924905E-2</v>
      </c>
      <c r="E102" s="14" cm="1">
        <f t="array" ref="E102">INDEX(Benchmarks!C$6:C$244,MATCH(SolverWork!$B102,MutualFunds!$B$6:$B$244,0),0)</f>
        <v>2.8000000000000004E-3</v>
      </c>
      <c r="F102" s="14" cm="1">
        <f t="array" ref="F102">INDEX(Benchmarks!D$6:D$244,MATCH(SolverWork!$B102,MutualFunds!$B$6:$B$244,0),0)</f>
        <v>1.7177211565989094E-2</v>
      </c>
      <c r="G102" s="14" cm="1">
        <f t="array" ref="G102">INDEX(Benchmarks!E$6:E$244,MATCH(SolverWork!$B102,MutualFunds!$B$6:$B$244,0),0)</f>
        <v>2.9335344899840275E-3</v>
      </c>
      <c r="H102" s="14" cm="1">
        <f t="array" ref="H102">INDEX(Benchmarks!F$6:F$244,MATCH(SolverWork!$B102,MutualFunds!$B$6:$B$244,0),0)</f>
        <v>2.3833107907664732E-3</v>
      </c>
      <c r="I102" s="14" cm="1">
        <f t="array" ref="I102">INDEX(Benchmarks!G$6:G$244,MATCH(SolverWork!$B102,MutualFunds!$B$6:$B$244,0),0)</f>
        <v>1.6238988818287857E-2</v>
      </c>
      <c r="J102" s="14" cm="1">
        <f t="array" ref="J102">INDEX(Benchmarks!H$6:H$244,MATCH(SolverWork!$B102,MutualFunds!$B$6:$B$244,0),0)</f>
        <v>-1.7442845046570721E-2</v>
      </c>
      <c r="K102" s="14" cm="1">
        <f t="array" ref="K102">INDEX(Benchmarks!I$6:I$244,MATCH(SolverWork!$B102,MutualFunds!$B$6:$B$244,0),0)</f>
        <v>-0.1095600428408039</v>
      </c>
      <c r="L102" s="14" cm="1">
        <f t="array" ref="L102">INDEX(Benchmarks!J$6:J$244,MATCH(SolverWork!$B102,MutualFunds!$B$6:$B$244,0),0)</f>
        <v>-6.803886925795051E-2</v>
      </c>
      <c r="M102" s="14" cm="1">
        <f t="array" ref="M102">INDEX(Benchmarks!K$6:K$244,MATCH(SolverWork!$B102,MutualFunds!$B$6:$B$244,0),0)</f>
        <v>-9.6006617504708042E-2</v>
      </c>
      <c r="N102" s="14" cm="1">
        <f t="array" ref="N102">INDEX(Benchmarks!L$6:L$244,MATCH(SolverWork!$B102,MutualFunds!$B$6:$B$244,0),0)</f>
        <v>-0.12724865895462667</v>
      </c>
      <c r="O102" s="14" cm="1">
        <f t="array" ref="O102">INDEX(Benchmarks!M$6:M$244,MATCH(SolverWork!$B102,MutualFunds!$B$6:$B$244,0),0)</f>
        <v>-0.17987533392698135</v>
      </c>
      <c r="P102" s="14" cm="1">
        <f t="array" ref="P102">INDEX(Benchmarks!N$6:N$244,MATCH(SolverWork!$B102,MutualFunds!$B$6:$B$244,0),0)</f>
        <v>-9.9118891613612009E-2</v>
      </c>
      <c r="Q102" s="14" cm="1">
        <f t="array" ref="Q102">INDEX(Benchmarks!O$6:O$244,MATCH(SolverWork!$B102,MutualFunds!$B$6:$B$244,0),0)</f>
        <v>-0.15687076792020624</v>
      </c>
      <c r="R102" s="14" cm="1">
        <f t="array" ref="R102">INDEX(Benchmarks!P$6:P$244,MATCH(SolverWork!$B102,MutualFunds!$B$6:$B$244,0),0)</f>
        <v>-0.10045096865808811</v>
      </c>
      <c r="S102" s="14" cm="1">
        <f t="array" ref="S102">INDEX(Benchmarks!Q$6:Q$244,MATCH(SolverWork!$B102,MutualFunds!$B$6:$B$244,0),0)</f>
        <v>-0.16037615255075668</v>
      </c>
      <c r="T102" s="14" cm="1">
        <f t="array" ref="T102">INDEX(Benchmarks!R$6:R$244,MATCH(SolverWork!$B102,MutualFunds!$B$6:$B$244,0),0)</f>
        <v>-9.618218180453203E-2</v>
      </c>
    </row>
    <row r="103" spans="1:20" x14ac:dyDescent="0.2">
      <c r="A103">
        <v>93</v>
      </c>
      <c r="B103" s="28">
        <f>IF(B102="","",IF(EOMONTH(B102,1)&lt;=EOMONTH(Front!$C$4,0),EOMONTH(B102,1),""))</f>
        <v>37195</v>
      </c>
      <c r="C103" s="14">
        <f>IF(B103="","",INDEX(MutualFunds!$C$6:$O$244,MATCH(B103,MutualFunds!$B$6:$B$244,0),MATCH(Front!$C$2,MutualFunds!$C$4:$O$4,0)))</f>
        <v>1.4107883817427379E-2</v>
      </c>
      <c r="D103" s="14">
        <f t="shared" si="1"/>
        <v>1.4443696572977647E-2</v>
      </c>
      <c r="E103" s="14" cm="1">
        <f t="array" ref="E103">INDEX(Benchmarks!C$6:C$244,MATCH(SolverWork!$B103,MutualFunds!$B$6:$B$244,0),0)</f>
        <v>2.2000000000000001E-3</v>
      </c>
      <c r="F103" s="14" cm="1">
        <f t="array" ref="F103">INDEX(Benchmarks!D$6:D$244,MATCH(SolverWork!$B103,MutualFunds!$B$6:$B$244,0),0)</f>
        <v>9.4755605591519375E-3</v>
      </c>
      <c r="G103" s="14" cm="1">
        <f t="array" ref="G103">INDEX(Benchmarks!E$6:E$244,MATCH(SolverWork!$B103,MutualFunds!$B$6:$B$244,0),0)</f>
        <v>4.6464984121678106E-2</v>
      </c>
      <c r="H103" s="14" cm="1">
        <f t="array" ref="H103">INDEX(Benchmarks!F$6:F$244,MATCH(SolverWork!$B103,MutualFunds!$B$6:$B$244,0),0)</f>
        <v>2.2341828980171192E-2</v>
      </c>
      <c r="I103" s="14" cm="1">
        <f t="array" ref="I103">INDEX(Benchmarks!G$6:G$244,MATCH(SolverWork!$B103,MutualFunds!$B$6:$B$244,0),0)</f>
        <v>1.3281148577500757E-2</v>
      </c>
      <c r="J103" s="14" cm="1">
        <f t="array" ref="J103">INDEX(Benchmarks!H$6:H$244,MATCH(SolverWork!$B103,MutualFunds!$B$6:$B$244,0),0)</f>
        <v>6.3857290589451887E-2</v>
      </c>
      <c r="K103" s="14" cm="1">
        <f t="array" ref="K103">INDEX(Benchmarks!I$6:I$244,MATCH(SolverWork!$B103,MutualFunds!$B$6:$B$244,0),0)</f>
        <v>-5.0426475391302211E-2</v>
      </c>
      <c r="L103" s="14" cm="1">
        <f t="array" ref="L103">INDEX(Benchmarks!J$6:J$244,MATCH(SolverWork!$B103,MutualFunds!$B$6:$B$244,0),0)</f>
        <v>3.5943809361314978E-2</v>
      </c>
      <c r="M103" s="14" cm="1">
        <f t="array" ref="M103">INDEX(Benchmarks!K$6:K$244,MATCH(SolverWork!$B103,MutualFunds!$B$6:$B$244,0),0)</f>
        <v>-1.1097266568023058E-3</v>
      </c>
      <c r="N103" s="14" cm="1">
        <f t="array" ref="N103">INDEX(Benchmarks!L$6:L$244,MATCH(SolverWork!$B103,MutualFunds!$B$6:$B$244,0),0)</f>
        <v>4.8491159758223386E-2</v>
      </c>
      <c r="O103" s="14" cm="1">
        <f t="array" ref="O103">INDEX(Benchmarks!M$6:M$244,MATCH(SolverWork!$B103,MutualFunds!$B$6:$B$244,0),0)</f>
        <v>0.11169019182048502</v>
      </c>
      <c r="P103" s="14" cm="1">
        <f t="array" ref="P103">INDEX(Benchmarks!N$6:N$244,MATCH(SolverWork!$B103,MutualFunds!$B$6:$B$244,0),0)</f>
        <v>1.2236381122484029E-2</v>
      </c>
      <c r="Q103" s="14" cm="1">
        <f t="array" ref="Q103">INDEX(Benchmarks!O$6:O$244,MATCH(SolverWork!$B103,MutualFunds!$B$6:$B$244,0),0)</f>
        <v>6.1520714413572181E-2</v>
      </c>
      <c r="R103" s="14" cm="1">
        <f t="array" ref="R103">INDEX(Benchmarks!P$6:P$244,MATCH(SolverWork!$B103,MutualFunds!$B$6:$B$244,0),0)</f>
        <v>3.1531686611082972E-2</v>
      </c>
      <c r="S103" s="14" cm="1">
        <f t="array" ref="S103">INDEX(Benchmarks!Q$6:Q$244,MATCH(SolverWork!$B103,MutualFunds!$B$6:$B$244,0),0)</f>
        <v>5.0029456348339475E-2</v>
      </c>
      <c r="T103" s="14" cm="1">
        <f t="array" ref="T103">INDEX(Benchmarks!R$6:R$244,MATCH(SolverWork!$B103,MutualFunds!$B$6:$B$244,0),0)</f>
        <v>-1.9782814869021888E-3</v>
      </c>
    </row>
    <row r="104" spans="1:20" x14ac:dyDescent="0.2">
      <c r="A104">
        <v>94</v>
      </c>
      <c r="B104" s="28">
        <f>IF(B103="","",IF(EOMONTH(B103,1)&lt;=EOMONTH(Front!$C$4,0),EOMONTH(B103,1),""))</f>
        <v>37225</v>
      </c>
      <c r="C104" s="14">
        <f>IF(B104="","",INDEX(MutualFunds!$C$6:$O$244,MATCH(B104,MutualFunds!$B$6:$B$244,0),MATCH(Front!$C$2,MutualFunds!$C$4:$O$4,0)))</f>
        <v>5.6055646481178431E-2</v>
      </c>
      <c r="D104" s="14">
        <f t="shared" si="1"/>
        <v>-3.2396471194196183E-3</v>
      </c>
      <c r="E104" s="14" cm="1">
        <f t="array" ref="E104">INDEX(Benchmarks!C$6:C$244,MATCH(SolverWork!$B104,MutualFunds!$B$6:$B$244,0),0)</f>
        <v>1.7000000000000001E-3</v>
      </c>
      <c r="F104" s="14" cm="1">
        <f t="array" ref="F104">INDEX(Benchmarks!D$6:D$244,MATCH(SolverWork!$B104,MutualFunds!$B$6:$B$244,0),0)</f>
        <v>-1.840148698884762E-2</v>
      </c>
      <c r="G104" s="14" cm="1">
        <f t="array" ref="G104">INDEX(Benchmarks!E$6:E$244,MATCH(SolverWork!$B104,MutualFunds!$B$6:$B$244,0),0)</f>
        <v>-5.590161316083693E-2</v>
      </c>
      <c r="H104" s="14" cm="1">
        <f t="array" ref="H104">INDEX(Benchmarks!F$6:F$244,MATCH(SolverWork!$B104,MutualFunds!$B$6:$B$244,0),0)</f>
        <v>-8.1955013877235399E-3</v>
      </c>
      <c r="I104" s="14" cm="1">
        <f t="array" ref="I104">INDEX(Benchmarks!G$6:G$244,MATCH(SolverWork!$B104,MutualFunds!$B$6:$B$244,0),0)</f>
        <v>-9.0547078596877745E-3</v>
      </c>
      <c r="J104" s="14" cm="1">
        <f t="array" ref="J104">INDEX(Benchmarks!H$6:H$244,MATCH(SolverWork!$B104,MutualFunds!$B$6:$B$244,0),0)</f>
        <v>-3.4102875658161148E-2</v>
      </c>
      <c r="K104" s="14" cm="1">
        <f t="array" ref="K104">INDEX(Benchmarks!I$6:I$244,MATCH(SolverWork!$B104,MutualFunds!$B$6:$B$244,0),0)</f>
        <v>-5.3706257627320397E-2</v>
      </c>
      <c r="L104" s="14" cm="1">
        <f t="array" ref="L104">INDEX(Benchmarks!J$6:J$244,MATCH(SolverWork!$B104,MutualFunds!$B$6:$B$244,0),0)</f>
        <v>8.7711593009424368E-2</v>
      </c>
      <c r="M104" s="14" cm="1">
        <f t="array" ref="M104">INDEX(Benchmarks!K$6:K$244,MATCH(SolverWork!$B104,MutualFunds!$B$6:$B$244,0),0)</f>
        <v>6.1200226090007158E-2</v>
      </c>
      <c r="N104" s="14" cm="1">
        <f t="array" ref="N104">INDEX(Benchmarks!L$6:L$244,MATCH(SolverWork!$B104,MutualFunds!$B$6:$B$244,0),0)</f>
        <v>7.2978516679261474E-2</v>
      </c>
      <c r="O104" s="14" cm="1">
        <f t="array" ref="O104">INDEX(Benchmarks!M$6:M$244,MATCH(SolverWork!$B104,MutualFunds!$B$6:$B$244,0),0)</f>
        <v>0.11420757911186347</v>
      </c>
      <c r="P104" s="14" cm="1">
        <f t="array" ref="P104">INDEX(Benchmarks!N$6:N$244,MATCH(SolverWork!$B104,MutualFunds!$B$6:$B$244,0),0)</f>
        <v>6.1333039251448652E-2</v>
      </c>
      <c r="Q104" s="14" cm="1">
        <f t="array" ref="Q104">INDEX(Benchmarks!O$6:O$244,MATCH(SolverWork!$B104,MutualFunds!$B$6:$B$244,0),0)</f>
        <v>0.10329347488018106</v>
      </c>
      <c r="R104" s="14" cm="1">
        <f t="array" ref="R104">INDEX(Benchmarks!P$6:P$244,MATCH(SolverWork!$B104,MutualFunds!$B$6:$B$244,0),0)</f>
        <v>3.9381850521930419E-2</v>
      </c>
      <c r="S104" s="14" cm="1">
        <f t="array" ref="S104">INDEX(Benchmarks!Q$6:Q$244,MATCH(SolverWork!$B104,MutualFunds!$B$6:$B$244,0),0)</f>
        <v>0.1362235152462665</v>
      </c>
      <c r="T104" s="14" cm="1">
        <f t="array" ref="T104">INDEX(Benchmarks!R$6:R$244,MATCH(SolverWork!$B104,MutualFunds!$B$6:$B$244,0),0)</f>
        <v>1.0891843785770336E-2</v>
      </c>
    </row>
    <row r="105" spans="1:20" x14ac:dyDescent="0.2">
      <c r="A105">
        <v>95</v>
      </c>
      <c r="B105" s="28">
        <f>IF(B104="","",IF(EOMONTH(B104,1)&lt;=EOMONTH(Front!$C$4,0),EOMONTH(B104,1),""))</f>
        <v>37256</v>
      </c>
      <c r="C105" s="14">
        <f>IF(B105="","",INDEX(MutualFunds!$C$6:$O$244,MATCH(B105,MutualFunds!$B$6:$B$244,0),MATCH(Front!$C$2,MutualFunds!$C$4:$O$4,0)))</f>
        <v>-1.2010848508330191E-2</v>
      </c>
      <c r="D105" s="14">
        <f t="shared" si="1"/>
        <v>-2.5259983936744626E-2</v>
      </c>
      <c r="E105" s="14" cm="1">
        <f t="array" ref="E105">INDEX(Benchmarks!C$6:C$244,MATCH(SolverWork!$B105,MutualFunds!$B$6:$B$244,0),0)</f>
        <v>1.5E-3</v>
      </c>
      <c r="F105" s="14" cm="1">
        <f t="array" ref="F105">INDEX(Benchmarks!D$6:D$244,MATCH(SolverWork!$B105,MutualFunds!$B$6:$B$244,0),0)</f>
        <v>-1.0698731300889939E-2</v>
      </c>
      <c r="G105" s="14" cm="1">
        <f t="array" ref="G105">INDEX(Benchmarks!E$6:E$244,MATCH(SolverWork!$B105,MutualFunds!$B$6:$B$244,0),0)</f>
        <v>-2.5207240737607762E-2</v>
      </c>
      <c r="H105" s="14" cm="1">
        <f t="array" ref="H105">INDEX(Benchmarks!F$6:F$244,MATCH(SolverWork!$B105,MutualFunds!$B$6:$B$244,0),0)</f>
        <v>-5.8927611465282711E-3</v>
      </c>
      <c r="I105" s="14" cm="1">
        <f t="array" ref="I105">INDEX(Benchmarks!G$6:G$244,MATCH(SolverWork!$B105,MutualFunds!$B$6:$B$244,0),0)</f>
        <v>-4.256990035099756E-3</v>
      </c>
      <c r="J105" s="14" cm="1">
        <f t="array" ref="J105">INDEX(Benchmarks!H$6:H$244,MATCH(SolverWork!$B105,MutualFunds!$B$6:$B$244,0),0)</f>
        <v>-2.7423683327742452E-2</v>
      </c>
      <c r="K105" s="14" cm="1">
        <f t="array" ref="K105">INDEX(Benchmarks!I$6:I$244,MATCH(SolverWork!$B105,MutualFunds!$B$6:$B$244,0),0)</f>
        <v>-1.3256304870547547E-2</v>
      </c>
      <c r="L105" s="14" cm="1">
        <f t="array" ref="L105">INDEX(Benchmarks!J$6:J$244,MATCH(SolverWork!$B105,MutualFunds!$B$6:$B$244,0),0)</f>
        <v>3.8695783841989666E-4</v>
      </c>
      <c r="M105" s="14" cm="1">
        <f t="array" ref="M105">INDEX(Benchmarks!K$6:K$244,MATCH(SolverWork!$B105,MutualFunds!$B$6:$B$244,0),0)</f>
        <v>1.3885062537880775E-2</v>
      </c>
      <c r="N105" s="14" cm="1">
        <f t="array" ref="N105">INDEX(Benchmarks!L$6:L$244,MATCH(SolverWork!$B105,MutualFunds!$B$6:$B$244,0),0)</f>
        <v>5.253043565751097E-2</v>
      </c>
      <c r="O105" s="14" cm="1">
        <f t="array" ref="O105">INDEX(Benchmarks!M$6:M$244,MATCH(SolverWork!$B105,MutualFunds!$B$6:$B$244,0),0)</f>
        <v>7.3354955586722823E-2</v>
      </c>
      <c r="P105" s="14" cm="1">
        <f t="array" ref="P105">INDEX(Benchmarks!N$6:N$244,MATCH(SolverWork!$B105,MutualFunds!$B$6:$B$244,0),0)</f>
        <v>4.5079968987538951E-2</v>
      </c>
      <c r="Q105" s="14" cm="1">
        <f t="array" ref="Q105">INDEX(Benchmarks!O$6:O$244,MATCH(SolverWork!$B105,MutualFunds!$B$6:$B$244,0),0)</f>
        <v>7.8029793564427213E-2</v>
      </c>
      <c r="R105" s="14" cm="1">
        <f t="array" ref="R105">INDEX(Benchmarks!P$6:P$244,MATCH(SolverWork!$B105,MutualFunds!$B$6:$B$244,0),0)</f>
        <v>2.542600985798572E-2</v>
      </c>
      <c r="S105" s="14" cm="1">
        <f t="array" ref="S105">INDEX(Benchmarks!Q$6:Q$244,MATCH(SolverWork!$B105,MutualFunds!$B$6:$B$244,0),0)</f>
        <v>9.0325014702781883E-2</v>
      </c>
      <c r="T105" s="14" cm="1">
        <f t="array" ref="T105">INDEX(Benchmarks!R$6:R$244,MATCH(SolverWork!$B105,MutualFunds!$B$6:$B$244,0),0)</f>
        <v>-6.7644223504093048E-2</v>
      </c>
    </row>
    <row r="106" spans="1:20" x14ac:dyDescent="0.2">
      <c r="A106">
        <v>96</v>
      </c>
      <c r="B106" s="28">
        <f>IF(B105="","",IF(EOMONTH(B105,1)&lt;=EOMONTH(Front!$C$4,0),EOMONTH(B105,1),""))</f>
        <v>37287</v>
      </c>
      <c r="C106" s="14">
        <f>IF(B106="","",INDEX(MutualFunds!$C$6:$O$244,MATCH(B106,MutualFunds!$B$6:$B$244,0),MATCH(Front!$C$2,MutualFunds!$C$4:$O$4,0)))</f>
        <v>-2.0392156862745082E-2</v>
      </c>
      <c r="D106" s="14">
        <f t="shared" si="1"/>
        <v>7.7892785119279655E-3</v>
      </c>
      <c r="E106" s="14" cm="1">
        <f t="array" ref="E106">INDEX(Benchmarks!C$6:C$244,MATCH(SolverWork!$B106,MutualFunds!$B$6:$B$244,0),0)</f>
        <v>1.4000000000000002E-3</v>
      </c>
      <c r="F106" s="14" cm="1">
        <f t="array" ref="F106">INDEX(Benchmarks!D$6:D$244,MATCH(SolverWork!$B106,MutualFunds!$B$6:$B$244,0),0)</f>
        <v>-1.2441381950426802E-3</v>
      </c>
      <c r="G106" s="14" cm="1">
        <f t="array" ref="G106">INDEX(Benchmarks!E$6:E$244,MATCH(SolverWork!$B106,MutualFunds!$B$6:$B$244,0),0)</f>
        <v>7.202360291565413E-3</v>
      </c>
      <c r="H106" s="14" cm="1">
        <f t="array" ref="H106">INDEX(Benchmarks!F$6:F$244,MATCH(SolverWork!$B106,MutualFunds!$B$6:$B$244,0),0)</f>
        <v>5.172941460416549E-3</v>
      </c>
      <c r="I106" s="14" cm="1">
        <f t="array" ref="I106">INDEX(Benchmarks!G$6:G$244,MATCH(SolverWork!$B106,MutualFunds!$B$6:$B$244,0),0)</f>
        <v>1.0176778363405439E-2</v>
      </c>
      <c r="J106" s="14" cm="1">
        <f t="array" ref="J106">INDEX(Benchmarks!H$6:H$244,MATCH(SolverWork!$B106,MutualFunds!$B$6:$B$244,0),0)</f>
        <v>3.7078554798655413E-3</v>
      </c>
      <c r="K106" s="14" cm="1">
        <f t="array" ref="K106">INDEX(Benchmarks!I$6:I$244,MATCH(SolverWork!$B106,MutualFunds!$B$6:$B$244,0),0)</f>
        <v>-3.1200524199975099E-2</v>
      </c>
      <c r="L106" s="14" cm="1">
        <f t="array" ref="L106">INDEX(Benchmarks!J$6:J$244,MATCH(SolverWork!$B106,MutualFunds!$B$6:$B$244,0),0)</f>
        <v>-2.1863069911369714E-3</v>
      </c>
      <c r="M106" s="14" cm="1">
        <f t="array" ref="M106">INDEX(Benchmarks!K$6:K$244,MATCH(SolverWork!$B106,MutualFunds!$B$6:$B$244,0),0)</f>
        <v>-2.8766552542434282E-2</v>
      </c>
      <c r="N106" s="14" cm="1">
        <f t="array" ref="N106">INDEX(Benchmarks!L$6:L$244,MATCH(SolverWork!$B106,MutualFunds!$B$6:$B$244,0),0)</f>
        <v>-5.0568295877108432E-3</v>
      </c>
      <c r="O106" s="14" cm="1">
        <f t="array" ref="O106">INDEX(Benchmarks!M$6:M$244,MATCH(SolverWork!$B106,MutualFunds!$B$6:$B$244,0),0)</f>
        <v>-4.3195089085192408E-2</v>
      </c>
      <c r="P106" s="14" cm="1">
        <f t="array" ref="P106">INDEX(Benchmarks!N$6:N$244,MATCH(SolverWork!$B106,MutualFunds!$B$6:$B$244,0),0)</f>
        <v>1.5885155754066876E-2</v>
      </c>
      <c r="Q106" s="14" cm="1">
        <f t="array" ref="Q106">INDEX(Benchmarks!O$6:O$244,MATCH(SolverWork!$B106,MutualFunds!$B$6:$B$244,0),0)</f>
        <v>3.2596093257718797E-2</v>
      </c>
      <c r="R106" s="14" cm="1">
        <f t="array" ref="R106">INDEX(Benchmarks!P$6:P$244,MATCH(SolverWork!$B106,MutualFunds!$B$6:$B$244,0),0)</f>
        <v>-5.278243146038851E-2</v>
      </c>
      <c r="S106" s="14" cm="1">
        <f t="array" ref="S106">INDEX(Benchmarks!Q$6:Q$244,MATCH(SolverWork!$B106,MutualFunds!$B$6:$B$244,0),0)</f>
        <v>4.0276208795123052E-2</v>
      </c>
      <c r="T106" s="14" cm="1">
        <f t="array" ref="T106">INDEX(Benchmarks!R$6:R$244,MATCH(SolverWork!$B106,MutualFunds!$B$6:$B$244,0),0)</f>
        <v>-7.8339265035299643E-2</v>
      </c>
    </row>
    <row r="107" spans="1:20" x14ac:dyDescent="0.2">
      <c r="A107">
        <v>97</v>
      </c>
      <c r="B107" s="28">
        <f>IF(B106="","",IF(EOMONTH(B106,1)&lt;=EOMONTH(Front!$C$4,0),EOMONTH(B106,1),""))</f>
        <v>37315</v>
      </c>
      <c r="C107" s="14">
        <f>IF(B107="","",INDEX(MutualFunds!$C$6:$O$244,MATCH(B107,MutualFunds!$B$6:$B$244,0),MATCH(Front!$C$2,MutualFunds!$C$4:$O$4,0)))</f>
        <v>2.9623698959167413E-2</v>
      </c>
      <c r="D107" s="14">
        <f t="shared" si="1"/>
        <v>4.0228262640035449E-2</v>
      </c>
      <c r="E107" s="14" cm="1">
        <f t="array" ref="E107">INDEX(Benchmarks!C$6:C$244,MATCH(SolverWork!$B107,MutualFunds!$B$6:$B$244,0),0)</f>
        <v>1.2999999999999999E-3</v>
      </c>
      <c r="F107" s="14" cm="1">
        <f t="array" ref="F107">INDEX(Benchmarks!D$6:D$244,MATCH(SolverWork!$B107,MutualFunds!$B$6:$B$244,0),0)</f>
        <v>2.1080873898045118E-3</v>
      </c>
      <c r="G107" s="14" cm="1">
        <f t="array" ref="G107">INDEX(Benchmarks!E$6:E$244,MATCH(SolverWork!$B107,MutualFunds!$B$6:$B$244,0),0)</f>
        <v>6.8062376152321184E-3</v>
      </c>
      <c r="H107" s="14" cm="1">
        <f t="array" ref="H107">INDEX(Benchmarks!F$6:F$244,MATCH(SolverWork!$B107,MutualFunds!$B$6:$B$244,0),0)</f>
        <v>7.5350637906025095E-3</v>
      </c>
      <c r="I107" s="14" cm="1">
        <f t="array" ref="I107">INDEX(Benchmarks!G$6:G$244,MATCH(SolverWork!$B107,MutualFunds!$B$6:$B$244,0),0)</f>
        <v>1.148147054987113E-2</v>
      </c>
      <c r="J107" s="14" cm="1">
        <f t="array" ref="J107">INDEX(Benchmarks!H$6:H$244,MATCH(SolverWork!$B107,MutualFunds!$B$6:$B$244,0),0)</f>
        <v>-3.7800687285223168E-3</v>
      </c>
      <c r="K107" s="14" cm="1">
        <f t="array" ref="K107">INDEX(Benchmarks!I$6:I$244,MATCH(SolverWork!$B107,MutualFunds!$B$6:$B$244,0),0)</f>
        <v>4.3681405058385678E-2</v>
      </c>
      <c r="L107" s="14" cm="1">
        <f t="array" ref="L107">INDEX(Benchmarks!J$6:J$244,MATCH(SolverWork!$B107,MutualFunds!$B$6:$B$244,0),0)</f>
        <v>-3.054052687465238E-2</v>
      </c>
      <c r="M107" s="14" cm="1">
        <f t="array" ref="M107">INDEX(Benchmarks!K$6:K$244,MATCH(SolverWork!$B107,MutualFunds!$B$6:$B$244,0),0)</f>
        <v>-1.0892474121048061E-2</v>
      </c>
      <c r="N107" s="14" cm="1">
        <f t="array" ref="N107">INDEX(Benchmarks!L$6:L$244,MATCH(SolverWork!$B107,MutualFunds!$B$6:$B$244,0),0)</f>
        <v>-1.9215618454662488E-4</v>
      </c>
      <c r="O107" s="14" cm="1">
        <f t="array" ref="O107">INDEX(Benchmarks!M$6:M$244,MATCH(SolverWork!$B107,MutualFunds!$B$6:$B$244,0),0)</f>
        <v>-9.8484255748945537E-2</v>
      </c>
      <c r="P107" s="14" cm="1">
        <f t="array" ref="P107">INDEX(Benchmarks!N$6:N$244,MATCH(SolverWork!$B107,MutualFunds!$B$6:$B$244,0),0)</f>
        <v>2.0793808534345256E-2</v>
      </c>
      <c r="Q107" s="14" cm="1">
        <f t="array" ref="Q107">INDEX(Benchmarks!O$6:O$244,MATCH(SolverWork!$B107,MutualFunds!$B$6:$B$244,0),0)</f>
        <v>1.5313688038908197E-2</v>
      </c>
      <c r="R107" s="14" cm="1">
        <f t="array" ref="R107">INDEX(Benchmarks!P$6:P$244,MATCH(SolverWork!$B107,MutualFunds!$B$6:$B$244,0),0)</f>
        <v>-1.7142301521706645E-3</v>
      </c>
      <c r="S107" s="14" cm="1">
        <f t="array" ref="S107">INDEX(Benchmarks!Q$6:Q$244,MATCH(SolverWork!$B107,MutualFunds!$B$6:$B$244,0),0)</f>
        <v>1.5604134361869994E-3</v>
      </c>
      <c r="T107" s="14" cm="1">
        <f t="array" ref="T107">INDEX(Benchmarks!R$6:R$244,MATCH(SolverWork!$B107,MutualFunds!$B$6:$B$244,0),0)</f>
        <v>4.1333174053279201E-2</v>
      </c>
    </row>
    <row r="108" spans="1:20" x14ac:dyDescent="0.2">
      <c r="A108">
        <v>98</v>
      </c>
      <c r="B108" s="28">
        <f>IF(B107="","",IF(EOMONTH(B107,1)&lt;=EOMONTH(Front!$C$4,0),EOMONTH(B107,1),""))</f>
        <v>37346</v>
      </c>
      <c r="C108" s="14">
        <f>IF(B108="","",INDEX(MutualFunds!$C$6:$O$244,MATCH(B108,MutualFunds!$B$6:$B$244,0),MATCH(Front!$C$2,MutualFunds!$C$4:$O$4,0)))</f>
        <v>3.5381026438569212E-2</v>
      </c>
      <c r="D108" s="14">
        <f t="shared" si="1"/>
        <v>-1.3371587394066686E-2</v>
      </c>
      <c r="E108" s="14" cm="1">
        <f t="array" ref="E108">INDEX(Benchmarks!C$6:C$244,MATCH(SolverWork!$B108,MutualFunds!$B$6:$B$244,0),0)</f>
        <v>1.2999999999999999E-3</v>
      </c>
      <c r="F108" s="14" cm="1">
        <f t="array" ref="F108">INDEX(Benchmarks!D$6:D$244,MATCH(SolverWork!$B108,MutualFunds!$B$6:$B$244,0),0)</f>
        <v>-2.0558424172881923E-2</v>
      </c>
      <c r="G108" s="14" cm="1">
        <f t="array" ref="G108">INDEX(Benchmarks!E$6:E$244,MATCH(SolverWork!$B108,MutualFunds!$B$6:$B$244,0),0)</f>
        <v>-4.5438986821838119E-2</v>
      </c>
      <c r="H108" s="14" cm="1">
        <f t="array" ref="H108">INDEX(Benchmarks!F$6:F$244,MATCH(SolverWork!$B108,MutualFunds!$B$6:$B$244,0),0)</f>
        <v>-1.9164402251802989E-2</v>
      </c>
      <c r="I108" s="14" cm="1">
        <f t="array" ref="I108">INDEX(Benchmarks!G$6:G$244,MATCH(SolverWork!$B108,MutualFunds!$B$6:$B$244,0),0)</f>
        <v>-1.0551978613652655E-2</v>
      </c>
      <c r="J108" s="14" cm="1">
        <f t="array" ref="J108">INDEX(Benchmarks!H$6:H$244,MATCH(SolverWork!$B108,MutualFunds!$B$6:$B$244,0),0)</f>
        <v>-3.0096585029320531E-2</v>
      </c>
      <c r="K108" s="14" cm="1">
        <f t="array" ref="K108">INDEX(Benchmarks!I$6:I$244,MATCH(SolverWork!$B108,MutualFunds!$B$6:$B$244,0),0)</f>
        <v>0.13481788183862622</v>
      </c>
      <c r="L108" s="14" cm="1">
        <f t="array" ref="L108">INDEX(Benchmarks!J$6:J$244,MATCH(SolverWork!$B108,MutualFunds!$B$6:$B$244,0),0)</f>
        <v>2.3018480849806164E-2</v>
      </c>
      <c r="M108" s="14" cm="1">
        <f t="array" ref="M108">INDEX(Benchmarks!K$6:K$244,MATCH(SolverWork!$B108,MutualFunds!$B$6:$B$244,0),0)</f>
        <v>5.0310195923139199E-2</v>
      </c>
      <c r="N108" s="14" cm="1">
        <f t="array" ref="N108">INDEX(Benchmarks!L$6:L$244,MATCH(SolverWork!$B108,MutualFunds!$B$6:$B$244,0),0)</f>
        <v>7.0208145144240869E-2</v>
      </c>
      <c r="O108" s="14" cm="1">
        <f t="array" ref="O108">INDEX(Benchmarks!M$6:M$244,MATCH(SolverWork!$B108,MutualFunds!$B$6:$B$244,0),0)</f>
        <v>8.2030849343169371E-2</v>
      </c>
      <c r="P108" s="14" cm="1">
        <f t="array" ref="P108">INDEX(Benchmarks!N$6:N$244,MATCH(SolverWork!$B108,MutualFunds!$B$6:$B$244,0),0)</f>
        <v>6.8596504166973951E-2</v>
      </c>
      <c r="Q108" s="14" cm="1">
        <f t="array" ref="Q108">INDEX(Benchmarks!O$6:O$244,MATCH(SolverWork!$B108,MutualFunds!$B$6:$B$244,0),0)</f>
        <v>5.6081619160669047E-2</v>
      </c>
      <c r="R108" s="14" cm="1">
        <f t="array" ref="R108">INDEX(Benchmarks!P$6:P$244,MATCH(SolverWork!$B108,MutualFunds!$B$6:$B$244,0),0)</f>
        <v>5.1560991811525708E-2</v>
      </c>
      <c r="S108" s="14" cm="1">
        <f t="array" ref="S108">INDEX(Benchmarks!Q$6:Q$244,MATCH(SolverWork!$B108,MutualFunds!$B$6:$B$244,0),0)</f>
        <v>7.0661092443541393E-2</v>
      </c>
      <c r="T108" s="14" cm="1">
        <f t="array" ref="T108">INDEX(Benchmarks!R$6:R$244,MATCH(SolverWork!$B108,MutualFunds!$B$6:$B$244,0),0)</f>
        <v>5.3457011767076283E-2</v>
      </c>
    </row>
    <row r="109" spans="1:20" x14ac:dyDescent="0.2">
      <c r="A109">
        <v>99</v>
      </c>
      <c r="B109" s="28">
        <f>IF(B108="","",IF(EOMONTH(B108,1)&lt;=EOMONTH(Front!$C$4,0),EOMONTH(B108,1),""))</f>
        <v>37376</v>
      </c>
      <c r="C109" s="14">
        <f>IF(B109="","",INDEX(MutualFunds!$C$6:$O$244,MATCH(B109,MutualFunds!$B$6:$B$244,0),MATCH(Front!$C$2,MutualFunds!$C$4:$O$4,0)))</f>
        <v>-1.1265490048817548E-3</v>
      </c>
      <c r="D109" s="14">
        <f t="shared" si="1"/>
        <v>4.8616254732744453E-2</v>
      </c>
      <c r="E109" s="14" cm="1">
        <f t="array" ref="E109">INDEX(Benchmarks!C$6:C$244,MATCH(SolverWork!$B109,MutualFunds!$B$6:$B$244,0),0)</f>
        <v>1.5E-3</v>
      </c>
      <c r="F109" s="14" cm="1">
        <f t="array" ref="F109">INDEX(Benchmarks!D$6:D$244,MATCH(SolverWork!$B109,MutualFunds!$B$6:$B$244,0),0)</f>
        <v>1.3472615444693891E-2</v>
      </c>
      <c r="G109" s="14" cm="1">
        <f t="array" ref="G109">INDEX(Benchmarks!E$6:E$244,MATCH(SolverWork!$B109,MutualFunds!$B$6:$B$244,0),0)</f>
        <v>3.2093231734648127E-2</v>
      </c>
      <c r="H109" s="14" cm="1">
        <f t="array" ref="H109">INDEX(Benchmarks!F$6:F$244,MATCH(SolverWork!$B109,MutualFunds!$B$6:$B$244,0),0)</f>
        <v>1.350628097172428E-2</v>
      </c>
      <c r="I109" s="14" cm="1">
        <f t="array" ref="I109">INDEX(Benchmarks!G$6:G$244,MATCH(SolverWork!$B109,MutualFunds!$B$6:$B$244,0),0)</f>
        <v>1.9220853351091614E-2</v>
      </c>
      <c r="J109" s="14" cm="1">
        <f t="array" ref="J109">INDEX(Benchmarks!H$6:H$244,MATCH(SolverWork!$B109,MutualFunds!$B$6:$B$244,0),0)</f>
        <v>1.5204054414510606E-2</v>
      </c>
      <c r="K109" s="14" cm="1">
        <f t="array" ref="K109">INDEX(Benchmarks!I$6:I$244,MATCH(SolverWork!$B109,MutualFunds!$B$6:$B$244,0),0)</f>
        <v>1.1069233642321182E-2</v>
      </c>
      <c r="L109" s="14" cm="1">
        <f t="array" ref="L109">INDEX(Benchmarks!J$6:J$244,MATCH(SolverWork!$B109,MutualFunds!$B$6:$B$244,0),0)</f>
        <v>-7.212412691399156E-2</v>
      </c>
      <c r="M109" s="14" cm="1">
        <f t="array" ref="M109">INDEX(Benchmarks!K$6:K$244,MATCH(SolverWork!$B109,MutualFunds!$B$6:$B$244,0),0)</f>
        <v>-5.1096069947395892E-2</v>
      </c>
      <c r="N109" s="14" cm="1">
        <f t="array" ref="N109">INDEX(Benchmarks!L$6:L$244,MATCH(SolverWork!$B109,MutualFunds!$B$6:$B$244,0),0)</f>
        <v>-5.6748796781839811E-3</v>
      </c>
      <c r="O109" s="14" cm="1">
        <f t="array" ref="O109">INDEX(Benchmarks!M$6:M$244,MATCH(SolverWork!$B109,MutualFunds!$B$6:$B$244,0),0)</f>
        <v>-5.8217030523107539E-2</v>
      </c>
      <c r="P109" s="14" cm="1">
        <f t="array" ref="P109">INDEX(Benchmarks!N$6:N$244,MATCH(SolverWork!$B109,MutualFunds!$B$6:$B$244,0),0)</f>
        <v>2.5943640391742701E-2</v>
      </c>
      <c r="Q109" s="14" cm="1">
        <f t="array" ref="Q109">INDEX(Benchmarks!O$6:O$244,MATCH(SolverWork!$B109,MutualFunds!$B$6:$B$244,0),0)</f>
        <v>4.0150586039205899E-3</v>
      </c>
      <c r="R109" s="14" cm="1">
        <f t="array" ref="R109">INDEX(Benchmarks!P$6:P$244,MATCH(SolverWork!$B109,MutualFunds!$B$6:$B$244,0),0)</f>
        <v>-1.0415663230902509E-2</v>
      </c>
      <c r="S109" s="14" cm="1">
        <f t="array" ref="S109">INDEX(Benchmarks!Q$6:Q$244,MATCH(SolverWork!$B109,MutualFunds!$B$6:$B$244,0),0)</f>
        <v>1.1828300337560523E-2</v>
      </c>
      <c r="T109" s="14" cm="1">
        <f t="array" ref="T109">INDEX(Benchmarks!R$6:R$244,MATCH(SolverWork!$B109,MutualFunds!$B$6:$B$244,0),0)</f>
        <v>5.8205752417846306E-2</v>
      </c>
    </row>
    <row r="110" spans="1:20" x14ac:dyDescent="0.2">
      <c r="A110">
        <v>100</v>
      </c>
      <c r="B110" s="28">
        <f>IF(B109="","",IF(EOMONTH(B109,1)&lt;=EOMONTH(Front!$C$4,0),EOMONTH(B109,1),""))</f>
        <v>37407</v>
      </c>
      <c r="C110" s="14">
        <f>IF(B110="","",INDEX(MutualFunds!$C$6:$O$244,MATCH(B110,MutualFunds!$B$6:$B$244,0),MATCH(Front!$C$2,MutualFunds!$C$4:$O$4,0)))</f>
        <v>-4.8872180451127439E-3</v>
      </c>
      <c r="D110" s="14">
        <f t="shared" si="1"/>
        <v>-6.3581033122613708E-3</v>
      </c>
      <c r="E110" s="14" cm="1">
        <f t="array" ref="E110">INDEX(Benchmarks!C$6:C$244,MATCH(SolverWork!$B110,MutualFunds!$B$6:$B$244,0),0)</f>
        <v>1.4000000000000002E-3</v>
      </c>
      <c r="F110" s="14" cm="1">
        <f t="array" ref="F110">INDEX(Benchmarks!D$6:D$244,MATCH(SolverWork!$B110,MutualFunds!$B$6:$B$244,0),0)</f>
        <v>9.6329833349382827E-4</v>
      </c>
      <c r="G110" s="14" cm="1">
        <f t="array" ref="G110">INDEX(Benchmarks!E$6:E$244,MATCH(SolverWork!$B110,MutualFunds!$B$6:$B$244,0),0)</f>
        <v>-2.2583166854858935E-3</v>
      </c>
      <c r="H110" s="14" cm="1">
        <f t="array" ref="H110">INDEX(Benchmarks!F$6:F$244,MATCH(SolverWork!$B110,MutualFunds!$B$6:$B$244,0),0)</f>
        <v>1.2891309487815875E-2</v>
      </c>
      <c r="I110" s="14" cm="1">
        <f t="array" ref="I110">INDEX(Benchmarks!G$6:G$244,MATCH(SolverWork!$B110,MutualFunds!$B$6:$B$244,0),0)</f>
        <v>7.1983676730567013E-3</v>
      </c>
      <c r="J110" s="14" cm="1">
        <f t="array" ref="J110">INDEX(Benchmarks!H$6:H$244,MATCH(SolverWork!$B110,MutualFunds!$B$6:$B$244,0),0)</f>
        <v>-4.1163075845156664E-3</v>
      </c>
      <c r="K110" s="14" cm="1">
        <f t="array" ref="K110">INDEX(Benchmarks!I$6:I$244,MATCH(SolverWork!$B110,MutualFunds!$B$6:$B$244,0),0)</f>
        <v>-4.3511312880288928E-2</v>
      </c>
      <c r="L110" s="14" cm="1">
        <f t="array" ref="L110">INDEX(Benchmarks!J$6:J$244,MATCH(SolverWork!$B110,MutualFunds!$B$6:$B$244,0),0)</f>
        <v>-2.0311727321013263E-2</v>
      </c>
      <c r="M110" s="14" cm="1">
        <f t="array" ref="M110">INDEX(Benchmarks!K$6:K$244,MATCH(SolverWork!$B110,MutualFunds!$B$6:$B$244,0),0)</f>
        <v>1.5325525514163041E-3</v>
      </c>
      <c r="N110" s="14" cm="1">
        <f t="array" ref="N110">INDEX(Benchmarks!L$6:L$244,MATCH(SolverWork!$B110,MutualFunds!$B$6:$B$244,0),0)</f>
        <v>-1.9984467562491066E-2</v>
      </c>
      <c r="O110" s="14" cm="1">
        <f t="array" ref="O110">INDEX(Benchmarks!M$6:M$244,MATCH(SolverWork!$B110,MutualFunds!$B$6:$B$244,0),0)</f>
        <v>-7.090540268508333E-2</v>
      </c>
      <c r="P110" s="14" cm="1">
        <f t="array" ref="P110">INDEX(Benchmarks!N$6:N$244,MATCH(SolverWork!$B110,MutualFunds!$B$6:$B$244,0),0)</f>
        <v>-2.0961991254625011E-2</v>
      </c>
      <c r="Q110" s="14" cm="1">
        <f t="array" ref="Q110">INDEX(Benchmarks!O$6:O$244,MATCH(SolverWork!$B110,MutualFunds!$B$6:$B$244,0),0)</f>
        <v>-1.8586433434040529E-2</v>
      </c>
      <c r="R110" s="14" cm="1">
        <f t="array" ref="R110">INDEX(Benchmarks!P$6:P$244,MATCH(SolverWork!$B110,MutualFunds!$B$6:$B$244,0),0)</f>
        <v>-7.3747237637581155E-3</v>
      </c>
      <c r="S110" s="14" cm="1">
        <f t="array" ref="S110">INDEX(Benchmarks!Q$6:Q$244,MATCH(SolverWork!$B110,MutualFunds!$B$6:$B$244,0),0)</f>
        <v>-2.2947257374455073E-2</v>
      </c>
      <c r="T110" s="14" cm="1">
        <f t="array" ref="T110">INDEX(Benchmarks!R$6:R$244,MATCH(SolverWork!$B110,MutualFunds!$B$6:$B$244,0),0)</f>
        <v>6.2294936388164045E-2</v>
      </c>
    </row>
    <row r="111" spans="1:20" x14ac:dyDescent="0.2">
      <c r="A111">
        <v>101</v>
      </c>
      <c r="B111" s="28">
        <f>IF(B110="","",IF(EOMONTH(B110,1)&lt;=EOMONTH(Front!$C$4,0),EOMONTH(B110,1),""))</f>
        <v>37437</v>
      </c>
      <c r="C111" s="14">
        <f>IF(B111="","",INDEX(MutualFunds!$C$6:$O$244,MATCH(B111,MutualFunds!$B$6:$B$244,0),MATCH(Front!$C$2,MutualFunds!$C$4:$O$4,0)))</f>
        <v>-4.7223271628258401E-2</v>
      </c>
      <c r="D111" s="14">
        <f t="shared" si="1"/>
        <v>1.581196249363509E-2</v>
      </c>
      <c r="E111" s="14" cm="1">
        <f t="array" ref="E111">INDEX(Benchmarks!C$6:C$244,MATCH(SolverWork!$B111,MutualFunds!$B$6:$B$244,0),0)</f>
        <v>1.2999999999999999E-3</v>
      </c>
      <c r="F111" s="14" cm="1">
        <f t="array" ref="F111">INDEX(Benchmarks!D$6:D$244,MATCH(SolverWork!$B111,MutualFunds!$B$6:$B$244,0),0)</f>
        <v>8.0839187758637611E-3</v>
      </c>
      <c r="G111" s="14" cm="1">
        <f t="array" ref="G111">INDEX(Benchmarks!E$6:E$244,MATCH(SolverWork!$B111,MutualFunds!$B$6:$B$244,0),0)</f>
        <v>1.3841734134238734E-2</v>
      </c>
      <c r="H111" s="14" cm="1">
        <f t="array" ref="H111">INDEX(Benchmarks!F$6:F$244,MATCH(SolverWork!$B111,MutualFunds!$B$6:$B$244,0),0)</f>
        <v>-2.5701734623085763E-4</v>
      </c>
      <c r="I111" s="14" cm="1">
        <f t="array" ref="I111">INDEX(Benchmarks!G$6:G$244,MATCH(SolverWork!$B111,MutualFunds!$B$6:$B$244,0),0)</f>
        <v>8.7019700370506523E-3</v>
      </c>
      <c r="J111" s="14" cm="1">
        <f t="array" ref="J111">INDEX(Benchmarks!H$6:H$244,MATCH(SolverWork!$B111,MutualFunds!$B$6:$B$244,0),0)</f>
        <v>1.6445343417465397E-2</v>
      </c>
      <c r="K111" s="14" cm="1">
        <f t="array" ref="K111">INDEX(Benchmarks!I$6:I$244,MATCH(SolverWork!$B111,MutualFunds!$B$6:$B$244,0),0)</f>
        <v>3.4172265755916927E-2</v>
      </c>
      <c r="L111" s="14" cm="1">
        <f t="array" ref="L111">INDEX(Benchmarks!J$6:J$244,MATCH(SolverWork!$B111,MutualFunds!$B$6:$B$244,0),0)</f>
        <v>-8.141708730603843E-2</v>
      </c>
      <c r="M111" s="14" cm="1">
        <f t="array" ref="M111">INDEX(Benchmarks!K$6:K$244,MATCH(SolverWork!$B111,MutualFunds!$B$6:$B$244,0),0)</f>
        <v>-6.4306494880417162E-2</v>
      </c>
      <c r="N111" s="14" cm="1">
        <f t="array" ref="N111">INDEX(Benchmarks!L$6:L$244,MATCH(SolverWork!$B111,MutualFunds!$B$6:$B$244,0),0)</f>
        <v>-7.3366936041207864E-2</v>
      </c>
      <c r="O111" s="14" cm="1">
        <f t="array" ref="O111">INDEX(Benchmarks!M$6:M$244,MATCH(SolverWork!$B111,MutualFunds!$B$6:$B$244,0),0)</f>
        <v>-9.5933333333333246E-2</v>
      </c>
      <c r="P111" s="14" cm="1">
        <f t="array" ref="P111">INDEX(Benchmarks!N$6:N$244,MATCH(SolverWork!$B111,MutualFunds!$B$6:$B$244,0),0)</f>
        <v>-3.3586653290639909E-2</v>
      </c>
      <c r="Q111" s="14" cm="1">
        <f t="array" ref="Q111">INDEX(Benchmarks!O$6:O$244,MATCH(SolverWork!$B111,MutualFunds!$B$6:$B$244,0),0)</f>
        <v>-7.6608524893150107E-2</v>
      </c>
      <c r="R111" s="14" cm="1">
        <f t="array" ref="R111">INDEX(Benchmarks!P$6:P$244,MATCH(SolverWork!$B111,MutualFunds!$B$6:$B$244,0),0)</f>
        <v>-3.6677039132484636E-2</v>
      </c>
      <c r="S111" s="14" cm="1">
        <f t="array" ref="S111">INDEX(Benchmarks!Q$6:Q$244,MATCH(SolverWork!$B111,MutualFunds!$B$6:$B$244,0),0)</f>
        <v>-5.5070297107367473E-2</v>
      </c>
      <c r="T111" s="14" cm="1">
        <f t="array" ref="T111">INDEX(Benchmarks!R$6:R$244,MATCH(SolverWork!$B111,MutualFunds!$B$6:$B$244,0),0)</f>
        <v>-5.2256123257338249E-2</v>
      </c>
    </row>
    <row r="112" spans="1:20" x14ac:dyDescent="0.2">
      <c r="A112">
        <v>102</v>
      </c>
      <c r="B112" s="28">
        <f>IF(B111="","",IF(EOMONTH(B111,1)&lt;=EOMONTH(Front!$C$4,0),EOMONTH(B111,1),""))</f>
        <v>37468</v>
      </c>
      <c r="C112" s="14">
        <f>IF(B112="","",INDEX(MutualFunds!$C$6:$O$244,MATCH(B112,MutualFunds!$B$6:$B$244,0),MATCH(Front!$C$2,MutualFunds!$C$4:$O$4,0)))</f>
        <v>-9.2783505154639165E-2</v>
      </c>
      <c r="D112" s="14">
        <f t="shared" si="1"/>
        <v>1.4390577504292054E-2</v>
      </c>
      <c r="E112" s="14" cm="1">
        <f t="array" ref="E112">INDEX(Benchmarks!C$6:C$244,MATCH(SolverWork!$B112,MutualFunds!$B$6:$B$244,0),0)</f>
        <v>1.5E-3</v>
      </c>
      <c r="F112" s="14" cm="1">
        <f t="array" ref="F112">INDEX(Benchmarks!D$6:D$244,MATCH(SolverWork!$B112,MutualFunds!$B$6:$B$244,0),0)</f>
        <v>1.2792362768496452E-2</v>
      </c>
      <c r="G112" s="14" cm="1">
        <f t="array" ref="G112">INDEX(Benchmarks!E$6:E$244,MATCH(SolverWork!$B112,MutualFunds!$B$6:$B$244,0),0)</f>
        <v>2.5502318392581134E-2</v>
      </c>
      <c r="H112" s="14" cm="1">
        <f t="array" ref="H112">INDEX(Benchmarks!F$6:F$244,MATCH(SolverWork!$B112,MutualFunds!$B$6:$B$244,0),0)</f>
        <v>9.2419862785789089E-4</v>
      </c>
      <c r="I112" s="14" cm="1">
        <f t="array" ref="I112">INDEX(Benchmarks!G$6:G$244,MATCH(SolverWork!$B112,MutualFunds!$B$6:$B$244,0),0)</f>
        <v>1.1945361135406439E-2</v>
      </c>
      <c r="J112" s="14" cm="1">
        <f t="array" ref="J112">INDEX(Benchmarks!H$6:H$244,MATCH(SolverWork!$B112,MutualFunds!$B$6:$B$244,0),0)</f>
        <v>1.5746668973870975E-2</v>
      </c>
      <c r="K112" s="14" cm="1">
        <f t="array" ref="K112">INDEX(Benchmarks!I$6:I$244,MATCH(SolverWork!$B112,MutualFunds!$B$6:$B$244,0),0)</f>
        <v>5.7839327656395443E-3</v>
      </c>
      <c r="L112" s="14" cm="1">
        <f t="array" ref="L112">INDEX(Benchmarks!J$6:J$244,MATCH(SolverWork!$B112,MutualFunds!$B$6:$B$244,0),0)</f>
        <v>-4.8804314643329634E-2</v>
      </c>
      <c r="M112" s="14" cm="1">
        <f t="array" ref="M112">INDEX(Benchmarks!K$6:K$244,MATCH(SolverWork!$B112,MutualFunds!$B$6:$B$244,0),0)</f>
        <v>-0.10936805976176057</v>
      </c>
      <c r="N112" s="14" cm="1">
        <f t="array" ref="N112">INDEX(Benchmarks!L$6:L$244,MATCH(SolverWork!$B112,MutualFunds!$B$6:$B$244,0),0)</f>
        <v>-9.6548363679756596E-2</v>
      </c>
      <c r="O112" s="14" cm="1">
        <f t="array" ref="O112">INDEX(Benchmarks!M$6:M$244,MATCH(SolverWork!$B112,MutualFunds!$B$6:$B$244,0),0)</f>
        <v>-0.14808089373939981</v>
      </c>
      <c r="P112" s="14" cm="1">
        <f t="array" ref="P112">INDEX(Benchmarks!N$6:N$244,MATCH(SolverWork!$B112,MutualFunds!$B$6:$B$244,0),0)</f>
        <v>-9.0510928145841302E-2</v>
      </c>
      <c r="Q112" s="14" cm="1">
        <f t="array" ref="Q112">INDEX(Benchmarks!O$6:O$244,MATCH(SolverWork!$B112,MutualFunds!$B$6:$B$244,0),0)</f>
        <v>-7.8589031499412099E-2</v>
      </c>
      <c r="R112" s="14" cm="1">
        <f t="array" ref="R112">INDEX(Benchmarks!P$6:P$244,MATCH(SolverWork!$B112,MutualFunds!$B$6:$B$244,0),0)</f>
        <v>-0.11224799433048421</v>
      </c>
      <c r="S112" s="14" cm="1">
        <f t="array" ref="S112">INDEX(Benchmarks!Q$6:Q$244,MATCH(SolverWork!$B112,MutualFunds!$B$6:$B$244,0),0)</f>
        <v>-3.8596011485047932E-2</v>
      </c>
      <c r="T112" s="14" cm="1">
        <f t="array" ref="T112">INDEX(Benchmarks!R$6:R$244,MATCH(SolverWork!$B112,MutualFunds!$B$6:$B$244,0),0)</f>
        <v>-6.9488842342078291E-2</v>
      </c>
    </row>
    <row r="113" spans="1:20" x14ac:dyDescent="0.2">
      <c r="A113">
        <v>103</v>
      </c>
      <c r="B113" s="28">
        <f>IF(B112="","",IF(EOMONTH(B112,1)&lt;=EOMONTH(Front!$C$4,0),EOMONTH(B112,1),""))</f>
        <v>37499</v>
      </c>
      <c r="C113" s="14">
        <f>IF(B113="","",INDEX(MutualFunds!$C$6:$O$244,MATCH(B113,MutualFunds!$B$6:$B$244,0),MATCH(Front!$C$2,MutualFunds!$C$4:$O$4,0)))</f>
        <v>1.3986013986013996E-2</v>
      </c>
      <c r="D113" s="14">
        <f t="shared" si="1"/>
        <v>9.0674110975573E-3</v>
      </c>
      <c r="E113" s="14" cm="1">
        <f t="array" ref="E113">INDEX(Benchmarks!C$6:C$244,MATCH(SolverWork!$B113,MutualFunds!$B$6:$B$244,0),0)</f>
        <v>1.4000000000000002E-3</v>
      </c>
      <c r="F113" s="14" cm="1">
        <f t="array" ref="F113">INDEX(Benchmarks!D$6:D$244,MATCH(SolverWork!$B113,MutualFunds!$B$6:$B$244,0),0)</f>
        <v>6.7866905457630205E-3</v>
      </c>
      <c r="G113" s="14" cm="1">
        <f t="array" ref="G113">INDEX(Benchmarks!E$6:E$244,MATCH(SolverWork!$B113,MutualFunds!$B$6:$B$244,0),0)</f>
        <v>4.0525831030729202E-2</v>
      </c>
      <c r="H113" s="14" cm="1">
        <f t="array" ref="H113">INDEX(Benchmarks!F$6:F$244,MATCH(SolverWork!$B113,MutualFunds!$B$6:$B$244,0),0)</f>
        <v>2.6277951311418638E-2</v>
      </c>
      <c r="I113" s="14" cm="1">
        <f t="array" ref="I113">INDEX(Benchmarks!G$6:G$244,MATCH(SolverWork!$B113,MutualFunds!$B$6:$B$244,0),0)</f>
        <v>1.0172879946398252E-2</v>
      </c>
      <c r="J113" s="14" cm="1">
        <f t="array" ref="J113">INDEX(Benchmarks!H$6:H$244,MATCH(SolverWork!$B113,MutualFunds!$B$6:$B$244,0),0)</f>
        <v>2.7938671209540043E-2</v>
      </c>
      <c r="K113" s="14" cm="1">
        <f t="array" ref="K113">INDEX(Benchmarks!I$6:I$244,MATCH(SolverWork!$B113,MutualFunds!$B$6:$B$244,0),0)</f>
        <v>6.0480245492903768E-2</v>
      </c>
      <c r="L113" s="14" cm="1">
        <f t="array" ref="L113">INDEX(Benchmarks!J$6:J$244,MATCH(SolverWork!$B113,MutualFunds!$B$6:$B$244,0),0)</f>
        <v>5.3704773519909089E-3</v>
      </c>
      <c r="M113" s="14" cm="1">
        <f t="array" ref="M113">INDEX(Benchmarks!K$6:K$244,MATCH(SolverWork!$B113,MutualFunds!$B$6:$B$244,0),0)</f>
        <v>4.3297894044839955E-3</v>
      </c>
      <c r="N113" s="14" cm="1">
        <f t="array" ref="N113">INDEX(Benchmarks!L$6:L$244,MATCH(SolverWork!$B113,MutualFunds!$B$6:$B$244,0),0)</f>
        <v>5.0411658521551982E-3</v>
      </c>
      <c r="O113" s="14" cm="1">
        <f t="array" ref="O113">INDEX(Benchmarks!M$6:M$244,MATCH(SolverWork!$B113,MutualFunds!$B$6:$B$244,0),0)</f>
        <v>-1.351395215476668E-2</v>
      </c>
      <c r="P113" s="14" cm="1">
        <f t="array" ref="P113">INDEX(Benchmarks!N$6:N$244,MATCH(SolverWork!$B113,MutualFunds!$B$6:$B$244,0),0)</f>
        <v>1.3508865192782741E-2</v>
      </c>
      <c r="Q113" s="14" cm="1">
        <f t="array" ref="Q113">INDEX(Benchmarks!O$6:O$244,MATCH(SolverWork!$B113,MutualFunds!$B$6:$B$244,0),0)</f>
        <v>1.4469338782104702E-2</v>
      </c>
      <c r="R113" s="14" cm="1">
        <f t="array" ref="R113">INDEX(Benchmarks!P$6:P$244,MATCH(SolverWork!$B113,MutualFunds!$B$6:$B$244,0),0)</f>
        <v>-3.3310141565345893E-3</v>
      </c>
      <c r="S113" s="14" cm="1">
        <f t="array" ref="S113">INDEX(Benchmarks!Q$6:Q$244,MATCH(SolverWork!$B113,MutualFunds!$B$6:$B$244,0),0)</f>
        <v>-2.3831291521911414E-2</v>
      </c>
      <c r="T113" s="14" cm="1">
        <f t="array" ref="T113">INDEX(Benchmarks!R$6:R$244,MATCH(SolverWork!$B113,MutualFunds!$B$6:$B$244,0),0)</f>
        <v>-1.0728207770367289E-2</v>
      </c>
    </row>
    <row r="114" spans="1:20" x14ac:dyDescent="0.2">
      <c r="A114">
        <v>104</v>
      </c>
      <c r="B114" s="28">
        <f>IF(B113="","",IF(EOMONTH(B113,1)&lt;=EOMONTH(Front!$C$4,0),EOMONTH(B113,1),""))</f>
        <v>37529</v>
      </c>
      <c r="C114" s="14">
        <f>IF(B114="","",INDEX(MutualFunds!$C$6:$O$244,MATCH(B114,MutualFunds!$B$6:$B$244,0),MATCH(Front!$C$2,MutualFunds!$C$4:$O$4,0)))</f>
        <v>-9.2672413793103522E-2</v>
      </c>
      <c r="D114" s="14">
        <f t="shared" si="1"/>
        <v>2.0438125103053761E-2</v>
      </c>
      <c r="E114" s="14" cm="1">
        <f t="array" ref="E114">INDEX(Benchmarks!C$6:C$244,MATCH(SolverWork!$B114,MutualFunds!$B$6:$B$244,0),0)</f>
        <v>1.4000000000000002E-3</v>
      </c>
      <c r="F114" s="14" cm="1">
        <f t="array" ref="F114">INDEX(Benchmarks!D$6:D$244,MATCH(SolverWork!$B114,MutualFunds!$B$6:$B$244,0),0)</f>
        <v>1.1234903098960797E-2</v>
      </c>
      <c r="G114" s="14" cm="1">
        <f t="array" ref="G114">INDEX(Benchmarks!E$6:E$244,MATCH(SolverWork!$B114,MutualFunds!$B$6:$B$244,0),0)</f>
        <v>3.6694294680936802E-2</v>
      </c>
      <c r="H114" s="14" cm="1">
        <f t="array" ref="H114">INDEX(Benchmarks!F$6:F$244,MATCH(SolverWork!$B114,MutualFunds!$B$6:$B$244,0),0)</f>
        <v>1.952497903201136E-2</v>
      </c>
      <c r="I114" s="14" cm="1">
        <f t="array" ref="I114">INDEX(Benchmarks!G$6:G$244,MATCH(SolverWork!$B114,MutualFunds!$B$6:$B$244,0),0)</f>
        <v>6.8394473438946925E-3</v>
      </c>
      <c r="J114" s="14" cm="1">
        <f t="array" ref="J114">INDEX(Benchmarks!H$6:H$244,MATCH(SolverWork!$B114,MutualFunds!$B$6:$B$244,0),0)</f>
        <v>2.1130261849519365E-2</v>
      </c>
      <c r="K114" s="14" cm="1">
        <f t="array" ref="K114">INDEX(Benchmarks!I$6:I$244,MATCH(SolverWork!$B114,MutualFunds!$B$6:$B$244,0),0)</f>
        <v>4.5664729848604084E-2</v>
      </c>
      <c r="L114" s="14" cm="1">
        <f t="array" ref="L114">INDEX(Benchmarks!J$6:J$244,MATCH(SolverWork!$B114,MutualFunds!$B$6:$B$244,0),0)</f>
        <v>-0.1048778411509321</v>
      </c>
      <c r="M114" s="14" cm="1">
        <f t="array" ref="M114">INDEX(Benchmarks!K$6:K$244,MATCH(SolverWork!$B114,MutualFunds!$B$6:$B$244,0),0)</f>
        <v>-0.1155877573131095</v>
      </c>
      <c r="N114" s="14" cm="1">
        <f t="array" ref="N114">INDEX(Benchmarks!L$6:L$244,MATCH(SolverWork!$B114,MutualFunds!$B$6:$B$244,0),0)</f>
        <v>-8.1382104917314707E-2</v>
      </c>
      <c r="O114" s="14" cm="1">
        <f t="array" ref="O114">INDEX(Benchmarks!M$6:M$244,MATCH(SolverWork!$B114,MutualFunds!$B$6:$B$244,0),0)</f>
        <v>-9.8098142014170636E-2</v>
      </c>
      <c r="P114" s="14" cm="1">
        <f t="array" ref="P114">INDEX(Benchmarks!N$6:N$244,MATCH(SolverWork!$B114,MutualFunds!$B$6:$B$244,0),0)</f>
        <v>-7.2166856931288714E-2</v>
      </c>
      <c r="Q114" s="14" cm="1">
        <f t="array" ref="Q114">INDEX(Benchmarks!O$6:O$244,MATCH(SolverWork!$B114,MutualFunds!$B$6:$B$244,0),0)</f>
        <v>-0.10967392249887926</v>
      </c>
      <c r="R114" s="14" cm="1">
        <f t="array" ref="R114">INDEX(Benchmarks!P$6:P$244,MATCH(SolverWork!$B114,MutualFunds!$B$6:$B$244,0),0)</f>
        <v>-0.13226869931740989</v>
      </c>
      <c r="S114" s="14" cm="1">
        <f t="array" ref="S114">INDEX(Benchmarks!Q$6:Q$244,MATCH(SolverWork!$B114,MutualFunds!$B$6:$B$244,0),0)</f>
        <v>-0.11543144355644357</v>
      </c>
      <c r="T114" s="14" cm="1">
        <f t="array" ref="T114">INDEX(Benchmarks!R$6:R$244,MATCH(SolverWork!$B114,MutualFunds!$B$6:$B$244,0),0)</f>
        <v>-4.7475908357913009E-2</v>
      </c>
    </row>
    <row r="115" spans="1:20" x14ac:dyDescent="0.2">
      <c r="A115">
        <v>105</v>
      </c>
      <c r="B115" s="28">
        <f>IF(B114="","",IF(EOMONTH(B114,1)&lt;=EOMONTH(Front!$C$4,0),EOMONTH(B114,1),""))</f>
        <v>37560</v>
      </c>
      <c r="C115" s="14">
        <f>IF(B115="","",INDEX(MutualFunds!$C$6:$O$244,MATCH(B115,MutualFunds!$B$6:$B$244,0),MATCH(Front!$C$2,MutualFunds!$C$4:$O$4,0)))</f>
        <v>5.5106888361045138E-2</v>
      </c>
      <c r="D115" s="14">
        <f t="shared" si="1"/>
        <v>-2.3896261618448593E-2</v>
      </c>
      <c r="E115" s="14" cm="1">
        <f t="array" ref="E115">INDEX(Benchmarks!C$6:C$244,MATCH(SolverWork!$B115,MutualFunds!$B$6:$B$244,0),0)</f>
        <v>1.4000000000000002E-3</v>
      </c>
      <c r="F115" s="14" cm="1">
        <f t="array" ref="F115">INDEX(Benchmarks!D$6:D$244,MATCH(SolverWork!$B115,MutualFunds!$B$6:$B$244,0),0)</f>
        <v>-5.740209239885238E-3</v>
      </c>
      <c r="G115" s="14" cm="1">
        <f t="array" ref="G115">INDEX(Benchmarks!E$6:E$244,MATCH(SolverWork!$B115,MutualFunds!$B$6:$B$244,0),0)</f>
        <v>-3.4308779011100021E-2</v>
      </c>
      <c r="H115" s="14" cm="1">
        <f t="array" ref="H115">INDEX(Benchmarks!F$6:F$244,MATCH(SolverWork!$B115,MutualFunds!$B$6:$B$244,0),0)</f>
        <v>-1.2768664762928612E-2</v>
      </c>
      <c r="I115" s="14" cm="1">
        <f t="array" ref="I115">INDEX(Benchmarks!G$6:G$244,MATCH(SolverWork!$B115,MutualFunds!$B$6:$B$244,0),0)</f>
        <v>4.6899282585585239E-3</v>
      </c>
      <c r="J115" s="14" cm="1">
        <f t="array" ref="J115">INDEX(Benchmarks!H$6:H$244,MATCH(SolverWork!$B115,MutualFunds!$B$6:$B$244,0),0)</f>
        <v>-2.5561957315588781E-2</v>
      </c>
      <c r="K115" s="14" cm="1">
        <f t="array" ref="K115">INDEX(Benchmarks!I$6:I$244,MATCH(SolverWork!$B115,MutualFunds!$B$6:$B$244,0),0)</f>
        <v>-4.7184979176179268E-2</v>
      </c>
      <c r="L115" s="14" cm="1">
        <f t="array" ref="L115">INDEX(Benchmarks!J$6:J$244,MATCH(SolverWork!$B115,MutualFunds!$B$6:$B$244,0),0)</f>
        <v>9.1512125534950084E-2</v>
      </c>
      <c r="M115" s="14" cm="1">
        <f t="array" ref="M115">INDEX(Benchmarks!K$6:K$244,MATCH(SolverWork!$B115,MutualFunds!$B$6:$B$244,0),0)</f>
        <v>8.0876910905239519E-2</v>
      </c>
      <c r="N115" s="14" cm="1">
        <f t="array" ref="N115">INDEX(Benchmarks!L$6:L$244,MATCH(SolverWork!$B115,MutualFunds!$B$6:$B$244,0),0)</f>
        <v>3.9831185398013905E-2</v>
      </c>
      <c r="O115" s="14" cm="1">
        <f t="array" ref="O115">INDEX(Benchmarks!M$6:M$244,MATCH(SolverWork!$B115,MutualFunds!$B$6:$B$244,0),0)</f>
        <v>6.8211115164781608E-2</v>
      </c>
      <c r="P115" s="14" cm="1">
        <f t="array" ref="P115">INDEX(Benchmarks!N$6:N$244,MATCH(SolverWork!$B115,MutualFunds!$B$6:$B$244,0),0)</f>
        <v>3.799215216812929E-3</v>
      </c>
      <c r="Q115" s="14" cm="1">
        <f t="array" ref="Q115">INDEX(Benchmarks!O$6:O$244,MATCH(SolverWork!$B115,MutualFunds!$B$6:$B$244,0),0)</f>
        <v>6.4091001330296979E-2</v>
      </c>
      <c r="R115" s="14" cm="1">
        <f t="array" ref="R115">INDEX(Benchmarks!P$6:P$244,MATCH(SolverWork!$B115,MutualFunds!$B$6:$B$244,0),0)</f>
        <v>9.5829545700840554E-2</v>
      </c>
      <c r="S115" s="14" cm="1">
        <f t="array" ref="S115">INDEX(Benchmarks!Q$6:Q$244,MATCH(SolverWork!$B115,MutualFunds!$B$6:$B$244,0),0)</f>
        <v>5.3121342062385703E-2</v>
      </c>
      <c r="T115" s="14" cm="1">
        <f t="array" ref="T115">INDEX(Benchmarks!R$6:R$244,MATCH(SolverWork!$B115,MutualFunds!$B$6:$B$244,0),0)</f>
        <v>-6.9706313800606282E-2</v>
      </c>
    </row>
    <row r="116" spans="1:20" x14ac:dyDescent="0.2">
      <c r="A116">
        <v>106</v>
      </c>
      <c r="B116" s="28">
        <f>IF(B115="","",IF(EOMONTH(B115,1)&lt;=EOMONTH(Front!$C$4,0),EOMONTH(B115,1),""))</f>
        <v>37590</v>
      </c>
      <c r="C116" s="14">
        <f>IF(B116="","",INDEX(MutualFunds!$C$6:$O$244,MATCH(B116,MutualFunds!$B$6:$B$244,0),MATCH(Front!$C$2,MutualFunds!$C$4:$O$4,0)))</f>
        <v>5.4479963980189137E-2</v>
      </c>
      <c r="D116" s="14">
        <f t="shared" si="1"/>
        <v>-1.1856798632259309E-2</v>
      </c>
      <c r="E116" s="14" cm="1">
        <f t="array" ref="E116">INDEX(Benchmarks!C$6:C$244,MATCH(SolverWork!$B116,MutualFunds!$B$6:$B$244,0),0)</f>
        <v>1.1999999999999999E-3</v>
      </c>
      <c r="F116" s="14" cm="1">
        <f t="array" ref="F116">INDEX(Benchmarks!D$6:D$244,MATCH(SolverWork!$B116,MutualFunds!$B$6:$B$244,0),0)</f>
        <v>-1.2105410187168238E-2</v>
      </c>
      <c r="G116" s="14" cm="1">
        <f t="array" ref="G116">INDEX(Benchmarks!E$6:E$244,MATCH(SolverWork!$B116,MutualFunds!$B$6:$B$244,0),0)</f>
        <v>-1.7201189614982723E-2</v>
      </c>
      <c r="H116" s="14" cm="1">
        <f t="array" ref="H116">INDEX(Benchmarks!F$6:F$244,MATCH(SolverWork!$B116,MutualFunds!$B$6:$B$244,0),0)</f>
        <v>1.3627833230384237E-2</v>
      </c>
      <c r="I116" s="14" cm="1">
        <f t="array" ref="I116">INDEX(Benchmarks!G$6:G$244,MATCH(SolverWork!$B116,MutualFunds!$B$6:$B$244,0),0)</f>
        <v>1.8711234825997017E-3</v>
      </c>
      <c r="J116" s="14" cm="1">
        <f t="array" ref="J116">INDEX(Benchmarks!H$6:H$244,MATCH(SolverWork!$B116,MutualFunds!$B$6:$B$244,0),0)</f>
        <v>-1.9986675549633153E-3</v>
      </c>
      <c r="K116" s="14" cm="1">
        <f t="array" ref="K116">INDEX(Benchmarks!I$6:I$244,MATCH(SolverWork!$B116,MutualFunds!$B$6:$B$244,0),0)</f>
        <v>-2.1724356256208051E-3</v>
      </c>
      <c r="L116" s="14" cm="1">
        <f t="array" ref="L116">INDEX(Benchmarks!J$6:J$244,MATCH(SolverWork!$B116,MutualFunds!$B$6:$B$244,0),0)</f>
        <v>4.7419895880981902E-2</v>
      </c>
      <c r="M116" s="14" cm="1">
        <f t="array" ref="M116">INDEX(Benchmarks!K$6:K$244,MATCH(SolverWork!$B116,MutualFunds!$B$6:$B$244,0),0)</f>
        <v>6.771817151492257E-2</v>
      </c>
      <c r="N116" s="14" cm="1">
        <f t="array" ref="N116">INDEX(Benchmarks!L$6:L$244,MATCH(SolverWork!$B116,MutualFunds!$B$6:$B$244,0),0)</f>
        <v>5.8495757853703256E-2</v>
      </c>
      <c r="O116" s="14" cm="1">
        <f t="array" ref="O116">INDEX(Benchmarks!M$6:M$244,MATCH(SolverWork!$B116,MutualFunds!$B$6:$B$244,0),0)</f>
        <v>0.11798859276631107</v>
      </c>
      <c r="P116" s="14" cm="1">
        <f t="array" ref="P116">INDEX(Benchmarks!N$6:N$244,MATCH(SolverWork!$B116,MutualFunds!$B$6:$B$244,0),0)</f>
        <v>4.1624912004637867E-2</v>
      </c>
      <c r="Q116" s="14" cm="1">
        <f t="array" ref="Q116">INDEX(Benchmarks!O$6:O$244,MATCH(SolverWork!$B116,MutualFunds!$B$6:$B$244,0),0)</f>
        <v>6.7795353173636205E-2</v>
      </c>
      <c r="R116" s="14" cm="1">
        <f t="array" ref="R116">INDEX(Benchmarks!P$6:P$244,MATCH(SolverWork!$B116,MutualFunds!$B$6:$B$244,0),0)</f>
        <v>4.8007306446077189E-2</v>
      </c>
      <c r="S116" s="14" cm="1">
        <f t="array" ref="S116">INDEX(Benchmarks!Q$6:Q$244,MATCH(SolverWork!$B116,MutualFunds!$B$6:$B$244,0),0)</f>
        <v>4.9073381069940462E-2</v>
      </c>
      <c r="T116" s="14" cm="1">
        <f t="array" ref="T116">INDEX(Benchmarks!R$6:R$244,MATCH(SolverWork!$B116,MutualFunds!$B$6:$B$244,0),0)</f>
        <v>3.9951429076656296E-2</v>
      </c>
    </row>
    <row r="117" spans="1:20" x14ac:dyDescent="0.2">
      <c r="A117">
        <v>107</v>
      </c>
      <c r="B117" s="28">
        <f>IF(B116="","",IF(EOMONTH(B116,1)&lt;=EOMONTH(Front!$C$4,0),EOMONTH(B116,1),""))</f>
        <v>37621</v>
      </c>
      <c r="C117" s="14">
        <f>IF(B117="","",INDEX(MutualFunds!$C$6:$O$244,MATCH(B117,MutualFunds!$B$6:$B$244,0),MATCH(Front!$C$2,MutualFunds!$C$4:$O$4,0)))</f>
        <v>-5.0384286934244217E-2</v>
      </c>
      <c r="D117" s="14">
        <f t="shared" si="1"/>
        <v>1.7047720859875784E-3</v>
      </c>
      <c r="E117" s="14" cm="1">
        <f t="array" ref="E117">INDEX(Benchmarks!C$6:C$244,MATCH(SolverWork!$B117,MutualFunds!$B$6:$B$244,0),0)</f>
        <v>1.1000000000000001E-3</v>
      </c>
      <c r="F117" s="14" cm="1">
        <f t="array" ref="F117">INDEX(Benchmarks!D$6:D$244,MATCH(SolverWork!$B117,MutualFunds!$B$6:$B$244,0),0)</f>
        <v>1.2536525591478916E-2</v>
      </c>
      <c r="G117" s="14" cm="1">
        <f t="array" ref="G117">INDEX(Benchmarks!E$6:E$244,MATCH(SolverWork!$B117,MutualFunds!$B$6:$B$244,0),0)</f>
        <v>3.6885581091028095E-2</v>
      </c>
      <c r="H117" s="14" cm="1">
        <f t="array" ref="H117">INDEX(Benchmarks!F$6:F$244,MATCH(SolverWork!$B117,MutualFunds!$B$6:$B$244,0),0)</f>
        <v>3.116349188851817E-2</v>
      </c>
      <c r="I117" s="14" cm="1">
        <f t="array" ref="I117">INDEX(Benchmarks!G$6:G$244,MATCH(SolverWork!$B117,MutualFunds!$B$6:$B$244,0),0)</f>
        <v>8.8344346077136697E-3</v>
      </c>
      <c r="J117" s="14" cm="1">
        <f t="array" ref="J117">INDEX(Benchmarks!H$6:H$244,MATCH(SolverWork!$B117,MutualFunds!$B$6:$B$244,0),0)</f>
        <v>2.6118157543391151E-2</v>
      </c>
      <c r="K117" s="14" cm="1">
        <f t="array" ref="K117">INDEX(Benchmarks!I$6:I$244,MATCH(SolverWork!$B117,MutualFunds!$B$6:$B$244,0),0)</f>
        <v>8.5311119260928145E-2</v>
      </c>
      <c r="L117" s="14" cm="1">
        <f t="array" ref="L117">INDEX(Benchmarks!J$6:J$244,MATCH(SolverWork!$B117,MutualFunds!$B$6:$B$244,0),0)</f>
        <v>-6.6609824065216552E-2</v>
      </c>
      <c r="M117" s="14" cm="1">
        <f t="array" ref="M117">INDEX(Benchmarks!K$6:K$244,MATCH(SolverWork!$B117,MutualFunds!$B$6:$B$244,0),0)</f>
        <v>-5.3560371517027798E-2</v>
      </c>
      <c r="N117" s="14" cm="1">
        <f t="array" ref="N117">INDEX(Benchmarks!L$6:L$244,MATCH(SolverWork!$B117,MutualFunds!$B$6:$B$244,0),0)</f>
        <v>-4.2026819176360947E-2</v>
      </c>
      <c r="O117" s="14" cm="1">
        <f t="array" ref="O117">INDEX(Benchmarks!M$6:M$244,MATCH(SolverWork!$B117,MutualFunds!$B$6:$B$244,0),0)</f>
        <v>-8.6361923770149535E-2</v>
      </c>
      <c r="P117" s="14" cm="1">
        <f t="array" ref="P117">INDEX(Benchmarks!N$6:N$244,MATCH(SolverWork!$B117,MutualFunds!$B$6:$B$244,0),0)</f>
        <v>-1.3150885339227614E-2</v>
      </c>
      <c r="Q117" s="14" cm="1">
        <f t="array" ref="Q117">INDEX(Benchmarks!O$6:O$244,MATCH(SolverWork!$B117,MutualFunds!$B$6:$B$244,0),0)</f>
        <v>-3.3959743086010533E-2</v>
      </c>
      <c r="R117" s="14" cm="1">
        <f t="array" ref="R117">INDEX(Benchmarks!P$6:P$244,MATCH(SolverWork!$B117,MutualFunds!$B$6:$B$244,0),0)</f>
        <v>-3.7002457875303367E-2</v>
      </c>
      <c r="S117" s="14" cm="1">
        <f t="array" ref="S117">INDEX(Benchmarks!Q$6:Q$244,MATCH(SolverWork!$B117,MutualFunds!$B$6:$B$244,0),0)</f>
        <v>-6.9325538802283065E-2</v>
      </c>
      <c r="T117" s="14" cm="1">
        <f t="array" ref="T117">INDEX(Benchmarks!R$6:R$244,MATCH(SolverWork!$B117,MutualFunds!$B$6:$B$244,0),0)</f>
        <v>-2.5547068001759102E-2</v>
      </c>
    </row>
    <row r="118" spans="1:20" x14ac:dyDescent="0.2">
      <c r="A118">
        <v>108</v>
      </c>
      <c r="B118" s="28">
        <f>IF(B117="","",IF(EOMONTH(B117,1)&lt;=EOMONTH(Front!$C$4,0),EOMONTH(B117,1),""))</f>
        <v>37652</v>
      </c>
      <c r="C118" s="14">
        <f>IF(B118="","",INDEX(MutualFunds!$C$6:$O$244,MATCH(B118,MutualFunds!$B$6:$B$244,0),MATCH(Front!$C$2,MutualFunds!$C$4:$O$4,0)))</f>
        <v>-4.271582733812946E-2</v>
      </c>
      <c r="D118" s="14">
        <f t="shared" si="1"/>
        <v>-1.4251436939587983E-2</v>
      </c>
      <c r="E118" s="14" cm="1">
        <f t="array" ref="E118">INDEX(Benchmarks!C$6:C$244,MATCH(SolverWork!$B118,MutualFunds!$B$6:$B$244,0),0)</f>
        <v>1E-3</v>
      </c>
      <c r="F118" s="14" cm="1">
        <f t="array" ref="F118">INDEX(Benchmarks!D$6:D$244,MATCH(SolverWork!$B118,MutualFunds!$B$6:$B$244,0),0)</f>
        <v>-7.2612176503444531E-3</v>
      </c>
      <c r="G118" s="14" cm="1">
        <f t="array" ref="G118">INDEX(Benchmarks!E$6:E$244,MATCH(SolverWork!$B118,MutualFunds!$B$6:$B$244,0),0)</f>
        <v>-8.9919545669664026E-3</v>
      </c>
      <c r="H118" s="14" cm="1">
        <f t="array" ref="H118">INDEX(Benchmarks!F$6:F$244,MATCH(SolverWork!$B118,MutualFunds!$B$6:$B$244,0),0)</f>
        <v>3.4630261729496526E-3</v>
      </c>
      <c r="I118" s="14" cm="1">
        <f t="array" ref="I118">INDEX(Benchmarks!G$6:G$244,MATCH(SolverWork!$B118,MutualFunds!$B$6:$B$244,0),0)</f>
        <v>3.1030375485124077E-3</v>
      </c>
      <c r="J118" s="14" cm="1">
        <f t="array" ref="J118">INDEX(Benchmarks!H$6:H$244,MATCH(SolverWork!$B118,MutualFunds!$B$6:$B$244,0),0)</f>
        <v>1.4637716516224023E-3</v>
      </c>
      <c r="K118" s="14" cm="1">
        <f t="array" ref="K118">INDEX(Benchmarks!I$6:I$244,MATCH(SolverWork!$B118,MutualFunds!$B$6:$B$244,0),0)</f>
        <v>8.9911927825872345E-2</v>
      </c>
      <c r="L118" s="14" cm="1">
        <f t="array" ref="L118">INDEX(Benchmarks!J$6:J$244,MATCH(SolverWork!$B118,MutualFunds!$B$6:$B$244,0),0)</f>
        <v>-2.6023215916939488E-2</v>
      </c>
      <c r="M118" s="14" cm="1">
        <f t="array" ref="M118">INDEX(Benchmarks!K$6:K$244,MATCH(SolverWork!$B118,MutualFunds!$B$6:$B$244,0),0)</f>
        <v>-2.8786391887471362E-2</v>
      </c>
      <c r="N118" s="14" cm="1">
        <f t="array" ref="N118">INDEX(Benchmarks!L$6:L$244,MATCH(SolverWork!$B118,MutualFunds!$B$6:$B$244,0),0)</f>
        <v>-2.9318649510413675E-2</v>
      </c>
      <c r="O118" s="14" cm="1">
        <f t="array" ref="O118">INDEX(Benchmarks!M$6:M$244,MATCH(SolverWork!$B118,MutualFunds!$B$6:$B$244,0),0)</f>
        <v>-1.4366599050400108E-2</v>
      </c>
      <c r="P118" s="14" cm="1">
        <f t="array" ref="P118">INDEX(Benchmarks!N$6:N$244,MATCH(SolverWork!$B118,MutualFunds!$B$6:$B$244,0),0)</f>
        <v>-3.2259883819299499E-2</v>
      </c>
      <c r="Q118" s="14" cm="1">
        <f t="array" ref="Q118">INDEX(Benchmarks!O$6:O$244,MATCH(SolverWork!$B118,MutualFunds!$B$6:$B$244,0),0)</f>
        <v>-5.6557910233148807E-3</v>
      </c>
      <c r="R118" s="14" cm="1">
        <f t="array" ref="R118">INDEX(Benchmarks!P$6:P$244,MATCH(SolverWork!$B118,MutualFunds!$B$6:$B$244,0),0)</f>
        <v>-4.801676644221483E-2</v>
      </c>
      <c r="S118" s="14" cm="1">
        <f t="array" ref="S118">INDEX(Benchmarks!Q$6:Q$244,MATCH(SolverWork!$B118,MutualFunds!$B$6:$B$244,0),0)</f>
        <v>1.1796136221918456E-2</v>
      </c>
      <c r="T118" s="14" cm="1">
        <f t="array" ref="T118">INDEX(Benchmarks!R$6:R$244,MATCH(SolverWork!$B118,MutualFunds!$B$6:$B$244,0),0)</f>
        <v>-4.0599431951919923E-2</v>
      </c>
    </row>
    <row r="119" spans="1:20" x14ac:dyDescent="0.2">
      <c r="A119">
        <v>109</v>
      </c>
      <c r="B119" s="28">
        <f>IF(B118="","",IF(EOMONTH(B118,1)&lt;=EOMONTH(Front!$C$4,0),EOMONTH(B118,1),""))</f>
        <v>37680</v>
      </c>
      <c r="C119" s="14">
        <f>IF(B119="","",INDEX(MutualFunds!$C$6:$O$244,MATCH(B119,MutualFunds!$B$6:$B$244,0),MATCH(Front!$C$2,MutualFunds!$C$4:$O$4,0)))</f>
        <v>-3.9924847346171972E-2</v>
      </c>
      <c r="D119" s="14">
        <f t="shared" si="1"/>
        <v>-1.1208906717237198E-2</v>
      </c>
      <c r="E119" s="14" cm="1">
        <f t="array" ref="E119">INDEX(Benchmarks!C$6:C$244,MATCH(SolverWork!$B119,MutualFunds!$B$6:$B$244,0),0)</f>
        <v>8.9999999999999998E-4</v>
      </c>
      <c r="F119" s="14" cm="1">
        <f t="array" ref="F119">INDEX(Benchmarks!D$6:D$244,MATCH(SolverWork!$B119,MutualFunds!$B$6:$B$244,0),0)</f>
        <v>6.5641410352588418E-3</v>
      </c>
      <c r="G119" s="14" cm="1">
        <f t="array" ref="G119">INDEX(Benchmarks!E$6:E$244,MATCH(SolverWork!$B119,MutualFunds!$B$6:$B$244,0),0)</f>
        <v>2.7141037886023647E-2</v>
      </c>
      <c r="H119" s="14" cm="1">
        <f t="array" ref="H119">INDEX(Benchmarks!F$6:F$244,MATCH(SolverWork!$B119,MutualFunds!$B$6:$B$244,0),0)</f>
        <v>2.0860998200939451E-2</v>
      </c>
      <c r="I119" s="14" cm="1">
        <f t="array" ref="I119">INDEX(Benchmarks!G$6:G$244,MATCH(SolverWork!$B119,MutualFunds!$B$6:$B$244,0),0)</f>
        <v>7.071968452185288E-3</v>
      </c>
      <c r="J119" s="14" cm="1">
        <f t="array" ref="J119">INDEX(Benchmarks!H$6:H$244,MATCH(SolverWork!$B119,MutualFunds!$B$6:$B$244,0),0)</f>
        <v>9.9066179455947929E-3</v>
      </c>
      <c r="K119" s="14" cm="1">
        <f t="array" ref="K119">INDEX(Benchmarks!I$6:I$244,MATCH(SolverWork!$B119,MutualFunds!$B$6:$B$244,0),0)</f>
        <v>0.12122479712206148</v>
      </c>
      <c r="L119" s="14" cm="1">
        <f t="array" ref="L119">INDEX(Benchmarks!J$6:J$244,MATCH(SolverWork!$B119,MutualFunds!$B$6:$B$244,0),0)</f>
        <v>-4.5979640855542663E-3</v>
      </c>
      <c r="M119" s="14" cm="1">
        <f t="array" ref="M119">INDEX(Benchmarks!K$6:K$244,MATCH(SolverWork!$B119,MutualFunds!$B$6:$B$244,0),0)</f>
        <v>-2.9639609296059261E-2</v>
      </c>
      <c r="N119" s="14" cm="1">
        <f t="array" ref="N119">INDEX(Benchmarks!L$6:L$244,MATCH(SolverWork!$B119,MutualFunds!$B$6:$B$244,0),0)</f>
        <v>-2.3879136623606564E-2</v>
      </c>
      <c r="O119" s="14" cm="1">
        <f t="array" ref="O119">INDEX(Benchmarks!M$6:M$244,MATCH(SolverWork!$B119,MutualFunds!$B$6:$B$244,0),0)</f>
        <v>-2.580484660703589E-2</v>
      </c>
      <c r="P119" s="14" cm="1">
        <f t="array" ref="P119">INDEX(Benchmarks!N$6:N$244,MATCH(SolverWork!$B119,MutualFunds!$B$6:$B$244,0),0)</f>
        <v>-3.2769142390915322E-2</v>
      </c>
      <c r="Q119" s="14" cm="1">
        <f t="array" ref="Q119">INDEX(Benchmarks!O$6:O$244,MATCH(SolverWork!$B119,MutualFunds!$B$6:$B$244,0),0)</f>
        <v>-3.1504142019983535E-2</v>
      </c>
      <c r="R119" s="14" cm="1">
        <f t="array" ref="R119">INDEX(Benchmarks!P$6:P$244,MATCH(SolverWork!$B119,MutualFunds!$B$6:$B$244,0),0)</f>
        <v>-3.4875483624870661E-2</v>
      </c>
      <c r="S119" s="14" cm="1">
        <f t="array" ref="S119">INDEX(Benchmarks!Q$6:Q$244,MATCH(SolverWork!$B119,MutualFunds!$B$6:$B$244,0),0)</f>
        <v>-4.9088287677041903E-2</v>
      </c>
      <c r="T119" s="14" cm="1">
        <f t="array" ref="T119">INDEX(Benchmarks!R$6:R$244,MATCH(SolverWork!$B119,MutualFunds!$B$6:$B$244,0),0)</f>
        <v>5.6526264758818652E-3</v>
      </c>
    </row>
    <row r="120" spans="1:20" x14ac:dyDescent="0.2">
      <c r="A120">
        <v>110</v>
      </c>
      <c r="B120" s="28">
        <f>IF(B119="","",IF(EOMONTH(B119,1)&lt;=EOMONTH(Front!$C$4,0),EOMONTH(B119,1),""))</f>
        <v>37711</v>
      </c>
      <c r="C120" s="14">
        <f>IF(B120="","",INDEX(MutualFunds!$C$6:$O$244,MATCH(B120,MutualFunds!$B$6:$B$244,0),MATCH(Front!$C$2,MutualFunds!$C$4:$O$4,0)))</f>
        <v>4.8923679060666053E-3</v>
      </c>
      <c r="D120" s="14">
        <f t="shared" si="1"/>
        <v>7.9938467469576231E-3</v>
      </c>
      <c r="E120" s="14" cm="1">
        <f t="array" ref="E120">INDEX(Benchmarks!C$6:C$244,MATCH(SolverWork!$B120,MutualFunds!$B$6:$B$244,0),0)</f>
        <v>1E-3</v>
      </c>
      <c r="F120" s="14" cm="1">
        <f t="array" ref="F120">INDEX(Benchmarks!D$6:D$244,MATCH(SolverWork!$B120,MutualFunds!$B$6:$B$244,0),0)</f>
        <v>-4.4717719396311154E-3</v>
      </c>
      <c r="G120" s="14" cm="1">
        <f t="array" ref="G120">INDEX(Benchmarks!E$6:E$244,MATCH(SolverWork!$B120,MutualFunds!$B$6:$B$244,0),0)</f>
        <v>-1.6737698566447197E-2</v>
      </c>
      <c r="H120" s="14" cm="1">
        <f t="array" ref="H120">INDEX(Benchmarks!F$6:F$244,MATCH(SolverWork!$B120,MutualFunds!$B$6:$B$244,0),0)</f>
        <v>9.0466545750644118E-4</v>
      </c>
      <c r="I120" s="14" cm="1">
        <f t="array" ref="I120">INDEX(Benchmarks!G$6:G$244,MATCH(SolverWork!$B120,MutualFunds!$B$6:$B$244,0),0)</f>
        <v>-1.0268057205255693E-4</v>
      </c>
      <c r="J120" s="14" cm="1">
        <f t="array" ref="J120">INDEX(Benchmarks!H$6:H$244,MATCH(SolverWork!$B120,MutualFunds!$B$6:$B$244,0),0)</f>
        <v>-1.1015518211787445E-2</v>
      </c>
      <c r="K120" s="14" cm="1">
        <f t="array" ref="K120">INDEX(Benchmarks!I$6:I$244,MATCH(SolverWork!$B120,MutualFunds!$B$6:$B$244,0),0)</f>
        <v>-0.14411150223408273</v>
      </c>
      <c r="L120" s="14" cm="1">
        <f t="array" ref="L120">INDEX(Benchmarks!J$6:J$244,MATCH(SolverWork!$B120,MutualFunds!$B$6:$B$244,0),0)</f>
        <v>1.9143264236797446E-2</v>
      </c>
      <c r="M120" s="14" cm="1">
        <f t="array" ref="M120">INDEX(Benchmarks!K$6:K$244,MATCH(SolverWork!$B120,MutualFunds!$B$6:$B$244,0),0)</f>
        <v>-2.8759855209005429E-3</v>
      </c>
      <c r="N120" s="14" cm="1">
        <f t="array" ref="N120">INDEX(Benchmarks!L$6:L$244,MATCH(SolverWork!$B120,MutualFunds!$B$6:$B$244,0),0)</f>
        <v>8.0549887230157869E-3</v>
      </c>
      <c r="O120" s="14" cm="1">
        <f t="array" ref="O120">INDEX(Benchmarks!M$6:M$244,MATCH(SolverWork!$B120,MutualFunds!$B$6:$B$244,0),0)</f>
        <v>1.2257547793989692E-2</v>
      </c>
      <c r="P120" s="14" cm="1">
        <f t="array" ref="P120">INDEX(Benchmarks!N$6:N$244,MATCH(SolverWork!$B120,MutualFunds!$B$6:$B$244,0),0)</f>
        <v>8.3493290410324532E-4</v>
      </c>
      <c r="Q120" s="14" cm="1">
        <f t="array" ref="Q120">INDEX(Benchmarks!O$6:O$244,MATCH(SolverWork!$B120,MutualFunds!$B$6:$B$244,0),0)</f>
        <v>-3.2070333608259199E-2</v>
      </c>
      <c r="R120" s="14" cm="1">
        <f t="array" ref="R120">INDEX(Benchmarks!P$6:P$244,MATCH(SolverWork!$B120,MutualFunds!$B$6:$B$244,0),0)</f>
        <v>-1.9072892552650923E-2</v>
      </c>
      <c r="S120" s="14" cm="1">
        <f t="array" ref="S120">INDEX(Benchmarks!Q$6:Q$244,MATCH(SolverWork!$B120,MutualFunds!$B$6:$B$244,0),0)</f>
        <v>-4.7935879369496226E-2</v>
      </c>
      <c r="T120" s="14" cm="1">
        <f t="array" ref="T120">INDEX(Benchmarks!R$6:R$244,MATCH(SolverWork!$B120,MutualFunds!$B$6:$B$244,0),0)</f>
        <v>-4.9696415339466463E-2</v>
      </c>
    </row>
    <row r="121" spans="1:20" x14ac:dyDescent="0.2">
      <c r="A121">
        <v>111</v>
      </c>
      <c r="B121" s="28">
        <f>IF(B120="","",IF(EOMONTH(B120,1)&lt;=EOMONTH(Front!$C$4,0),EOMONTH(B120,1),""))</f>
        <v>37741</v>
      </c>
      <c r="C121" s="14">
        <f>IF(B121="","",INDEX(MutualFunds!$C$6:$O$244,MATCH(B121,MutualFunds!$B$6:$B$244,0),MATCH(Front!$C$2,MutualFunds!$C$4:$O$4,0)))</f>
        <v>8.6660175267770076E-2</v>
      </c>
      <c r="D121" s="14">
        <f t="shared" si="1"/>
        <v>-9.1287664992049516E-3</v>
      </c>
      <c r="E121" s="14" cm="1">
        <f t="array" ref="E121">INDEX(Benchmarks!C$6:C$244,MATCH(SolverWork!$B121,MutualFunds!$B$6:$B$244,0),0)</f>
        <v>1E-3</v>
      </c>
      <c r="F121" s="14" cm="1">
        <f t="array" ref="F121">INDEX(Benchmarks!D$6:D$244,MATCH(SolverWork!$B121,MutualFunds!$B$6:$B$244,0),0)</f>
        <v>-1.1229646266141713E-3</v>
      </c>
      <c r="G121" s="14" cm="1">
        <f t="array" ref="G121">INDEX(Benchmarks!E$6:E$244,MATCH(SolverWork!$B121,MutualFunds!$B$6:$B$244,0),0)</f>
        <v>4.7285050043345302E-3</v>
      </c>
      <c r="H121" s="14" cm="1">
        <f t="array" ref="H121">INDEX(Benchmarks!F$6:F$244,MATCH(SolverWork!$B121,MutualFunds!$B$6:$B$244,0),0)</f>
        <v>1.9010907115139673E-2</v>
      </c>
      <c r="I121" s="14" cm="1">
        <f t="array" ref="I121">INDEX(Benchmarks!G$6:G$244,MATCH(SolverWork!$B121,MutualFunds!$B$6:$B$244,0),0)</f>
        <v>4.7768774416336183E-3</v>
      </c>
      <c r="J121" s="14" cm="1">
        <f t="array" ref="J121">INDEX(Benchmarks!H$6:H$244,MATCH(SolverWork!$B121,MutualFunds!$B$6:$B$244,0),0)</f>
        <v>3.2520325203257117E-4</v>
      </c>
      <c r="K121" s="14" cm="1">
        <f t="array" ref="K121">INDEX(Benchmarks!I$6:I$244,MATCH(SolverWork!$B121,MutualFunds!$B$6:$B$244,0),0)</f>
        <v>-6.137163750862186E-2</v>
      </c>
      <c r="L121" s="14" cm="1">
        <f t="array" ref="L121">INDEX(Benchmarks!J$6:J$244,MATCH(SolverWork!$B121,MutualFunds!$B$6:$B$244,0),0)</f>
        <v>6.5821814327913938E-2</v>
      </c>
      <c r="M121" s="14" cm="1">
        <f t="array" ref="M121">INDEX(Benchmarks!K$6:K$244,MATCH(SolverWork!$B121,MutualFunds!$B$6:$B$244,0),0)</f>
        <v>9.7294743647123164E-2</v>
      </c>
      <c r="N121" s="14" cm="1">
        <f t="array" ref="N121">INDEX(Benchmarks!L$6:L$244,MATCH(SolverWork!$B121,MutualFunds!$B$6:$B$244,0),0)</f>
        <v>7.1264531098326159E-2</v>
      </c>
      <c r="O121" s="14" cm="1">
        <f t="array" ref="O121">INDEX(Benchmarks!M$6:M$244,MATCH(SolverWork!$B121,MutualFunds!$B$6:$B$244,0),0)</f>
        <v>9.3639272076782784E-2</v>
      </c>
      <c r="P121" s="14" cm="1">
        <f t="array" ref="P121">INDEX(Benchmarks!N$6:N$244,MATCH(SolverWork!$B121,MutualFunds!$B$6:$B$244,0),0)</f>
        <v>0.10222405696888395</v>
      </c>
      <c r="Q121" s="14" cm="1">
        <f t="array" ref="Q121">INDEX(Benchmarks!O$6:O$244,MATCH(SolverWork!$B121,MutualFunds!$B$6:$B$244,0),0)</f>
        <v>8.4104941105605902E-2</v>
      </c>
      <c r="R121" s="14" cm="1">
        <f t="array" ref="R121">INDEX(Benchmarks!P$6:P$244,MATCH(SolverWork!$B121,MutualFunds!$B$6:$B$244,0),0)</f>
        <v>0.1291798095150386</v>
      </c>
      <c r="S121" s="14" cm="1">
        <f t="array" ref="S121">INDEX(Benchmarks!Q$6:Q$244,MATCH(SolverWork!$B121,MutualFunds!$B$6:$B$244,0),0)</f>
        <v>3.1676044990975587E-2</v>
      </c>
      <c r="T121" s="14" cm="1">
        <f t="array" ref="T121">INDEX(Benchmarks!R$6:R$244,MATCH(SolverWork!$B121,MutualFunds!$B$6:$B$244,0),0)</f>
        <v>-7.8877667050260957E-3</v>
      </c>
    </row>
    <row r="122" spans="1:20" x14ac:dyDescent="0.2">
      <c r="A122">
        <v>112</v>
      </c>
      <c r="B122" s="28">
        <f>IF(B121="","",IF(EOMONTH(B121,1)&lt;=EOMONTH(Front!$C$4,0),EOMONTH(B121,1),""))</f>
        <v>37772</v>
      </c>
      <c r="C122" s="14">
        <f>IF(B122="","",INDEX(MutualFunds!$C$6:$O$244,MATCH(B122,MutualFunds!$B$6:$B$244,0),MATCH(Front!$C$2,MutualFunds!$C$4:$O$4,0)))</f>
        <v>7.213261648745517E-2</v>
      </c>
      <c r="D122" s="14">
        <f t="shared" si="1"/>
        <v>1.3476874296751151E-3</v>
      </c>
      <c r="E122" s="14" cm="1">
        <f t="array" ref="E122">INDEX(Benchmarks!C$6:C$244,MATCH(SolverWork!$B122,MutualFunds!$B$6:$B$244,0),0)</f>
        <v>8.9999999999999998E-4</v>
      </c>
      <c r="F122" s="14" cm="1">
        <f t="array" ref="F122">INDEX(Benchmarks!D$6:D$244,MATCH(SolverWork!$B122,MutualFunds!$B$6:$B$244,0),0)</f>
        <v>1.0773842982949141E-2</v>
      </c>
      <c r="G122" s="14" cm="1">
        <f t="array" ref="G122">INDEX(Benchmarks!E$6:E$244,MATCH(SolverWork!$B122,MutualFunds!$B$6:$B$244,0),0)</f>
        <v>5.2710016471880138E-2</v>
      </c>
      <c r="H122" s="14" cm="1">
        <f t="array" ref="H122">INDEX(Benchmarks!F$6:F$244,MATCH(SolverWork!$B122,MutualFunds!$B$6:$B$244,0),0)</f>
        <v>3.1745574259986864E-2</v>
      </c>
      <c r="I122" s="14" cm="1">
        <f t="array" ref="I122">INDEX(Benchmarks!G$6:G$244,MATCH(SolverWork!$B122,MutualFunds!$B$6:$B$244,0),0)</f>
        <v>3.7026900151226443E-3</v>
      </c>
      <c r="J122" s="14" cm="1">
        <f t="array" ref="J122">INDEX(Benchmarks!H$6:H$244,MATCH(SolverWork!$B122,MutualFunds!$B$6:$B$244,0),0)</f>
        <v>3.234720416124829E-2</v>
      </c>
      <c r="K122" s="14" cm="1">
        <f t="array" ref="K122">INDEX(Benchmarks!I$6:I$244,MATCH(SolverWork!$B122,MutualFunds!$B$6:$B$244,0),0)</f>
        <v>9.5878885228346811E-2</v>
      </c>
      <c r="L122" s="14" cm="1">
        <f t="array" ref="L122">INDEX(Benchmarks!J$6:J$244,MATCH(SolverWork!$B122,MutualFunds!$B$6:$B$244,0),0)</f>
        <v>3.1460246265814756E-2</v>
      </c>
      <c r="M122" s="14" cm="1">
        <f t="array" ref="M122">INDEX(Benchmarks!K$6:K$244,MATCH(SolverWork!$B122,MutualFunds!$B$6:$B$244,0),0)</f>
        <v>7.1083818630894399E-2</v>
      </c>
      <c r="N122" s="14" cm="1">
        <f t="array" ref="N122">INDEX(Benchmarks!L$6:L$244,MATCH(SolverWork!$B122,MutualFunds!$B$6:$B$244,0),0)</f>
        <v>8.1519216743651493E-2</v>
      </c>
      <c r="O122" s="14" cm="1">
        <f t="array" ref="O122">INDEX(Benchmarks!M$6:M$244,MATCH(SolverWork!$B122,MutualFunds!$B$6:$B$244,0),0)</f>
        <v>0.10737839849852691</v>
      </c>
      <c r="P122" s="14" cm="1">
        <f t="array" ref="P122">INDEX(Benchmarks!N$6:N$244,MATCH(SolverWork!$B122,MutualFunds!$B$6:$B$244,0),0)</f>
        <v>9.257958801498116E-2</v>
      </c>
      <c r="Q122" s="14" cm="1">
        <f t="array" ref="Q122">INDEX(Benchmarks!O$6:O$244,MATCH(SolverWork!$B122,MutualFunds!$B$6:$B$244,0),0)</f>
        <v>6.8673221170459958E-2</v>
      </c>
      <c r="R122" s="14" cm="1">
        <f t="array" ref="R122">INDEX(Benchmarks!P$6:P$244,MATCH(SolverWork!$B122,MutualFunds!$B$6:$B$244,0),0)</f>
        <v>5.9972632098832537E-2</v>
      </c>
      <c r="S122" s="14" cm="1">
        <f t="array" ref="S122">INDEX(Benchmarks!Q$6:Q$244,MATCH(SolverWork!$B122,MutualFunds!$B$6:$B$244,0),0)</f>
        <v>8.1565199493925225E-2</v>
      </c>
      <c r="T122" s="14" cm="1">
        <f t="array" ref="T122">INDEX(Benchmarks!R$6:R$244,MATCH(SolverWork!$B122,MutualFunds!$B$6:$B$244,0),0)</f>
        <v>4.8050642379595637E-2</v>
      </c>
    </row>
    <row r="123" spans="1:20" x14ac:dyDescent="0.2">
      <c r="A123">
        <v>113</v>
      </c>
      <c r="B123" s="28">
        <f>IF(B122="","",IF(EOMONTH(B122,1)&lt;=EOMONTH(Front!$C$4,0),EOMONTH(B122,1),""))</f>
        <v>37802</v>
      </c>
      <c r="C123" s="14">
        <f>IF(B123="","",INDEX(MutualFunds!$C$6:$O$244,MATCH(B123,MutualFunds!$B$6:$B$244,0),MATCH(Front!$C$2,MutualFunds!$C$4:$O$4,0)))</f>
        <v>8.3577099874635533E-3</v>
      </c>
      <c r="D123" s="14">
        <f t="shared" si="1"/>
        <v>2.8736281172105438E-3</v>
      </c>
      <c r="E123" s="14" cm="1">
        <f t="array" ref="E123">INDEX(Benchmarks!C$6:C$244,MATCH(SolverWork!$B123,MutualFunds!$B$6:$B$244,0),0)</f>
        <v>1E-3</v>
      </c>
      <c r="F123" s="14" cm="1">
        <f t="array" ref="F123">INDEX(Benchmarks!D$6:D$244,MATCH(SolverWork!$B123,MutualFunds!$B$6:$B$244,0),0)</f>
        <v>-5.931967744925392E-3</v>
      </c>
      <c r="G123" s="14" cm="1">
        <f t="array" ref="G123">INDEX(Benchmarks!E$6:E$244,MATCH(SolverWork!$B123,MutualFunds!$B$6:$B$244,0),0)</f>
        <v>-1.9819685567394354E-2</v>
      </c>
      <c r="H123" s="14" cm="1">
        <f t="array" ref="H123">INDEX(Benchmarks!F$6:F$244,MATCH(SolverWork!$B123,MutualFunds!$B$6:$B$244,0),0)</f>
        <v>-1.5154636655363627E-3</v>
      </c>
      <c r="I123" s="14" cm="1">
        <f t="array" ref="I123">INDEX(Benchmarks!G$6:G$244,MATCH(SolverWork!$B123,MutualFunds!$B$6:$B$244,0),0)</f>
        <v>-6.1268111846235701E-4</v>
      </c>
      <c r="J123" s="14" cm="1">
        <f t="array" ref="J123">INDEX(Benchmarks!H$6:H$244,MATCH(SolverWork!$B123,MutualFunds!$B$6:$B$244,0),0)</f>
        <v>-2.2122500393638705E-2</v>
      </c>
      <c r="K123" s="14" cm="1">
        <f t="array" ref="K123">INDEX(Benchmarks!I$6:I$244,MATCH(SolverWork!$B123,MutualFunds!$B$6:$B$244,0),0)</f>
        <v>2.1936165757645708E-3</v>
      </c>
      <c r="L123" s="14" cm="1">
        <f t="array" ref="L123">INDEX(Benchmarks!J$6:J$244,MATCH(SolverWork!$B123,MutualFunds!$B$6:$B$244,0),0)</f>
        <v>1.6757943100937294E-2</v>
      </c>
      <c r="M123" s="14" cm="1">
        <f t="array" ref="M123">INDEX(Benchmarks!K$6:K$244,MATCH(SolverWork!$B123,MutualFunds!$B$6:$B$244,0),0)</f>
        <v>5.9025133282559457E-3</v>
      </c>
      <c r="N123" s="14" cm="1">
        <f t="array" ref="N123">INDEX(Benchmarks!L$6:L$244,MATCH(SolverWork!$B123,MutualFunds!$B$6:$B$244,0),0)</f>
        <v>1.2373430331763254E-2</v>
      </c>
      <c r="O123" s="14" cm="1">
        <f t="array" ref="O123">INDEX(Benchmarks!M$6:M$244,MATCH(SolverWork!$B123,MutualFunds!$B$6:$B$244,0),0)</f>
        <v>1.6304656579620151E-2</v>
      </c>
      <c r="P123" s="14" cm="1">
        <f t="array" ref="P123">INDEX(Benchmarks!N$6:N$244,MATCH(SolverWork!$B123,MutualFunds!$B$6:$B$244,0),0)</f>
        <v>1.3069094804499163E-2</v>
      </c>
      <c r="Q123" s="14" cm="1">
        <f t="array" ref="Q123">INDEX(Benchmarks!O$6:O$244,MATCH(SolverWork!$B123,MutualFunds!$B$6:$B$244,0),0)</f>
        <v>5.4679871669689094E-2</v>
      </c>
      <c r="R123" s="14" cm="1">
        <f t="array" ref="R123">INDEX(Benchmarks!P$6:P$244,MATCH(SolverWork!$B123,MutualFunds!$B$6:$B$244,0),0)</f>
        <v>6.9710354173056774E-3</v>
      </c>
      <c r="S123" s="14" cm="1">
        <f t="array" ref="S123">INDEX(Benchmarks!Q$6:Q$244,MATCH(SolverWork!$B123,MutualFunds!$B$6:$B$244,0),0)</f>
        <v>5.636183514582991E-2</v>
      </c>
      <c r="T123" s="14" cm="1">
        <f t="array" ref="T123">INDEX(Benchmarks!R$6:R$244,MATCH(SolverWork!$B123,MutualFunds!$B$6:$B$244,0),0)</f>
        <v>7.3467745811488502E-2</v>
      </c>
    </row>
    <row r="124" spans="1:20" x14ac:dyDescent="0.2">
      <c r="A124">
        <v>114</v>
      </c>
      <c r="B124" s="28">
        <f>IF(B123="","",IF(EOMONTH(B123,1)&lt;=EOMONTH(Front!$C$4,0),EOMONTH(B123,1),""))</f>
        <v>37833</v>
      </c>
      <c r="C124" s="14">
        <f>IF(B124="","",INDEX(MutualFunds!$C$6:$O$244,MATCH(B124,MutualFunds!$B$6:$B$244,0),MATCH(Front!$C$2,MutualFunds!$C$4:$O$4,0)))</f>
        <v>-3.3153750518028114E-3</v>
      </c>
      <c r="D124" s="14">
        <f t="shared" si="1"/>
        <v>-2.1478828470989846E-2</v>
      </c>
      <c r="E124" s="14" cm="1">
        <f t="array" ref="E124">INDEX(Benchmarks!C$6:C$244,MATCH(SolverWork!$B124,MutualFunds!$B$6:$B$244,0),0)</f>
        <v>7.000000000000001E-4</v>
      </c>
      <c r="F124" s="14" cm="1">
        <f t="array" ref="F124">INDEX(Benchmarks!D$6:D$244,MATCH(SolverWork!$B124,MutualFunds!$B$6:$B$244,0),0)</f>
        <v>-2.8717948717948701E-2</v>
      </c>
      <c r="G124" s="14" cm="1">
        <f t="array" ref="G124">INDEX(Benchmarks!E$6:E$244,MATCH(SolverWork!$B124,MutualFunds!$B$6:$B$244,0),0)</f>
        <v>-9.8061573546180197E-2</v>
      </c>
      <c r="H124" s="14" cm="1">
        <f t="array" ref="H124">INDEX(Benchmarks!F$6:F$244,MATCH(SolverWork!$B124,MutualFunds!$B$6:$B$244,0),0)</f>
        <v>-4.2212018311085682E-2</v>
      </c>
      <c r="I124" s="14" cm="1">
        <f t="array" ref="I124">INDEX(Benchmarks!G$6:G$244,MATCH(SolverWork!$B124,MutualFunds!$B$6:$B$244,0),0)</f>
        <v>-1.9820728397737519E-2</v>
      </c>
      <c r="J124" s="14" cm="1">
        <f t="array" ref="J124">INDEX(Benchmarks!H$6:H$244,MATCH(SolverWork!$B124,MutualFunds!$B$6:$B$244,0),0)</f>
        <v>-5.5148538764994835E-2</v>
      </c>
      <c r="K124" s="14" cm="1">
        <f t="array" ref="K124">INDEX(Benchmarks!I$6:I$244,MATCH(SolverWork!$B124,MutualFunds!$B$6:$B$244,0),0)</f>
        <v>7.1211111221657604E-3</v>
      </c>
      <c r="L124" s="14" cm="1">
        <f t="array" ref="L124">INDEX(Benchmarks!J$6:J$244,MATCH(SolverWork!$B124,MutualFunds!$B$6:$B$244,0),0)</f>
        <v>1.2386524107323065E-2</v>
      </c>
      <c r="M124" s="14" cm="1">
        <f t="array" ref="M124">INDEX(Benchmarks!K$6:K$244,MATCH(SolverWork!$B124,MutualFunds!$B$6:$B$244,0),0)</f>
        <v>2.0085389193850198E-2</v>
      </c>
      <c r="N124" s="14" cm="1">
        <f t="array" ref="N124">INDEX(Benchmarks!L$6:L$244,MATCH(SolverWork!$B124,MutualFunds!$B$6:$B$244,0),0)</f>
        <v>3.5071960598292207E-2</v>
      </c>
      <c r="O124" s="14" cm="1">
        <f t="array" ref="O124">INDEX(Benchmarks!M$6:M$244,MATCH(SolverWork!$B124,MutualFunds!$B$6:$B$244,0),0)</f>
        <v>6.1274875158381134E-2</v>
      </c>
      <c r="P124" s="14" cm="1">
        <f t="array" ref="P124">INDEX(Benchmarks!N$6:N$244,MATCH(SolverWork!$B124,MutualFunds!$B$6:$B$244,0),0)</f>
        <v>3.4563462690775773E-2</v>
      </c>
      <c r="Q124" s="14" cm="1">
        <f t="array" ref="Q124">INDEX(Benchmarks!O$6:O$244,MATCH(SolverWork!$B124,MutualFunds!$B$6:$B$244,0),0)</f>
        <v>5.9936756802250774E-2</v>
      </c>
      <c r="R124" s="14" cm="1">
        <f t="array" ref="R124">INDEX(Benchmarks!P$6:P$244,MATCH(SolverWork!$B124,MutualFunds!$B$6:$B$244,0),0)</f>
        <v>1.884421577242603E-2</v>
      </c>
      <c r="S124" s="14" cm="1">
        <f t="array" ref="S124">INDEX(Benchmarks!Q$6:Q$244,MATCH(SolverWork!$B124,MutualFunds!$B$6:$B$244,0),0)</f>
        <v>8.3364682070818166E-2</v>
      </c>
      <c r="T124" s="14" cm="1">
        <f t="array" ref="T124">INDEX(Benchmarks!R$6:R$244,MATCH(SolverWork!$B124,MutualFunds!$B$6:$B$244,0),0)</f>
        <v>4.0557050717473266E-2</v>
      </c>
    </row>
    <row r="125" spans="1:20" x14ac:dyDescent="0.2">
      <c r="A125">
        <v>115</v>
      </c>
      <c r="B125" s="28">
        <f>IF(B124="","",IF(EOMONTH(B124,1)&lt;=EOMONTH(Front!$C$4,0),EOMONTH(B124,1),""))</f>
        <v>37864</v>
      </c>
      <c r="C125" s="14">
        <f>IF(B125="","",INDEX(MutualFunds!$C$6:$O$244,MATCH(B125,MutualFunds!$B$6:$B$244,0),MATCH(Front!$C$2,MutualFunds!$C$4:$O$4,0)))</f>
        <v>2.7442827442827448E-2</v>
      </c>
      <c r="D125" s="14">
        <f t="shared" si="1"/>
        <v>8.0290178212424276E-3</v>
      </c>
      <c r="E125" s="14" cm="1">
        <f t="array" ref="E125">INDEX(Benchmarks!C$6:C$244,MATCH(SolverWork!$B125,MutualFunds!$B$6:$B$244,0),0)</f>
        <v>7.000000000000001E-4</v>
      </c>
      <c r="F125" s="14" cm="1">
        <f t="array" ref="F125">INDEX(Benchmarks!D$6:D$244,MATCH(SolverWork!$B125,MutualFunds!$B$6:$B$244,0),0)</f>
        <v>-2.2079293462609578E-3</v>
      </c>
      <c r="G125" s="14" cm="1">
        <f t="array" ref="G125">INDEX(Benchmarks!E$6:E$244,MATCH(SolverWork!$B125,MutualFunds!$B$6:$B$244,0),0)</f>
        <v>1.01980615254951E-2</v>
      </c>
      <c r="H125" s="14" cm="1">
        <f t="array" ref="H125">INDEX(Benchmarks!F$6:F$244,MATCH(SolverWork!$B125,MutualFunds!$B$6:$B$244,0),0)</f>
        <v>7.5435433330192699E-3</v>
      </c>
      <c r="I125" s="14" cm="1">
        <f t="array" ref="I125">INDEX(Benchmarks!G$6:G$244,MATCH(SolverWork!$B125,MutualFunds!$B$6:$B$244,0),0)</f>
        <v>1.0285629717330316E-2</v>
      </c>
      <c r="J125" s="14" cm="1">
        <f t="array" ref="J125">INDEX(Benchmarks!H$6:H$244,MATCH(SolverWork!$B125,MutualFunds!$B$6:$B$244,0),0)</f>
        <v>-4.2603953646898436E-3</v>
      </c>
      <c r="K125" s="14" cm="1">
        <f t="array" ref="K125">INDEX(Benchmarks!I$6:I$244,MATCH(SolverWork!$B125,MutualFunds!$B$6:$B$244,0),0)</f>
        <v>4.0862963594109236E-2</v>
      </c>
      <c r="L125" s="14" cm="1">
        <f t="array" ref="L125">INDEX(Benchmarks!J$6:J$244,MATCH(SolverWork!$B125,MutualFunds!$B$6:$B$244,0),0)</f>
        <v>1.618045592220629E-2</v>
      </c>
      <c r="M125" s="14" cm="1">
        <f t="array" ref="M125">INDEX(Benchmarks!K$6:K$244,MATCH(SolverWork!$B125,MutualFunds!$B$6:$B$244,0),0)</f>
        <v>1.9566203455527627E-2</v>
      </c>
      <c r="N125" s="14" cm="1">
        <f t="array" ref="N125">INDEX(Benchmarks!L$6:L$244,MATCH(SolverWork!$B125,MutualFunds!$B$6:$B$244,0),0)</f>
        <v>4.3692775724719107E-2</v>
      </c>
      <c r="O125" s="14" cm="1">
        <f t="array" ref="O125">INDEX(Benchmarks!M$6:M$244,MATCH(SolverWork!$B125,MutualFunds!$B$6:$B$244,0),0)</f>
        <v>5.3593531905928166E-2</v>
      </c>
      <c r="P125" s="14" cm="1">
        <f t="array" ref="P125">INDEX(Benchmarks!N$6:N$244,MATCH(SolverWork!$B125,MutualFunds!$B$6:$B$244,0),0)</f>
        <v>2.8795704493111102E-2</v>
      </c>
      <c r="Q125" s="14" cm="1">
        <f t="array" ref="Q125">INDEX(Benchmarks!O$6:O$244,MATCH(SolverWork!$B125,MutualFunds!$B$6:$B$244,0),0)</f>
        <v>6.4924678978175068E-2</v>
      </c>
      <c r="R125" s="14" cm="1">
        <f t="array" ref="R125">INDEX(Benchmarks!P$6:P$244,MATCH(SolverWork!$B125,MutualFunds!$B$6:$B$244,0),0)</f>
        <v>-4.9999583336806236E-3</v>
      </c>
      <c r="S125" s="14" cm="1">
        <f t="array" ref="S125">INDEX(Benchmarks!Q$6:Q$244,MATCH(SolverWork!$B125,MutualFunds!$B$6:$B$244,0),0)</f>
        <v>7.0601699018442751E-2</v>
      </c>
      <c r="T125" s="14" cm="1">
        <f t="array" ref="T125">INDEX(Benchmarks!R$6:R$244,MATCH(SolverWork!$B125,MutualFunds!$B$6:$B$244,0),0)</f>
        <v>0.10522701686343629</v>
      </c>
    </row>
    <row r="126" spans="1:20" x14ac:dyDescent="0.2">
      <c r="A126">
        <v>116</v>
      </c>
      <c r="B126" s="28">
        <f>IF(B125="","",IF(EOMONTH(B125,1)&lt;=EOMONTH(Front!$C$4,0),EOMONTH(B125,1),""))</f>
        <v>37894</v>
      </c>
      <c r="C126" s="14">
        <f>IF(B126="","",INDEX(MutualFunds!$C$6:$O$244,MATCH(B126,MutualFunds!$B$6:$B$244,0),MATCH(Front!$C$2,MutualFunds!$C$4:$O$4,0)))</f>
        <v>-1.4973694860380452E-2</v>
      </c>
      <c r="D126" s="14">
        <f t="shared" si="1"/>
        <v>3.3138815370994234E-3</v>
      </c>
      <c r="E126" s="14" cm="1">
        <f t="array" ref="E126">INDEX(Benchmarks!C$6:C$244,MATCH(SolverWork!$B126,MutualFunds!$B$6:$B$244,0),0)</f>
        <v>8.0000000000000004E-4</v>
      </c>
      <c r="F126" s="14" cm="1">
        <f t="array" ref="F126">INDEX(Benchmarks!D$6:D$244,MATCH(SolverWork!$B126,MutualFunds!$B$6:$B$244,0),0)</f>
        <v>1.8664614200500269E-2</v>
      </c>
      <c r="G126" s="14" cm="1">
        <f t="array" ref="G126">INDEX(Benchmarks!E$6:E$244,MATCH(SolverWork!$B126,MutualFunds!$B$6:$B$244,0),0)</f>
        <v>4.8556649424328448E-2</v>
      </c>
      <c r="H126" s="14" cm="1">
        <f t="array" ref="H126">INDEX(Benchmarks!F$6:F$244,MATCH(SolverWork!$B126,MutualFunds!$B$6:$B$244,0),0)</f>
        <v>3.6007488513915623E-2</v>
      </c>
      <c r="I126" s="14" cm="1">
        <f t="array" ref="I126">INDEX(Benchmarks!G$6:G$244,MATCH(SolverWork!$B126,MutualFunds!$B$6:$B$244,0),0)</f>
        <v>1.5824186555893793E-2</v>
      </c>
      <c r="J126" s="14" cm="1">
        <f t="array" ref="J126">INDEX(Benchmarks!H$6:H$244,MATCH(SolverWork!$B126,MutualFunds!$B$6:$B$244,0),0)</f>
        <v>1.805579325688858E-2</v>
      </c>
      <c r="K126" s="14" cm="1">
        <f t="array" ref="K126">INDEX(Benchmarks!I$6:I$244,MATCH(SolverWork!$B126,MutualFunds!$B$6:$B$244,0),0)</f>
        <v>-4.0836611083521344E-2</v>
      </c>
      <c r="L126" s="14" cm="1">
        <f t="array" ref="L126">INDEX(Benchmarks!J$6:J$244,MATCH(SolverWork!$B126,MutualFunds!$B$6:$B$244,0),0)</f>
        <v>-4.4513295160405492E-3</v>
      </c>
      <c r="M126" s="14" cm="1">
        <f t="array" ref="M126">INDEX(Benchmarks!K$6:K$244,MATCH(SolverWork!$B126,MutualFunds!$B$6:$B$244,0),0)</f>
        <v>-1.9392934419930792E-2</v>
      </c>
      <c r="N126" s="14" cm="1">
        <f t="array" ref="N126">INDEX(Benchmarks!L$6:L$244,MATCH(SolverWork!$B126,MutualFunds!$B$6:$B$244,0),0)</f>
        <v>-1.6339991404921622E-2</v>
      </c>
      <c r="O126" s="14" cm="1">
        <f t="array" ref="O126">INDEX(Benchmarks!M$6:M$244,MATCH(SolverWork!$B126,MutualFunds!$B$6:$B$244,0),0)</f>
        <v>-1.8422236664500428E-2</v>
      </c>
      <c r="P126" s="14" cm="1">
        <f t="array" ref="P126">INDEX(Benchmarks!N$6:N$244,MATCH(SolverWork!$B126,MutualFunds!$B$6:$B$244,0),0)</f>
        <v>-1.7425687490065137E-2</v>
      </c>
      <c r="Q126" s="14" cm="1">
        <f t="array" ref="Q126">INDEX(Benchmarks!O$6:O$244,MATCH(SolverWork!$B126,MutualFunds!$B$6:$B$244,0),0)</f>
        <v>5.6348830149286723E-3</v>
      </c>
      <c r="R126" s="14" cm="1">
        <f t="array" ref="R126">INDEX(Benchmarks!P$6:P$244,MATCH(SolverWork!$B126,MutualFunds!$B$6:$B$244,0),0)</f>
        <v>1.9533965377174507E-2</v>
      </c>
      <c r="S126" s="14" cm="1">
        <f t="array" ref="S126">INDEX(Benchmarks!Q$6:Q$244,MATCH(SolverWork!$B126,MutualFunds!$B$6:$B$244,0),0)</f>
        <v>2.4302557707153367E-3</v>
      </c>
      <c r="T126" s="14" cm="1">
        <f t="array" ref="T126">INDEX(Benchmarks!R$6:R$244,MATCH(SolverWork!$B126,MutualFunds!$B$6:$B$244,0),0)</f>
        <v>5.5816905276799327E-2</v>
      </c>
    </row>
    <row r="127" spans="1:20" x14ac:dyDescent="0.2">
      <c r="A127">
        <v>117</v>
      </c>
      <c r="B127" s="28">
        <f>IF(B126="","",IF(EOMONTH(B126,1)&lt;=EOMONTH(Front!$C$4,0),EOMONTH(B126,1),""))</f>
        <v>37925</v>
      </c>
      <c r="C127" s="14">
        <f>IF(B127="","",INDEX(MutualFunds!$C$6:$O$244,MATCH(B127,MutualFunds!$B$6:$B$244,0),MATCH(Front!$C$2,MutualFunds!$C$4:$O$4,0)))</f>
        <v>4.8069022185702616E-2</v>
      </c>
      <c r="D127" s="14">
        <f t="shared" si="1"/>
        <v>-1.6608433419820275E-2</v>
      </c>
      <c r="E127" s="14" cm="1">
        <f t="array" ref="E127">INDEX(Benchmarks!C$6:C$244,MATCH(SolverWork!$B127,MutualFunds!$B$6:$B$244,0),0)</f>
        <v>7.000000000000001E-4</v>
      </c>
      <c r="F127" s="14" cm="1">
        <f t="array" ref="F127">INDEX(Benchmarks!D$6:D$244,MATCH(SolverWork!$B127,MutualFunds!$B$6:$B$244,0),0)</f>
        <v>-1.5205893464299201E-2</v>
      </c>
      <c r="G127" s="14" cm="1">
        <f t="array" ref="G127">INDEX(Benchmarks!E$6:E$244,MATCH(SolverWork!$B127,MutualFunds!$B$6:$B$244,0),0)</f>
        <v>-3.3418204964990469E-2</v>
      </c>
      <c r="H127" s="14" cm="1">
        <f t="array" ref="H127">INDEX(Benchmarks!F$6:F$244,MATCH(SolverWork!$B127,MutualFunds!$B$6:$B$244,0),0)</f>
        <v>-1.1235538441842058E-2</v>
      </c>
      <c r="I127" s="14" cm="1">
        <f t="array" ref="I127">INDEX(Benchmarks!G$6:G$244,MATCH(SolverWork!$B127,MutualFunds!$B$6:$B$244,0),0)</f>
        <v>-3.7450643776824519E-3</v>
      </c>
      <c r="J127" s="14" cm="1">
        <f t="array" ref="J127">INDEX(Benchmarks!H$6:H$244,MATCH(SolverWork!$B127,MutualFunds!$B$6:$B$244,0),0)</f>
        <v>-2.8326468857695138E-2</v>
      </c>
      <c r="K127" s="14" cm="1">
        <f t="array" ref="K127">INDEX(Benchmarks!I$6:I$244,MATCH(SolverWork!$B127,MutualFunds!$B$6:$B$244,0),0)</f>
        <v>2.1906927038753961E-2</v>
      </c>
      <c r="L127" s="14" cm="1">
        <f t="array" ref="L127">INDEX(Benchmarks!J$6:J$244,MATCH(SolverWork!$B127,MutualFunds!$B$6:$B$244,0),0)</f>
        <v>4.3766865606964821E-2</v>
      </c>
      <c r="M127" s="14" cm="1">
        <f t="array" ref="M127">INDEX(Benchmarks!K$6:K$244,MATCH(SolverWork!$B127,MutualFunds!$B$6:$B$244,0),0)</f>
        <v>6.6299595809618153E-2</v>
      </c>
      <c r="N127" s="14" cm="1">
        <f t="array" ref="N127">INDEX(Benchmarks!L$6:L$244,MATCH(SolverWork!$B127,MutualFunds!$B$6:$B$244,0),0)</f>
        <v>7.4509207989438414E-2</v>
      </c>
      <c r="O127" s="14" cm="1">
        <f t="array" ref="O127">INDEX(Benchmarks!M$6:M$244,MATCH(SolverWork!$B127,MutualFunds!$B$6:$B$244,0),0)</f>
        <v>8.989279075097413E-2</v>
      </c>
      <c r="P127" s="14" cm="1">
        <f t="array" ref="P127">INDEX(Benchmarks!N$6:N$244,MATCH(SolverWork!$B127,MutualFunds!$B$6:$B$244,0),0)</f>
        <v>7.5266425350346861E-2</v>
      </c>
      <c r="Q127" s="14" cm="1">
        <f t="array" ref="Q127">INDEX(Benchmarks!O$6:O$244,MATCH(SolverWork!$B127,MutualFunds!$B$6:$B$244,0),0)</f>
        <v>8.3363786099768536E-2</v>
      </c>
      <c r="R127" s="14" cm="1">
        <f t="array" ref="R127">INDEX(Benchmarks!P$6:P$244,MATCH(SolverWork!$B127,MutualFunds!$B$6:$B$244,0),0)</f>
        <v>6.6081918783570961E-2</v>
      </c>
      <c r="S127" s="14" cm="1">
        <f t="array" ref="S127">INDEX(Benchmarks!Q$6:Q$244,MATCH(SolverWork!$B127,MutualFunds!$B$6:$B$244,0),0)</f>
        <v>8.4000565077310879E-2</v>
      </c>
      <c r="T127" s="14" cm="1">
        <f t="array" ref="T127">INDEX(Benchmarks!R$6:R$244,MATCH(SolverWork!$B127,MutualFunds!$B$6:$B$244,0),0)</f>
        <v>4.5699042862331063E-2</v>
      </c>
    </row>
    <row r="128" spans="1:20" x14ac:dyDescent="0.2">
      <c r="A128">
        <v>118</v>
      </c>
      <c r="B128" s="28">
        <f>IF(B127="","",IF(EOMONTH(B127,1)&lt;=EOMONTH(Front!$C$4,0),EOMONTH(B127,1),""))</f>
        <v>37955</v>
      </c>
      <c r="C128" s="14">
        <f>IF(B128="","",INDEX(MutualFunds!$C$6:$O$244,MATCH(B128,MutualFunds!$B$6:$B$244,0),MATCH(Front!$C$2,MutualFunds!$C$4:$O$4,0)))</f>
        <v>2.2344178753430036E-2</v>
      </c>
      <c r="D128" s="14">
        <f t="shared" si="1"/>
        <v>1.5578203607853489E-2</v>
      </c>
      <c r="E128" s="14" cm="1">
        <f t="array" ref="E128">INDEX(Benchmarks!C$6:C$244,MATCH(SolverWork!$B128,MutualFunds!$B$6:$B$244,0),0)</f>
        <v>7.000000000000001E-4</v>
      </c>
      <c r="F128" s="14" cm="1">
        <f t="array" ref="F128">INDEX(Benchmarks!D$6:D$244,MATCH(SolverWork!$B128,MutualFunds!$B$6:$B$244,0),0)</f>
        <v>-4.9870528435791315E-3</v>
      </c>
      <c r="G128" s="14" cm="1">
        <f t="array" ref="G128">INDEX(Benchmarks!E$6:E$244,MATCH(SolverWork!$B128,MutualFunds!$B$6:$B$244,0),0)</f>
        <v>7.4086269344750917E-4</v>
      </c>
      <c r="H128" s="14" cm="1">
        <f t="array" ref="H128">INDEX(Benchmarks!F$6:F$244,MATCH(SolverWork!$B128,MutualFunds!$B$6:$B$244,0),0)</f>
        <v>4.5417463541853678E-3</v>
      </c>
      <c r="I128" s="14" cm="1">
        <f t="array" ref="I128">INDEX(Benchmarks!G$6:G$244,MATCH(SolverWork!$B128,MutualFunds!$B$6:$B$244,0),0)</f>
        <v>3.5902698259663822E-3</v>
      </c>
      <c r="J128" s="14" cm="1">
        <f t="array" ref="J128">INDEX(Benchmarks!H$6:H$244,MATCH(SolverWork!$B128,MutualFunds!$B$6:$B$244,0),0)</f>
        <v>-1.7301038062283983E-3</v>
      </c>
      <c r="K128" s="14" cm="1">
        <f t="array" ref="K128">INDEX(Benchmarks!I$6:I$244,MATCH(SolverWork!$B128,MutualFunds!$B$6:$B$244,0),0)</f>
        <v>2.5589830202395279E-2</v>
      </c>
      <c r="L128" s="14" cm="1">
        <f t="array" ref="L128">INDEX(Benchmarks!J$6:J$244,MATCH(SolverWork!$B128,MutualFunds!$B$6:$B$244,0),0)</f>
        <v>7.3786114623239458E-3</v>
      </c>
      <c r="M128" s="14" cm="1">
        <f t="array" ref="M128">INDEX(Benchmarks!K$6:K$244,MATCH(SolverWork!$B128,MutualFunds!$B$6:$B$244,0),0)</f>
        <v>6.8656081381630232E-3</v>
      </c>
      <c r="N128" s="14" cm="1">
        <f t="array" ref="N128">INDEX(Benchmarks!L$6:L$244,MATCH(SolverWork!$B128,MutualFunds!$B$6:$B$244,0),0)</f>
        <v>3.3358672017253885E-2</v>
      </c>
      <c r="O128" s="14" cm="1">
        <f t="array" ref="O128">INDEX(Benchmarks!M$6:M$244,MATCH(SolverWork!$B128,MutualFunds!$B$6:$B$244,0),0)</f>
        <v>3.1542793055912517E-2</v>
      </c>
      <c r="P128" s="14" cm="1">
        <f t="array" ref="P128">INDEX(Benchmarks!N$6:N$244,MATCH(SolverWork!$B128,MutualFunds!$B$6:$B$244,0),0)</f>
        <v>4.182573862674667E-2</v>
      </c>
      <c r="Q128" s="14" cm="1">
        <f t="array" ref="Q128">INDEX(Benchmarks!O$6:O$244,MATCH(SolverWork!$B128,MutualFunds!$B$6:$B$244,0),0)</f>
        <v>1.0290505114698751E-2</v>
      </c>
      <c r="R128" s="14" cm="1">
        <f t="array" ref="R128">INDEX(Benchmarks!P$6:P$244,MATCH(SolverWork!$B128,MutualFunds!$B$6:$B$244,0),0)</f>
        <v>4.0978711682087332E-2</v>
      </c>
      <c r="S128" s="14" cm="1">
        <f t="array" ref="S128">INDEX(Benchmarks!Q$6:Q$244,MATCH(SolverWork!$B128,MutualFunds!$B$6:$B$244,0),0)</f>
        <v>-1.5995997847581919E-2</v>
      </c>
      <c r="T128" s="14" cm="1">
        <f t="array" ref="T128">INDEX(Benchmarks!R$6:R$244,MATCH(SolverWork!$B128,MutualFunds!$B$6:$B$244,0),0)</f>
        <v>-3.0977234413567516E-2</v>
      </c>
    </row>
    <row r="129" spans="1:20" x14ac:dyDescent="0.2">
      <c r="A129">
        <v>119</v>
      </c>
      <c r="B129" s="28">
        <f>IF(B128="","",IF(EOMONTH(B128,1)&lt;=EOMONTH(Front!$C$4,0),EOMONTH(B128,1),""))</f>
        <v>37986</v>
      </c>
      <c r="C129" s="14">
        <f>IF(B129="","",INDEX(MutualFunds!$C$6:$O$244,MATCH(B129,MutualFunds!$B$6:$B$244,0),MATCH(Front!$C$2,MutualFunds!$C$4:$O$4,0)))</f>
        <v>5.5214723926380278E-2</v>
      </c>
      <c r="D129" s="14">
        <f t="shared" si="1"/>
        <v>-4.0591978742357746E-3</v>
      </c>
      <c r="E129" s="14" cm="1">
        <f t="array" ref="E129">INDEX(Benchmarks!C$6:C$244,MATCH(SolverWork!$B129,MutualFunds!$B$6:$B$244,0),0)</f>
        <v>8.0000000000000004E-4</v>
      </c>
      <c r="F129" s="14" cm="1">
        <f t="array" ref="F129">INDEX(Benchmarks!D$6:D$244,MATCH(SolverWork!$B129,MutualFunds!$B$6:$B$244,0),0)</f>
        <v>3.5662650602410078E-3</v>
      </c>
      <c r="G129" s="14" cm="1">
        <f t="array" ref="G129">INDEX(Benchmarks!E$6:E$244,MATCH(SolverWork!$B129,MutualFunds!$B$6:$B$244,0),0)</f>
        <v>6.9095994077485326E-3</v>
      </c>
      <c r="H129" s="14" cm="1">
        <f t="array" ref="H129">INDEX(Benchmarks!F$6:F$244,MATCH(SolverWork!$B129,MutualFunds!$B$6:$B$244,0),0)</f>
        <v>1.334458412455143E-2</v>
      </c>
      <c r="I129" s="14" cm="1">
        <f t="array" ref="I129">INDEX(Benchmarks!G$6:G$244,MATCH(SolverWork!$B129,MutualFunds!$B$6:$B$244,0),0)</f>
        <v>8.7576965738442019E-3</v>
      </c>
      <c r="J129" s="14" cm="1">
        <f t="array" ref="J129">INDEX(Benchmarks!H$6:H$244,MATCH(SolverWork!$B129,MutualFunds!$B$6:$B$244,0),0)</f>
        <v>8.2322357019064367E-3</v>
      </c>
      <c r="K129" s="14" cm="1">
        <f t="array" ref="K129">INDEX(Benchmarks!I$6:I$244,MATCH(SolverWork!$B129,MutualFunds!$B$6:$B$244,0),0)</f>
        <v>6.2450196946293973E-2</v>
      </c>
      <c r="L129" s="14" cm="1">
        <f t="array" ref="L129">INDEX(Benchmarks!J$6:J$244,MATCH(SolverWork!$B129,MutualFunds!$B$6:$B$244,0),0)</f>
        <v>4.1343524034318561E-2</v>
      </c>
      <c r="M129" s="14" cm="1">
        <f t="array" ref="M129">INDEX(Benchmarks!K$6:K$244,MATCH(SolverWork!$B129,MutualFunds!$B$6:$B$244,0),0)</f>
        <v>6.0139833275709841E-2</v>
      </c>
      <c r="N129" s="14" cm="1">
        <f t="array" ref="N129">INDEX(Benchmarks!L$6:L$244,MATCH(SolverWork!$B129,MutualFunds!$B$6:$B$244,0),0)</f>
        <v>1.6465939028980053E-2</v>
      </c>
      <c r="O129" s="14" cm="1">
        <f t="array" ref="O129">INDEX(Benchmarks!M$6:M$244,MATCH(SolverWork!$B129,MutualFunds!$B$6:$B$244,0),0)</f>
        <v>1.3212832302732414E-3</v>
      </c>
      <c r="P129" s="14" cm="1">
        <f t="array" ref="P129">INDEX(Benchmarks!N$6:N$244,MATCH(SolverWork!$B129,MutualFunds!$B$6:$B$244,0),0)</f>
        <v>4.4262324674621337E-2</v>
      </c>
      <c r="Q129" s="14" cm="1">
        <f t="array" ref="Q129">INDEX(Benchmarks!O$6:O$244,MATCH(SolverWork!$B129,MutualFunds!$B$6:$B$244,0),0)</f>
        <v>7.1258694731748701E-2</v>
      </c>
      <c r="R129" s="14" cm="1">
        <f t="array" ref="R129">INDEX(Benchmarks!P$6:P$244,MATCH(SolverWork!$B129,MutualFunds!$B$6:$B$244,0),0)</f>
        <v>8.1864083562876999E-2</v>
      </c>
      <c r="S129" s="14" cm="1">
        <f t="array" ref="S129">INDEX(Benchmarks!Q$6:Q$244,MATCH(SolverWork!$B129,MutualFunds!$B$6:$B$244,0),0)</f>
        <v>5.1301550410779863E-2</v>
      </c>
      <c r="T129" s="14" cm="1">
        <f t="array" ref="T129">INDEX(Benchmarks!R$6:R$244,MATCH(SolverWork!$B129,MutualFunds!$B$6:$B$244,0),0)</f>
        <v>6.8927271820946046E-2</v>
      </c>
    </row>
    <row r="130" spans="1:20" x14ac:dyDescent="0.2">
      <c r="A130">
        <v>120</v>
      </c>
      <c r="B130" s="28">
        <f>IF(B129="","",IF(EOMONTH(B129,1)&lt;=EOMONTH(Front!$C$4,0),EOMONTH(B129,1),""))</f>
        <v>38017</v>
      </c>
      <c r="C130" s="14">
        <f>IF(B130="","",INDEX(MutualFunds!$C$6:$O$244,MATCH(B130,MutualFunds!$B$6:$B$244,0),MATCH(Front!$C$2,MutualFunds!$C$4:$O$4,0)))</f>
        <v>2.1802325581396177E-3</v>
      </c>
      <c r="D130" s="14">
        <f t="shared" si="1"/>
        <v>-1.3741547476143246E-2</v>
      </c>
      <c r="E130" s="14" cm="1">
        <f t="array" ref="E130">INDEX(Benchmarks!C$6:C$244,MATCH(SolverWork!$B130,MutualFunds!$B$6:$B$244,0),0)</f>
        <v>7.000000000000001E-4</v>
      </c>
      <c r="F130" s="14" cm="1">
        <f t="array" ref="F130">INDEX(Benchmarks!D$6:D$244,MATCH(SolverWork!$B130,MutualFunds!$B$6:$B$244,0),0)</f>
        <v>1.1525163273146805E-3</v>
      </c>
      <c r="G130" s="14" cm="1">
        <f t="array" ref="G130">INDEX(Benchmarks!E$6:E$244,MATCH(SolverWork!$B130,MutualFunds!$B$6:$B$244,0),0)</f>
        <v>1.3479290907605634E-2</v>
      </c>
      <c r="H130" s="14" cm="1">
        <f t="array" ref="H130">INDEX(Benchmarks!F$6:F$244,MATCH(SolverWork!$B130,MutualFunds!$B$6:$B$244,0),0)</f>
        <v>1.0636005610628434E-2</v>
      </c>
      <c r="I130" s="14" cm="1">
        <f t="array" ref="I130">INDEX(Benchmarks!G$6:G$244,MATCH(SolverWork!$B130,MutualFunds!$B$6:$B$244,0),0)</f>
        <v>6.4391215356528718E-3</v>
      </c>
      <c r="J130" s="14" cm="1">
        <f t="array" ref="J130">INDEX(Benchmarks!H$6:H$244,MATCH(SolverWork!$B130,MutualFunds!$B$6:$B$244,0),0)</f>
        <v>-8.5947571981135492E-5</v>
      </c>
      <c r="K130" s="14" cm="1">
        <f t="array" ref="K130">INDEX(Benchmarks!I$6:I$244,MATCH(SolverWork!$B130,MutualFunds!$B$6:$B$244,0),0)</f>
        <v>3.9180053629307978E-3</v>
      </c>
      <c r="L130" s="14" cm="1">
        <f t="array" ref="L130">INDEX(Benchmarks!J$6:J$244,MATCH(SolverWork!$B130,MutualFunds!$B$6:$B$244,0),0)</f>
        <v>1.860080231700522E-2</v>
      </c>
      <c r="M130" s="14" cm="1">
        <f t="array" ref="M130">INDEX(Benchmarks!K$6:K$244,MATCH(SolverWork!$B130,MutualFunds!$B$6:$B$244,0),0)</f>
        <v>1.5962169115648624E-2</v>
      </c>
      <c r="N130" s="14" cm="1">
        <f t="array" ref="N130">INDEX(Benchmarks!L$6:L$244,MATCH(SolverWork!$B130,MutualFunds!$B$6:$B$244,0),0)</f>
        <v>2.1189400250772147E-2</v>
      </c>
      <c r="O130" s="14" cm="1">
        <f t="array" ref="O130">INDEX(Benchmarks!M$6:M$244,MATCH(SolverWork!$B130,MutualFunds!$B$6:$B$244,0),0)</f>
        <v>3.6268492406991232E-2</v>
      </c>
      <c r="P130" s="14" cm="1">
        <f t="array" ref="P130">INDEX(Benchmarks!N$6:N$244,MATCH(SolverWork!$B130,MutualFunds!$B$6:$B$244,0),0)</f>
        <v>3.0764000530115819E-2</v>
      </c>
      <c r="Q130" s="14" cm="1">
        <f t="array" ref="Q130">INDEX(Benchmarks!O$6:O$244,MATCH(SolverWork!$B130,MutualFunds!$B$6:$B$244,0),0)</f>
        <v>3.255130110348755E-2</v>
      </c>
      <c r="R130" s="14" cm="1">
        <f t="array" ref="R130">INDEX(Benchmarks!P$6:P$244,MATCH(SolverWork!$B130,MutualFunds!$B$6:$B$244,0),0)</f>
        <v>1.1090936614544689E-2</v>
      </c>
      <c r="S130" s="14" cm="1">
        <f t="array" ref="S130">INDEX(Benchmarks!Q$6:Q$244,MATCH(SolverWork!$B130,MutualFunds!$B$6:$B$244,0),0)</f>
        <v>6.4614446814995452E-2</v>
      </c>
      <c r="T130" s="14" cm="1">
        <f t="array" ref="T130">INDEX(Benchmarks!R$6:R$244,MATCH(SolverWork!$B130,MutualFunds!$B$6:$B$244,0),0)</f>
        <v>1.8067735354124228E-2</v>
      </c>
    </row>
    <row r="131" spans="1:20" x14ac:dyDescent="0.2">
      <c r="A131">
        <v>121</v>
      </c>
      <c r="B131" s="28" t="str">
        <f>IF(B130="","",IF(EOMONTH(B130,1)&lt;=EOMONTH(Front!$C$4,0),EOMONTH(B130,1),""))</f>
        <v/>
      </c>
      <c r="C131" s="14" t="str">
        <f>IF(B131="","",INDEX(MutualFunds!$C$6:$O$244,MATCH(B131,MutualFunds!$B$6:$B$244,0),MATCH(Front!$C$2,MutualFunds!$C$4:$O$4,0)))</f>
        <v/>
      </c>
      <c r="D131" s="14" t="str">
        <f t="shared" si="1"/>
        <v/>
      </c>
      <c r="E131" s="14" t="e" cm="1">
        <f t="array" ref="E131">INDEX(Benchmarks!C$6:C$244,MATCH(SolverWork!$B131,MutualFunds!$B$6:$B$244,0),0)</f>
        <v>#N/A</v>
      </c>
      <c r="F131" s="14" t="e" cm="1">
        <f t="array" ref="F131">INDEX(Benchmarks!D$6:D$244,MATCH(SolverWork!$B131,MutualFunds!$B$6:$B$244,0),0)</f>
        <v>#N/A</v>
      </c>
      <c r="G131" s="14" t="e" cm="1">
        <f t="array" ref="G131">INDEX(Benchmarks!E$6:E$244,MATCH(SolverWork!$B131,MutualFunds!$B$6:$B$244,0),0)</f>
        <v>#N/A</v>
      </c>
      <c r="H131" s="14" t="e" cm="1">
        <f t="array" ref="H131">INDEX(Benchmarks!F$6:F$244,MATCH(SolverWork!$B131,MutualFunds!$B$6:$B$244,0),0)</f>
        <v>#N/A</v>
      </c>
      <c r="I131" s="14" t="e" cm="1">
        <f t="array" ref="I131">INDEX(Benchmarks!G$6:G$244,MATCH(SolverWork!$B131,MutualFunds!$B$6:$B$244,0),0)</f>
        <v>#N/A</v>
      </c>
      <c r="J131" s="14" t="e" cm="1">
        <f t="array" ref="J131">INDEX(Benchmarks!H$6:H$244,MATCH(SolverWork!$B131,MutualFunds!$B$6:$B$244,0),0)</f>
        <v>#N/A</v>
      </c>
      <c r="K131" s="14" t="e" cm="1">
        <f t="array" ref="K131">INDEX(Benchmarks!I$6:I$244,MATCH(SolverWork!$B131,MutualFunds!$B$6:$B$244,0),0)</f>
        <v>#N/A</v>
      </c>
      <c r="L131" s="14" t="e" cm="1">
        <f t="array" ref="L131">INDEX(Benchmarks!J$6:J$244,MATCH(SolverWork!$B131,MutualFunds!$B$6:$B$244,0),0)</f>
        <v>#N/A</v>
      </c>
      <c r="M131" s="14" t="e" cm="1">
        <f t="array" ref="M131">INDEX(Benchmarks!K$6:K$244,MATCH(SolverWork!$B131,MutualFunds!$B$6:$B$244,0),0)</f>
        <v>#N/A</v>
      </c>
      <c r="N131" s="14" t="e" cm="1">
        <f t="array" ref="N131">INDEX(Benchmarks!L$6:L$244,MATCH(SolverWork!$B131,MutualFunds!$B$6:$B$244,0),0)</f>
        <v>#N/A</v>
      </c>
      <c r="O131" s="14" t="e" cm="1">
        <f t="array" ref="O131">INDEX(Benchmarks!M$6:M$244,MATCH(SolverWork!$B131,MutualFunds!$B$6:$B$244,0),0)</f>
        <v>#N/A</v>
      </c>
      <c r="P131" s="14" t="e" cm="1">
        <f t="array" ref="P131">INDEX(Benchmarks!N$6:N$244,MATCH(SolverWork!$B131,MutualFunds!$B$6:$B$244,0),0)</f>
        <v>#N/A</v>
      </c>
      <c r="Q131" s="14" t="e" cm="1">
        <f t="array" ref="Q131">INDEX(Benchmarks!O$6:O$244,MATCH(SolverWork!$B131,MutualFunds!$B$6:$B$244,0),0)</f>
        <v>#N/A</v>
      </c>
      <c r="R131" s="14" t="e" cm="1">
        <f t="array" ref="R131">INDEX(Benchmarks!P$6:P$244,MATCH(SolverWork!$B131,MutualFunds!$B$6:$B$244,0),0)</f>
        <v>#N/A</v>
      </c>
      <c r="S131" s="14" t="e" cm="1">
        <f t="array" ref="S131">INDEX(Benchmarks!Q$6:Q$244,MATCH(SolverWork!$B131,MutualFunds!$B$6:$B$244,0),0)</f>
        <v>#N/A</v>
      </c>
      <c r="T131" s="14" t="e" cm="1">
        <f t="array" ref="T131">INDEX(Benchmarks!R$6:R$244,MATCH(SolverWork!$B131,MutualFunds!$B$6:$B$244,0),0)</f>
        <v>#N/A</v>
      </c>
    </row>
    <row r="132" spans="1:20" x14ac:dyDescent="0.2">
      <c r="A132">
        <v>122</v>
      </c>
      <c r="B132" s="28" t="str">
        <f>IF(B131="","",IF(EOMONTH(B131,1)&lt;=EOMONTH(Front!$C$4,0),EOMONTH(B131,1),""))</f>
        <v/>
      </c>
      <c r="C132" s="14" t="str">
        <f>IF(B132="","",INDEX(MutualFunds!$C$6:$O$244,MATCH(B132,MutualFunds!$B$6:$B$244,0),MATCH(Front!$C$2,MutualFunds!$C$4:$O$4,0)))</f>
        <v/>
      </c>
      <c r="D132" s="14" t="str">
        <f t="shared" si="1"/>
        <v/>
      </c>
      <c r="E132" s="14" t="e" cm="1">
        <f t="array" ref="E132">INDEX(Benchmarks!C$6:C$244,MATCH(SolverWork!$B132,MutualFunds!$B$6:$B$244,0),0)</f>
        <v>#N/A</v>
      </c>
      <c r="F132" s="14" t="e" cm="1">
        <f t="array" ref="F132">INDEX(Benchmarks!D$6:D$244,MATCH(SolverWork!$B132,MutualFunds!$B$6:$B$244,0),0)</f>
        <v>#N/A</v>
      </c>
      <c r="G132" s="14" t="e" cm="1">
        <f t="array" ref="G132">INDEX(Benchmarks!E$6:E$244,MATCH(SolverWork!$B132,MutualFunds!$B$6:$B$244,0),0)</f>
        <v>#N/A</v>
      </c>
      <c r="H132" s="14" t="e" cm="1">
        <f t="array" ref="H132">INDEX(Benchmarks!F$6:F$244,MATCH(SolverWork!$B132,MutualFunds!$B$6:$B$244,0),0)</f>
        <v>#N/A</v>
      </c>
      <c r="I132" s="14" t="e" cm="1">
        <f t="array" ref="I132">INDEX(Benchmarks!G$6:G$244,MATCH(SolverWork!$B132,MutualFunds!$B$6:$B$244,0),0)</f>
        <v>#N/A</v>
      </c>
      <c r="J132" s="14" t="e" cm="1">
        <f t="array" ref="J132">INDEX(Benchmarks!H$6:H$244,MATCH(SolverWork!$B132,MutualFunds!$B$6:$B$244,0),0)</f>
        <v>#N/A</v>
      </c>
      <c r="K132" s="14" t="e" cm="1">
        <f t="array" ref="K132">INDEX(Benchmarks!I$6:I$244,MATCH(SolverWork!$B132,MutualFunds!$B$6:$B$244,0),0)</f>
        <v>#N/A</v>
      </c>
      <c r="L132" s="14" t="e" cm="1">
        <f t="array" ref="L132">INDEX(Benchmarks!J$6:J$244,MATCH(SolverWork!$B132,MutualFunds!$B$6:$B$244,0),0)</f>
        <v>#N/A</v>
      </c>
      <c r="M132" s="14" t="e" cm="1">
        <f t="array" ref="M132">INDEX(Benchmarks!K$6:K$244,MATCH(SolverWork!$B132,MutualFunds!$B$6:$B$244,0),0)</f>
        <v>#N/A</v>
      </c>
      <c r="N132" s="14" t="e" cm="1">
        <f t="array" ref="N132">INDEX(Benchmarks!L$6:L$244,MATCH(SolverWork!$B132,MutualFunds!$B$6:$B$244,0),0)</f>
        <v>#N/A</v>
      </c>
      <c r="O132" s="14" t="e" cm="1">
        <f t="array" ref="O132">INDEX(Benchmarks!M$6:M$244,MATCH(SolverWork!$B132,MutualFunds!$B$6:$B$244,0),0)</f>
        <v>#N/A</v>
      </c>
      <c r="P132" s="14" t="e" cm="1">
        <f t="array" ref="P132">INDEX(Benchmarks!N$6:N$244,MATCH(SolverWork!$B132,MutualFunds!$B$6:$B$244,0),0)</f>
        <v>#N/A</v>
      </c>
      <c r="Q132" s="14" t="e" cm="1">
        <f t="array" ref="Q132">INDEX(Benchmarks!O$6:O$244,MATCH(SolverWork!$B132,MutualFunds!$B$6:$B$244,0),0)</f>
        <v>#N/A</v>
      </c>
      <c r="R132" s="14" t="e" cm="1">
        <f t="array" ref="R132">INDEX(Benchmarks!P$6:P$244,MATCH(SolverWork!$B132,MutualFunds!$B$6:$B$244,0),0)</f>
        <v>#N/A</v>
      </c>
      <c r="S132" s="14" t="e" cm="1">
        <f t="array" ref="S132">INDEX(Benchmarks!Q$6:Q$244,MATCH(SolverWork!$B132,MutualFunds!$B$6:$B$244,0),0)</f>
        <v>#N/A</v>
      </c>
      <c r="T132" s="14" t="e" cm="1">
        <f t="array" ref="T132">INDEX(Benchmarks!R$6:R$244,MATCH(SolverWork!$B132,MutualFunds!$B$6:$B$244,0),0)</f>
        <v>#N/A</v>
      </c>
    </row>
    <row r="133" spans="1:20" x14ac:dyDescent="0.2">
      <c r="A133">
        <v>123</v>
      </c>
      <c r="B133" s="28" t="str">
        <f>IF(B132="","",IF(EOMONTH(B132,1)&lt;=EOMONTH(Front!$C$4,0),EOMONTH(B132,1),""))</f>
        <v/>
      </c>
      <c r="C133" s="14" t="str">
        <f>IF(B133="","",INDEX(MutualFunds!$C$6:$O$244,MATCH(B133,MutualFunds!$B$6:$B$244,0),MATCH(Front!$C$2,MutualFunds!$C$4:$O$4,0)))</f>
        <v/>
      </c>
      <c r="D133" s="14" t="str">
        <f t="shared" si="1"/>
        <v/>
      </c>
      <c r="E133" s="14" t="e" cm="1">
        <f t="array" ref="E133">INDEX(Benchmarks!C$6:C$244,MATCH(SolverWork!$B133,MutualFunds!$B$6:$B$244,0),0)</f>
        <v>#N/A</v>
      </c>
      <c r="F133" s="14" t="e" cm="1">
        <f t="array" ref="F133">INDEX(Benchmarks!D$6:D$244,MATCH(SolverWork!$B133,MutualFunds!$B$6:$B$244,0),0)</f>
        <v>#N/A</v>
      </c>
      <c r="G133" s="14" t="e" cm="1">
        <f t="array" ref="G133">INDEX(Benchmarks!E$6:E$244,MATCH(SolverWork!$B133,MutualFunds!$B$6:$B$244,0),0)</f>
        <v>#N/A</v>
      </c>
      <c r="H133" s="14" t="e" cm="1">
        <f t="array" ref="H133">INDEX(Benchmarks!F$6:F$244,MATCH(SolverWork!$B133,MutualFunds!$B$6:$B$244,0),0)</f>
        <v>#N/A</v>
      </c>
      <c r="I133" s="14" t="e" cm="1">
        <f t="array" ref="I133">INDEX(Benchmarks!G$6:G$244,MATCH(SolverWork!$B133,MutualFunds!$B$6:$B$244,0),0)</f>
        <v>#N/A</v>
      </c>
      <c r="J133" s="14" t="e" cm="1">
        <f t="array" ref="J133">INDEX(Benchmarks!H$6:H$244,MATCH(SolverWork!$B133,MutualFunds!$B$6:$B$244,0),0)</f>
        <v>#N/A</v>
      </c>
      <c r="K133" s="14" t="e" cm="1">
        <f t="array" ref="K133">INDEX(Benchmarks!I$6:I$244,MATCH(SolverWork!$B133,MutualFunds!$B$6:$B$244,0),0)</f>
        <v>#N/A</v>
      </c>
      <c r="L133" s="14" t="e" cm="1">
        <f t="array" ref="L133">INDEX(Benchmarks!J$6:J$244,MATCH(SolverWork!$B133,MutualFunds!$B$6:$B$244,0),0)</f>
        <v>#N/A</v>
      </c>
      <c r="M133" s="14" t="e" cm="1">
        <f t="array" ref="M133">INDEX(Benchmarks!K$6:K$244,MATCH(SolverWork!$B133,MutualFunds!$B$6:$B$244,0),0)</f>
        <v>#N/A</v>
      </c>
      <c r="N133" s="14" t="e" cm="1">
        <f t="array" ref="N133">INDEX(Benchmarks!L$6:L$244,MATCH(SolverWork!$B133,MutualFunds!$B$6:$B$244,0),0)</f>
        <v>#N/A</v>
      </c>
      <c r="O133" s="14" t="e" cm="1">
        <f t="array" ref="O133">INDEX(Benchmarks!M$6:M$244,MATCH(SolverWork!$B133,MutualFunds!$B$6:$B$244,0),0)</f>
        <v>#N/A</v>
      </c>
      <c r="P133" s="14" t="e" cm="1">
        <f t="array" ref="P133">INDEX(Benchmarks!N$6:N$244,MATCH(SolverWork!$B133,MutualFunds!$B$6:$B$244,0),0)</f>
        <v>#N/A</v>
      </c>
      <c r="Q133" s="14" t="e" cm="1">
        <f t="array" ref="Q133">INDEX(Benchmarks!O$6:O$244,MATCH(SolverWork!$B133,MutualFunds!$B$6:$B$244,0),0)</f>
        <v>#N/A</v>
      </c>
      <c r="R133" s="14" t="e" cm="1">
        <f t="array" ref="R133">INDEX(Benchmarks!P$6:P$244,MATCH(SolverWork!$B133,MutualFunds!$B$6:$B$244,0),0)</f>
        <v>#N/A</v>
      </c>
      <c r="S133" s="14" t="e" cm="1">
        <f t="array" ref="S133">INDEX(Benchmarks!Q$6:Q$244,MATCH(SolverWork!$B133,MutualFunds!$B$6:$B$244,0),0)</f>
        <v>#N/A</v>
      </c>
      <c r="T133" s="14" t="e" cm="1">
        <f t="array" ref="T133">INDEX(Benchmarks!R$6:R$244,MATCH(SolverWork!$B133,MutualFunds!$B$6:$B$244,0),0)</f>
        <v>#N/A</v>
      </c>
    </row>
    <row r="134" spans="1:20" x14ac:dyDescent="0.2">
      <c r="A134">
        <v>124</v>
      </c>
      <c r="B134" s="28" t="str">
        <f>IF(B133="","",IF(EOMONTH(B133,1)&lt;=EOMONTH(Front!$C$4,0),EOMONTH(B133,1),""))</f>
        <v/>
      </c>
      <c r="C134" s="14" t="str">
        <f>IF(B134="","",INDEX(MutualFunds!$C$6:$O$244,MATCH(B134,MutualFunds!$B$6:$B$244,0),MATCH(Front!$C$2,MutualFunds!$C$4:$O$4,0)))</f>
        <v/>
      </c>
      <c r="D134" s="14" t="str">
        <f t="shared" si="1"/>
        <v/>
      </c>
      <c r="E134" s="14" t="e" cm="1">
        <f t="array" ref="E134">INDEX(Benchmarks!C$6:C$244,MATCH(SolverWork!$B134,MutualFunds!$B$6:$B$244,0),0)</f>
        <v>#N/A</v>
      </c>
      <c r="F134" s="14" t="e" cm="1">
        <f t="array" ref="F134">INDEX(Benchmarks!D$6:D$244,MATCH(SolverWork!$B134,MutualFunds!$B$6:$B$244,0),0)</f>
        <v>#N/A</v>
      </c>
      <c r="G134" s="14" t="e" cm="1">
        <f t="array" ref="G134">INDEX(Benchmarks!E$6:E$244,MATCH(SolverWork!$B134,MutualFunds!$B$6:$B$244,0),0)</f>
        <v>#N/A</v>
      </c>
      <c r="H134" s="14" t="e" cm="1">
        <f t="array" ref="H134">INDEX(Benchmarks!F$6:F$244,MATCH(SolverWork!$B134,MutualFunds!$B$6:$B$244,0),0)</f>
        <v>#N/A</v>
      </c>
      <c r="I134" s="14" t="e" cm="1">
        <f t="array" ref="I134">INDEX(Benchmarks!G$6:G$244,MATCH(SolverWork!$B134,MutualFunds!$B$6:$B$244,0),0)</f>
        <v>#N/A</v>
      </c>
      <c r="J134" s="14" t="e" cm="1">
        <f t="array" ref="J134">INDEX(Benchmarks!H$6:H$244,MATCH(SolverWork!$B134,MutualFunds!$B$6:$B$244,0),0)</f>
        <v>#N/A</v>
      </c>
      <c r="K134" s="14" t="e" cm="1">
        <f t="array" ref="K134">INDEX(Benchmarks!I$6:I$244,MATCH(SolverWork!$B134,MutualFunds!$B$6:$B$244,0),0)</f>
        <v>#N/A</v>
      </c>
      <c r="L134" s="14" t="e" cm="1">
        <f t="array" ref="L134">INDEX(Benchmarks!J$6:J$244,MATCH(SolverWork!$B134,MutualFunds!$B$6:$B$244,0),0)</f>
        <v>#N/A</v>
      </c>
      <c r="M134" s="14" t="e" cm="1">
        <f t="array" ref="M134">INDEX(Benchmarks!K$6:K$244,MATCH(SolverWork!$B134,MutualFunds!$B$6:$B$244,0),0)</f>
        <v>#N/A</v>
      </c>
      <c r="N134" s="14" t="e" cm="1">
        <f t="array" ref="N134">INDEX(Benchmarks!L$6:L$244,MATCH(SolverWork!$B134,MutualFunds!$B$6:$B$244,0),0)</f>
        <v>#N/A</v>
      </c>
      <c r="O134" s="14" t="e" cm="1">
        <f t="array" ref="O134">INDEX(Benchmarks!M$6:M$244,MATCH(SolverWork!$B134,MutualFunds!$B$6:$B$244,0),0)</f>
        <v>#N/A</v>
      </c>
      <c r="P134" s="14" t="e" cm="1">
        <f t="array" ref="P134">INDEX(Benchmarks!N$6:N$244,MATCH(SolverWork!$B134,MutualFunds!$B$6:$B$244,0),0)</f>
        <v>#N/A</v>
      </c>
      <c r="Q134" s="14" t="e" cm="1">
        <f t="array" ref="Q134">INDEX(Benchmarks!O$6:O$244,MATCH(SolverWork!$B134,MutualFunds!$B$6:$B$244,0),0)</f>
        <v>#N/A</v>
      </c>
      <c r="R134" s="14" t="e" cm="1">
        <f t="array" ref="R134">INDEX(Benchmarks!P$6:P$244,MATCH(SolverWork!$B134,MutualFunds!$B$6:$B$244,0),0)</f>
        <v>#N/A</v>
      </c>
      <c r="S134" s="14" t="e" cm="1">
        <f t="array" ref="S134">INDEX(Benchmarks!Q$6:Q$244,MATCH(SolverWork!$B134,MutualFunds!$B$6:$B$244,0),0)</f>
        <v>#N/A</v>
      </c>
      <c r="T134" s="14" t="e" cm="1">
        <f t="array" ref="T134">INDEX(Benchmarks!R$6:R$244,MATCH(SolverWork!$B134,MutualFunds!$B$6:$B$244,0),0)</f>
        <v>#N/A</v>
      </c>
    </row>
    <row r="135" spans="1:20" x14ac:dyDescent="0.2">
      <c r="A135">
        <v>125</v>
      </c>
      <c r="B135" s="28" t="str">
        <f>IF(B134="","",IF(EOMONTH(B134,1)&lt;=EOMONTH(Front!$C$4,0),EOMONTH(B134,1),""))</f>
        <v/>
      </c>
      <c r="C135" s="14" t="str">
        <f>IF(B135="","",INDEX(MutualFunds!$C$6:$O$244,MATCH(B135,MutualFunds!$B$6:$B$244,0),MATCH(Front!$C$2,MutualFunds!$C$4:$O$4,0)))</f>
        <v/>
      </c>
      <c r="D135" s="14" t="str">
        <f t="shared" si="1"/>
        <v/>
      </c>
      <c r="E135" s="14" t="e" cm="1">
        <f t="array" ref="E135">INDEX(Benchmarks!C$6:C$244,MATCH(SolverWork!$B135,MutualFunds!$B$6:$B$244,0),0)</f>
        <v>#N/A</v>
      </c>
      <c r="F135" s="14" t="e" cm="1">
        <f t="array" ref="F135">INDEX(Benchmarks!D$6:D$244,MATCH(SolverWork!$B135,MutualFunds!$B$6:$B$244,0),0)</f>
        <v>#N/A</v>
      </c>
      <c r="G135" s="14" t="e" cm="1">
        <f t="array" ref="G135">INDEX(Benchmarks!E$6:E$244,MATCH(SolverWork!$B135,MutualFunds!$B$6:$B$244,0),0)</f>
        <v>#N/A</v>
      </c>
      <c r="H135" s="14" t="e" cm="1">
        <f t="array" ref="H135">INDEX(Benchmarks!F$6:F$244,MATCH(SolverWork!$B135,MutualFunds!$B$6:$B$244,0),0)</f>
        <v>#N/A</v>
      </c>
      <c r="I135" s="14" t="e" cm="1">
        <f t="array" ref="I135">INDEX(Benchmarks!G$6:G$244,MATCH(SolverWork!$B135,MutualFunds!$B$6:$B$244,0),0)</f>
        <v>#N/A</v>
      </c>
      <c r="J135" s="14" t="e" cm="1">
        <f t="array" ref="J135">INDEX(Benchmarks!H$6:H$244,MATCH(SolverWork!$B135,MutualFunds!$B$6:$B$244,0),0)</f>
        <v>#N/A</v>
      </c>
      <c r="K135" s="14" t="e" cm="1">
        <f t="array" ref="K135">INDEX(Benchmarks!I$6:I$244,MATCH(SolverWork!$B135,MutualFunds!$B$6:$B$244,0),0)</f>
        <v>#N/A</v>
      </c>
      <c r="L135" s="14" t="e" cm="1">
        <f t="array" ref="L135">INDEX(Benchmarks!J$6:J$244,MATCH(SolverWork!$B135,MutualFunds!$B$6:$B$244,0),0)</f>
        <v>#N/A</v>
      </c>
      <c r="M135" s="14" t="e" cm="1">
        <f t="array" ref="M135">INDEX(Benchmarks!K$6:K$244,MATCH(SolverWork!$B135,MutualFunds!$B$6:$B$244,0),0)</f>
        <v>#N/A</v>
      </c>
      <c r="N135" s="14" t="e" cm="1">
        <f t="array" ref="N135">INDEX(Benchmarks!L$6:L$244,MATCH(SolverWork!$B135,MutualFunds!$B$6:$B$244,0),0)</f>
        <v>#N/A</v>
      </c>
      <c r="O135" s="14" t="e" cm="1">
        <f t="array" ref="O135">INDEX(Benchmarks!M$6:M$244,MATCH(SolverWork!$B135,MutualFunds!$B$6:$B$244,0),0)</f>
        <v>#N/A</v>
      </c>
      <c r="P135" s="14" t="e" cm="1">
        <f t="array" ref="P135">INDEX(Benchmarks!N$6:N$244,MATCH(SolverWork!$B135,MutualFunds!$B$6:$B$244,0),0)</f>
        <v>#N/A</v>
      </c>
      <c r="Q135" s="14" t="e" cm="1">
        <f t="array" ref="Q135">INDEX(Benchmarks!O$6:O$244,MATCH(SolverWork!$B135,MutualFunds!$B$6:$B$244,0),0)</f>
        <v>#N/A</v>
      </c>
      <c r="R135" s="14" t="e" cm="1">
        <f t="array" ref="R135">INDEX(Benchmarks!P$6:P$244,MATCH(SolverWork!$B135,MutualFunds!$B$6:$B$244,0),0)</f>
        <v>#N/A</v>
      </c>
      <c r="S135" s="14" t="e" cm="1">
        <f t="array" ref="S135">INDEX(Benchmarks!Q$6:Q$244,MATCH(SolverWork!$B135,MutualFunds!$B$6:$B$244,0),0)</f>
        <v>#N/A</v>
      </c>
      <c r="T135" s="14" t="e" cm="1">
        <f t="array" ref="T135">INDEX(Benchmarks!R$6:R$244,MATCH(SolverWork!$B135,MutualFunds!$B$6:$B$244,0),0)</f>
        <v>#N/A</v>
      </c>
    </row>
    <row r="136" spans="1:20" x14ac:dyDescent="0.2">
      <c r="A136">
        <v>126</v>
      </c>
      <c r="B136" s="28" t="str">
        <f>IF(B135="","",IF(EOMONTH(B135,1)&lt;=EOMONTH(Front!$C$4,0),EOMONTH(B135,1),""))</f>
        <v/>
      </c>
      <c r="C136" s="14" t="str">
        <f>IF(B136="","",INDEX(MutualFunds!$C$6:$O$244,MATCH(B136,MutualFunds!$B$6:$B$244,0),MATCH(Front!$C$2,MutualFunds!$C$4:$O$4,0)))</f>
        <v/>
      </c>
      <c r="D136" s="14" t="str">
        <f t="shared" si="1"/>
        <v/>
      </c>
      <c r="E136" s="14" t="e" cm="1">
        <f t="array" ref="E136">INDEX(Benchmarks!C$6:C$244,MATCH(SolverWork!$B136,MutualFunds!$B$6:$B$244,0),0)</f>
        <v>#N/A</v>
      </c>
      <c r="F136" s="14" t="e" cm="1">
        <f t="array" ref="F136">INDEX(Benchmarks!D$6:D$244,MATCH(SolverWork!$B136,MutualFunds!$B$6:$B$244,0),0)</f>
        <v>#N/A</v>
      </c>
      <c r="G136" s="14" t="e" cm="1">
        <f t="array" ref="G136">INDEX(Benchmarks!E$6:E$244,MATCH(SolverWork!$B136,MutualFunds!$B$6:$B$244,0),0)</f>
        <v>#N/A</v>
      </c>
      <c r="H136" s="14" t="e" cm="1">
        <f t="array" ref="H136">INDEX(Benchmarks!F$6:F$244,MATCH(SolverWork!$B136,MutualFunds!$B$6:$B$244,0),0)</f>
        <v>#N/A</v>
      </c>
      <c r="I136" s="14" t="e" cm="1">
        <f t="array" ref="I136">INDEX(Benchmarks!G$6:G$244,MATCH(SolverWork!$B136,MutualFunds!$B$6:$B$244,0),0)</f>
        <v>#N/A</v>
      </c>
      <c r="J136" s="14" t="e" cm="1">
        <f t="array" ref="J136">INDEX(Benchmarks!H$6:H$244,MATCH(SolverWork!$B136,MutualFunds!$B$6:$B$244,0),0)</f>
        <v>#N/A</v>
      </c>
      <c r="K136" s="14" t="e" cm="1">
        <f t="array" ref="K136">INDEX(Benchmarks!I$6:I$244,MATCH(SolverWork!$B136,MutualFunds!$B$6:$B$244,0),0)</f>
        <v>#N/A</v>
      </c>
      <c r="L136" s="14" t="e" cm="1">
        <f t="array" ref="L136">INDEX(Benchmarks!J$6:J$244,MATCH(SolverWork!$B136,MutualFunds!$B$6:$B$244,0),0)</f>
        <v>#N/A</v>
      </c>
      <c r="M136" s="14" t="e" cm="1">
        <f t="array" ref="M136">INDEX(Benchmarks!K$6:K$244,MATCH(SolverWork!$B136,MutualFunds!$B$6:$B$244,0),0)</f>
        <v>#N/A</v>
      </c>
      <c r="N136" s="14" t="e" cm="1">
        <f t="array" ref="N136">INDEX(Benchmarks!L$6:L$244,MATCH(SolverWork!$B136,MutualFunds!$B$6:$B$244,0),0)</f>
        <v>#N/A</v>
      </c>
      <c r="O136" s="14" t="e" cm="1">
        <f t="array" ref="O136">INDEX(Benchmarks!M$6:M$244,MATCH(SolverWork!$B136,MutualFunds!$B$6:$B$244,0),0)</f>
        <v>#N/A</v>
      </c>
      <c r="P136" s="14" t="e" cm="1">
        <f t="array" ref="P136">INDEX(Benchmarks!N$6:N$244,MATCH(SolverWork!$B136,MutualFunds!$B$6:$B$244,0),0)</f>
        <v>#N/A</v>
      </c>
      <c r="Q136" s="14" t="e" cm="1">
        <f t="array" ref="Q136">INDEX(Benchmarks!O$6:O$244,MATCH(SolverWork!$B136,MutualFunds!$B$6:$B$244,0),0)</f>
        <v>#N/A</v>
      </c>
      <c r="R136" s="14" t="e" cm="1">
        <f t="array" ref="R136">INDEX(Benchmarks!P$6:P$244,MATCH(SolverWork!$B136,MutualFunds!$B$6:$B$244,0),0)</f>
        <v>#N/A</v>
      </c>
      <c r="S136" s="14" t="e" cm="1">
        <f t="array" ref="S136">INDEX(Benchmarks!Q$6:Q$244,MATCH(SolverWork!$B136,MutualFunds!$B$6:$B$244,0),0)</f>
        <v>#N/A</v>
      </c>
      <c r="T136" s="14" t="e" cm="1">
        <f t="array" ref="T136">INDEX(Benchmarks!R$6:R$244,MATCH(SolverWork!$B136,MutualFunds!$B$6:$B$244,0),0)</f>
        <v>#N/A</v>
      </c>
    </row>
    <row r="137" spans="1:20" x14ac:dyDescent="0.2">
      <c r="A137">
        <v>127</v>
      </c>
      <c r="B137" s="28" t="str">
        <f>IF(B136="","",IF(EOMONTH(B136,1)&lt;=EOMONTH(Front!$C$4,0),EOMONTH(B136,1),""))</f>
        <v/>
      </c>
      <c r="C137" s="14" t="str">
        <f>IF(B137="","",INDEX(MutualFunds!$C$6:$O$244,MATCH(B137,MutualFunds!$B$6:$B$244,0),MATCH(Front!$C$2,MutualFunds!$C$4:$O$4,0)))</f>
        <v/>
      </c>
      <c r="D137" s="14" t="str">
        <f t="shared" si="1"/>
        <v/>
      </c>
      <c r="E137" s="14" t="e" cm="1">
        <f t="array" ref="E137">INDEX(Benchmarks!C$6:C$244,MATCH(SolverWork!$B137,MutualFunds!$B$6:$B$244,0),0)</f>
        <v>#N/A</v>
      </c>
      <c r="F137" s="14" t="e" cm="1">
        <f t="array" ref="F137">INDEX(Benchmarks!D$6:D$244,MATCH(SolverWork!$B137,MutualFunds!$B$6:$B$244,0),0)</f>
        <v>#N/A</v>
      </c>
      <c r="G137" s="14" t="e" cm="1">
        <f t="array" ref="G137">INDEX(Benchmarks!E$6:E$244,MATCH(SolverWork!$B137,MutualFunds!$B$6:$B$244,0),0)</f>
        <v>#N/A</v>
      </c>
      <c r="H137" s="14" t="e" cm="1">
        <f t="array" ref="H137">INDEX(Benchmarks!F$6:F$244,MATCH(SolverWork!$B137,MutualFunds!$B$6:$B$244,0),0)</f>
        <v>#N/A</v>
      </c>
      <c r="I137" s="14" t="e" cm="1">
        <f t="array" ref="I137">INDEX(Benchmarks!G$6:G$244,MATCH(SolverWork!$B137,MutualFunds!$B$6:$B$244,0),0)</f>
        <v>#N/A</v>
      </c>
      <c r="J137" s="14" t="e" cm="1">
        <f t="array" ref="J137">INDEX(Benchmarks!H$6:H$244,MATCH(SolverWork!$B137,MutualFunds!$B$6:$B$244,0),0)</f>
        <v>#N/A</v>
      </c>
      <c r="K137" s="14" t="e" cm="1">
        <f t="array" ref="K137">INDEX(Benchmarks!I$6:I$244,MATCH(SolverWork!$B137,MutualFunds!$B$6:$B$244,0),0)</f>
        <v>#N/A</v>
      </c>
      <c r="L137" s="14" t="e" cm="1">
        <f t="array" ref="L137">INDEX(Benchmarks!J$6:J$244,MATCH(SolverWork!$B137,MutualFunds!$B$6:$B$244,0),0)</f>
        <v>#N/A</v>
      </c>
      <c r="M137" s="14" t="e" cm="1">
        <f t="array" ref="M137">INDEX(Benchmarks!K$6:K$244,MATCH(SolverWork!$B137,MutualFunds!$B$6:$B$244,0),0)</f>
        <v>#N/A</v>
      </c>
      <c r="N137" s="14" t="e" cm="1">
        <f t="array" ref="N137">INDEX(Benchmarks!L$6:L$244,MATCH(SolverWork!$B137,MutualFunds!$B$6:$B$244,0),0)</f>
        <v>#N/A</v>
      </c>
      <c r="O137" s="14" t="e" cm="1">
        <f t="array" ref="O137">INDEX(Benchmarks!M$6:M$244,MATCH(SolverWork!$B137,MutualFunds!$B$6:$B$244,0),0)</f>
        <v>#N/A</v>
      </c>
      <c r="P137" s="14" t="e" cm="1">
        <f t="array" ref="P137">INDEX(Benchmarks!N$6:N$244,MATCH(SolverWork!$B137,MutualFunds!$B$6:$B$244,0),0)</f>
        <v>#N/A</v>
      </c>
      <c r="Q137" s="14" t="e" cm="1">
        <f t="array" ref="Q137">INDEX(Benchmarks!O$6:O$244,MATCH(SolverWork!$B137,MutualFunds!$B$6:$B$244,0),0)</f>
        <v>#N/A</v>
      </c>
      <c r="R137" s="14" t="e" cm="1">
        <f t="array" ref="R137">INDEX(Benchmarks!P$6:P$244,MATCH(SolverWork!$B137,MutualFunds!$B$6:$B$244,0),0)</f>
        <v>#N/A</v>
      </c>
      <c r="S137" s="14" t="e" cm="1">
        <f t="array" ref="S137">INDEX(Benchmarks!Q$6:Q$244,MATCH(SolverWork!$B137,MutualFunds!$B$6:$B$244,0),0)</f>
        <v>#N/A</v>
      </c>
      <c r="T137" s="14" t="e" cm="1">
        <f t="array" ref="T137">INDEX(Benchmarks!R$6:R$244,MATCH(SolverWork!$B137,MutualFunds!$B$6:$B$244,0),0)</f>
        <v>#N/A</v>
      </c>
    </row>
    <row r="138" spans="1:20" x14ac:dyDescent="0.2">
      <c r="A138">
        <v>128</v>
      </c>
      <c r="B138" s="28" t="str">
        <f>IF(B137="","",IF(EOMONTH(B137,1)&lt;=EOMONTH(Front!$C$4,0),EOMONTH(B137,1),""))</f>
        <v/>
      </c>
      <c r="C138" s="14" t="str">
        <f>IF(B138="","",INDEX(MutualFunds!$C$6:$O$244,MATCH(B138,MutualFunds!$B$6:$B$244,0),MATCH(Front!$C$2,MutualFunds!$C$4:$O$4,0)))</f>
        <v/>
      </c>
      <c r="D138" s="14" t="str">
        <f t="shared" si="1"/>
        <v/>
      </c>
      <c r="E138" s="14" t="e" cm="1">
        <f t="array" ref="E138">INDEX(Benchmarks!C$6:C$244,MATCH(SolverWork!$B138,MutualFunds!$B$6:$B$244,0),0)</f>
        <v>#N/A</v>
      </c>
      <c r="F138" s="14" t="e" cm="1">
        <f t="array" ref="F138">INDEX(Benchmarks!D$6:D$244,MATCH(SolverWork!$B138,MutualFunds!$B$6:$B$244,0),0)</f>
        <v>#N/A</v>
      </c>
      <c r="G138" s="14" t="e" cm="1">
        <f t="array" ref="G138">INDEX(Benchmarks!E$6:E$244,MATCH(SolverWork!$B138,MutualFunds!$B$6:$B$244,0),0)</f>
        <v>#N/A</v>
      </c>
      <c r="H138" s="14" t="e" cm="1">
        <f t="array" ref="H138">INDEX(Benchmarks!F$6:F$244,MATCH(SolverWork!$B138,MutualFunds!$B$6:$B$244,0),0)</f>
        <v>#N/A</v>
      </c>
      <c r="I138" s="14" t="e" cm="1">
        <f t="array" ref="I138">INDEX(Benchmarks!G$6:G$244,MATCH(SolverWork!$B138,MutualFunds!$B$6:$B$244,0),0)</f>
        <v>#N/A</v>
      </c>
      <c r="J138" s="14" t="e" cm="1">
        <f t="array" ref="J138">INDEX(Benchmarks!H$6:H$244,MATCH(SolverWork!$B138,MutualFunds!$B$6:$B$244,0),0)</f>
        <v>#N/A</v>
      </c>
      <c r="K138" s="14" t="e" cm="1">
        <f t="array" ref="K138">INDEX(Benchmarks!I$6:I$244,MATCH(SolverWork!$B138,MutualFunds!$B$6:$B$244,0),0)</f>
        <v>#N/A</v>
      </c>
      <c r="L138" s="14" t="e" cm="1">
        <f t="array" ref="L138">INDEX(Benchmarks!J$6:J$244,MATCH(SolverWork!$B138,MutualFunds!$B$6:$B$244,0),0)</f>
        <v>#N/A</v>
      </c>
      <c r="M138" s="14" t="e" cm="1">
        <f t="array" ref="M138">INDEX(Benchmarks!K$6:K$244,MATCH(SolverWork!$B138,MutualFunds!$B$6:$B$244,0),0)</f>
        <v>#N/A</v>
      </c>
      <c r="N138" s="14" t="e" cm="1">
        <f t="array" ref="N138">INDEX(Benchmarks!L$6:L$244,MATCH(SolverWork!$B138,MutualFunds!$B$6:$B$244,0),0)</f>
        <v>#N/A</v>
      </c>
      <c r="O138" s="14" t="e" cm="1">
        <f t="array" ref="O138">INDEX(Benchmarks!M$6:M$244,MATCH(SolverWork!$B138,MutualFunds!$B$6:$B$244,0),0)</f>
        <v>#N/A</v>
      </c>
      <c r="P138" s="14" t="e" cm="1">
        <f t="array" ref="P138">INDEX(Benchmarks!N$6:N$244,MATCH(SolverWork!$B138,MutualFunds!$B$6:$B$244,0),0)</f>
        <v>#N/A</v>
      </c>
      <c r="Q138" s="14" t="e" cm="1">
        <f t="array" ref="Q138">INDEX(Benchmarks!O$6:O$244,MATCH(SolverWork!$B138,MutualFunds!$B$6:$B$244,0),0)</f>
        <v>#N/A</v>
      </c>
      <c r="R138" s="14" t="e" cm="1">
        <f t="array" ref="R138">INDEX(Benchmarks!P$6:P$244,MATCH(SolverWork!$B138,MutualFunds!$B$6:$B$244,0),0)</f>
        <v>#N/A</v>
      </c>
      <c r="S138" s="14" t="e" cm="1">
        <f t="array" ref="S138">INDEX(Benchmarks!Q$6:Q$244,MATCH(SolverWork!$B138,MutualFunds!$B$6:$B$244,0),0)</f>
        <v>#N/A</v>
      </c>
      <c r="T138" s="14" t="e" cm="1">
        <f t="array" ref="T138">INDEX(Benchmarks!R$6:R$244,MATCH(SolverWork!$B138,MutualFunds!$B$6:$B$244,0),0)</f>
        <v>#N/A</v>
      </c>
    </row>
    <row r="139" spans="1:20" x14ac:dyDescent="0.2">
      <c r="A139">
        <v>129</v>
      </c>
      <c r="B139" s="28" t="str">
        <f>IF(B138="","",IF(EOMONTH(B138,1)&lt;=EOMONTH(Front!$C$4,0),EOMONTH(B138,1),""))</f>
        <v/>
      </c>
      <c r="C139" s="14" t="str">
        <f>IF(B139="","",INDEX(MutualFunds!$C$6:$O$244,MATCH(B139,MutualFunds!$B$6:$B$244,0),MATCH(Front!$C$2,MutualFunds!$C$4:$O$4,0)))</f>
        <v/>
      </c>
      <c r="D139" s="14" t="str">
        <f t="shared" ref="D139:D202" si="2">IF(B139="","",C139-SUMPRODUCT($E$7:$T$7,E139:T139))</f>
        <v/>
      </c>
      <c r="E139" s="14" t="e" cm="1">
        <f t="array" ref="E139">INDEX(Benchmarks!C$6:C$244,MATCH(SolverWork!$B139,MutualFunds!$B$6:$B$244,0),0)</f>
        <v>#N/A</v>
      </c>
      <c r="F139" s="14" t="e" cm="1">
        <f t="array" ref="F139">INDEX(Benchmarks!D$6:D$244,MATCH(SolverWork!$B139,MutualFunds!$B$6:$B$244,0),0)</f>
        <v>#N/A</v>
      </c>
      <c r="G139" s="14" t="e" cm="1">
        <f t="array" ref="G139">INDEX(Benchmarks!E$6:E$244,MATCH(SolverWork!$B139,MutualFunds!$B$6:$B$244,0),0)</f>
        <v>#N/A</v>
      </c>
      <c r="H139" s="14" t="e" cm="1">
        <f t="array" ref="H139">INDEX(Benchmarks!F$6:F$244,MATCH(SolverWork!$B139,MutualFunds!$B$6:$B$244,0),0)</f>
        <v>#N/A</v>
      </c>
      <c r="I139" s="14" t="e" cm="1">
        <f t="array" ref="I139">INDEX(Benchmarks!G$6:G$244,MATCH(SolverWork!$B139,MutualFunds!$B$6:$B$244,0),0)</f>
        <v>#N/A</v>
      </c>
      <c r="J139" s="14" t="e" cm="1">
        <f t="array" ref="J139">INDEX(Benchmarks!H$6:H$244,MATCH(SolverWork!$B139,MutualFunds!$B$6:$B$244,0),0)</f>
        <v>#N/A</v>
      </c>
      <c r="K139" s="14" t="e" cm="1">
        <f t="array" ref="K139">INDEX(Benchmarks!I$6:I$244,MATCH(SolverWork!$B139,MutualFunds!$B$6:$B$244,0),0)</f>
        <v>#N/A</v>
      </c>
      <c r="L139" s="14" t="e" cm="1">
        <f t="array" ref="L139">INDEX(Benchmarks!J$6:J$244,MATCH(SolverWork!$B139,MutualFunds!$B$6:$B$244,0),0)</f>
        <v>#N/A</v>
      </c>
      <c r="M139" s="14" t="e" cm="1">
        <f t="array" ref="M139">INDEX(Benchmarks!K$6:K$244,MATCH(SolverWork!$B139,MutualFunds!$B$6:$B$244,0),0)</f>
        <v>#N/A</v>
      </c>
      <c r="N139" s="14" t="e" cm="1">
        <f t="array" ref="N139">INDEX(Benchmarks!L$6:L$244,MATCH(SolverWork!$B139,MutualFunds!$B$6:$B$244,0),0)</f>
        <v>#N/A</v>
      </c>
      <c r="O139" s="14" t="e" cm="1">
        <f t="array" ref="O139">INDEX(Benchmarks!M$6:M$244,MATCH(SolverWork!$B139,MutualFunds!$B$6:$B$244,0),0)</f>
        <v>#N/A</v>
      </c>
      <c r="P139" s="14" t="e" cm="1">
        <f t="array" ref="P139">INDEX(Benchmarks!N$6:N$244,MATCH(SolverWork!$B139,MutualFunds!$B$6:$B$244,0),0)</f>
        <v>#N/A</v>
      </c>
      <c r="Q139" s="14" t="e" cm="1">
        <f t="array" ref="Q139">INDEX(Benchmarks!O$6:O$244,MATCH(SolverWork!$B139,MutualFunds!$B$6:$B$244,0),0)</f>
        <v>#N/A</v>
      </c>
      <c r="R139" s="14" t="e" cm="1">
        <f t="array" ref="R139">INDEX(Benchmarks!P$6:P$244,MATCH(SolverWork!$B139,MutualFunds!$B$6:$B$244,0),0)</f>
        <v>#N/A</v>
      </c>
      <c r="S139" s="14" t="e" cm="1">
        <f t="array" ref="S139">INDEX(Benchmarks!Q$6:Q$244,MATCH(SolverWork!$B139,MutualFunds!$B$6:$B$244,0),0)</f>
        <v>#N/A</v>
      </c>
      <c r="T139" s="14" t="e" cm="1">
        <f t="array" ref="T139">INDEX(Benchmarks!R$6:R$244,MATCH(SolverWork!$B139,MutualFunds!$B$6:$B$244,0),0)</f>
        <v>#N/A</v>
      </c>
    </row>
    <row r="140" spans="1:20" x14ac:dyDescent="0.2">
      <c r="A140">
        <v>130</v>
      </c>
      <c r="B140" s="28" t="str">
        <f>IF(B139="","",IF(EOMONTH(B139,1)&lt;=EOMONTH(Front!$C$4,0),EOMONTH(B139,1),""))</f>
        <v/>
      </c>
      <c r="C140" s="14" t="str">
        <f>IF(B140="","",INDEX(MutualFunds!$C$6:$O$244,MATCH(B140,MutualFunds!$B$6:$B$244,0),MATCH(Front!$C$2,MutualFunds!$C$4:$O$4,0)))</f>
        <v/>
      </c>
      <c r="D140" s="14" t="str">
        <f t="shared" si="2"/>
        <v/>
      </c>
      <c r="E140" s="14" t="e" cm="1">
        <f t="array" ref="E140">INDEX(Benchmarks!C$6:C$244,MATCH(SolverWork!$B140,MutualFunds!$B$6:$B$244,0),0)</f>
        <v>#N/A</v>
      </c>
      <c r="F140" s="14" t="e" cm="1">
        <f t="array" ref="F140">INDEX(Benchmarks!D$6:D$244,MATCH(SolverWork!$B140,MutualFunds!$B$6:$B$244,0),0)</f>
        <v>#N/A</v>
      </c>
      <c r="G140" s="14" t="e" cm="1">
        <f t="array" ref="G140">INDEX(Benchmarks!E$6:E$244,MATCH(SolverWork!$B140,MutualFunds!$B$6:$B$244,0),0)</f>
        <v>#N/A</v>
      </c>
      <c r="H140" s="14" t="e" cm="1">
        <f t="array" ref="H140">INDEX(Benchmarks!F$6:F$244,MATCH(SolverWork!$B140,MutualFunds!$B$6:$B$244,0),0)</f>
        <v>#N/A</v>
      </c>
      <c r="I140" s="14" t="e" cm="1">
        <f t="array" ref="I140">INDEX(Benchmarks!G$6:G$244,MATCH(SolverWork!$B140,MutualFunds!$B$6:$B$244,0),0)</f>
        <v>#N/A</v>
      </c>
      <c r="J140" s="14" t="e" cm="1">
        <f t="array" ref="J140">INDEX(Benchmarks!H$6:H$244,MATCH(SolverWork!$B140,MutualFunds!$B$6:$B$244,0),0)</f>
        <v>#N/A</v>
      </c>
      <c r="K140" s="14" t="e" cm="1">
        <f t="array" ref="K140">INDEX(Benchmarks!I$6:I$244,MATCH(SolverWork!$B140,MutualFunds!$B$6:$B$244,0),0)</f>
        <v>#N/A</v>
      </c>
      <c r="L140" s="14" t="e" cm="1">
        <f t="array" ref="L140">INDEX(Benchmarks!J$6:J$244,MATCH(SolverWork!$B140,MutualFunds!$B$6:$B$244,0),0)</f>
        <v>#N/A</v>
      </c>
      <c r="M140" s="14" t="e" cm="1">
        <f t="array" ref="M140">INDEX(Benchmarks!K$6:K$244,MATCH(SolverWork!$B140,MutualFunds!$B$6:$B$244,0),0)</f>
        <v>#N/A</v>
      </c>
      <c r="N140" s="14" t="e" cm="1">
        <f t="array" ref="N140">INDEX(Benchmarks!L$6:L$244,MATCH(SolverWork!$B140,MutualFunds!$B$6:$B$244,0),0)</f>
        <v>#N/A</v>
      </c>
      <c r="O140" s="14" t="e" cm="1">
        <f t="array" ref="O140">INDEX(Benchmarks!M$6:M$244,MATCH(SolverWork!$B140,MutualFunds!$B$6:$B$244,0),0)</f>
        <v>#N/A</v>
      </c>
      <c r="P140" s="14" t="e" cm="1">
        <f t="array" ref="P140">INDEX(Benchmarks!N$6:N$244,MATCH(SolverWork!$B140,MutualFunds!$B$6:$B$244,0),0)</f>
        <v>#N/A</v>
      </c>
      <c r="Q140" s="14" t="e" cm="1">
        <f t="array" ref="Q140">INDEX(Benchmarks!O$6:O$244,MATCH(SolverWork!$B140,MutualFunds!$B$6:$B$244,0),0)</f>
        <v>#N/A</v>
      </c>
      <c r="R140" s="14" t="e" cm="1">
        <f t="array" ref="R140">INDEX(Benchmarks!P$6:P$244,MATCH(SolverWork!$B140,MutualFunds!$B$6:$B$244,0),0)</f>
        <v>#N/A</v>
      </c>
      <c r="S140" s="14" t="e" cm="1">
        <f t="array" ref="S140">INDEX(Benchmarks!Q$6:Q$244,MATCH(SolverWork!$B140,MutualFunds!$B$6:$B$244,0),0)</f>
        <v>#N/A</v>
      </c>
      <c r="T140" s="14" t="e" cm="1">
        <f t="array" ref="T140">INDEX(Benchmarks!R$6:R$244,MATCH(SolverWork!$B140,MutualFunds!$B$6:$B$244,0),0)</f>
        <v>#N/A</v>
      </c>
    </row>
    <row r="141" spans="1:20" x14ac:dyDescent="0.2">
      <c r="A141">
        <v>131</v>
      </c>
      <c r="B141" s="28" t="str">
        <f>IF(B140="","",IF(EOMONTH(B140,1)&lt;=EOMONTH(Front!$C$4,0),EOMONTH(B140,1),""))</f>
        <v/>
      </c>
      <c r="C141" s="14" t="str">
        <f>IF(B141="","",INDEX(MutualFunds!$C$6:$O$244,MATCH(B141,MutualFunds!$B$6:$B$244,0),MATCH(Front!$C$2,MutualFunds!$C$4:$O$4,0)))</f>
        <v/>
      </c>
      <c r="D141" s="14" t="str">
        <f t="shared" si="2"/>
        <v/>
      </c>
      <c r="E141" s="14" t="e" cm="1">
        <f t="array" ref="E141">INDEX(Benchmarks!C$6:C$244,MATCH(SolverWork!$B141,MutualFunds!$B$6:$B$244,0),0)</f>
        <v>#N/A</v>
      </c>
      <c r="F141" s="14" t="e" cm="1">
        <f t="array" ref="F141">INDEX(Benchmarks!D$6:D$244,MATCH(SolverWork!$B141,MutualFunds!$B$6:$B$244,0),0)</f>
        <v>#N/A</v>
      </c>
      <c r="G141" s="14" t="e" cm="1">
        <f t="array" ref="G141">INDEX(Benchmarks!E$6:E$244,MATCH(SolverWork!$B141,MutualFunds!$B$6:$B$244,0),0)</f>
        <v>#N/A</v>
      </c>
      <c r="H141" s="14" t="e" cm="1">
        <f t="array" ref="H141">INDEX(Benchmarks!F$6:F$244,MATCH(SolverWork!$B141,MutualFunds!$B$6:$B$244,0),0)</f>
        <v>#N/A</v>
      </c>
      <c r="I141" s="14" t="e" cm="1">
        <f t="array" ref="I141">INDEX(Benchmarks!G$6:G$244,MATCH(SolverWork!$B141,MutualFunds!$B$6:$B$244,0),0)</f>
        <v>#N/A</v>
      </c>
      <c r="J141" s="14" t="e" cm="1">
        <f t="array" ref="J141">INDEX(Benchmarks!H$6:H$244,MATCH(SolverWork!$B141,MutualFunds!$B$6:$B$244,0),0)</f>
        <v>#N/A</v>
      </c>
      <c r="K141" s="14" t="e" cm="1">
        <f t="array" ref="K141">INDEX(Benchmarks!I$6:I$244,MATCH(SolverWork!$B141,MutualFunds!$B$6:$B$244,0),0)</f>
        <v>#N/A</v>
      </c>
      <c r="L141" s="14" t="e" cm="1">
        <f t="array" ref="L141">INDEX(Benchmarks!J$6:J$244,MATCH(SolverWork!$B141,MutualFunds!$B$6:$B$244,0),0)</f>
        <v>#N/A</v>
      </c>
      <c r="M141" s="14" t="e" cm="1">
        <f t="array" ref="M141">INDEX(Benchmarks!K$6:K$244,MATCH(SolverWork!$B141,MutualFunds!$B$6:$B$244,0),0)</f>
        <v>#N/A</v>
      </c>
      <c r="N141" s="14" t="e" cm="1">
        <f t="array" ref="N141">INDEX(Benchmarks!L$6:L$244,MATCH(SolverWork!$B141,MutualFunds!$B$6:$B$244,0),0)</f>
        <v>#N/A</v>
      </c>
      <c r="O141" s="14" t="e" cm="1">
        <f t="array" ref="O141">INDEX(Benchmarks!M$6:M$244,MATCH(SolverWork!$B141,MutualFunds!$B$6:$B$244,0),0)</f>
        <v>#N/A</v>
      </c>
      <c r="P141" s="14" t="e" cm="1">
        <f t="array" ref="P141">INDEX(Benchmarks!N$6:N$244,MATCH(SolverWork!$B141,MutualFunds!$B$6:$B$244,0),0)</f>
        <v>#N/A</v>
      </c>
      <c r="Q141" s="14" t="e" cm="1">
        <f t="array" ref="Q141">INDEX(Benchmarks!O$6:O$244,MATCH(SolverWork!$B141,MutualFunds!$B$6:$B$244,0),0)</f>
        <v>#N/A</v>
      </c>
      <c r="R141" s="14" t="e" cm="1">
        <f t="array" ref="R141">INDEX(Benchmarks!P$6:P$244,MATCH(SolverWork!$B141,MutualFunds!$B$6:$B$244,0),0)</f>
        <v>#N/A</v>
      </c>
      <c r="S141" s="14" t="e" cm="1">
        <f t="array" ref="S141">INDEX(Benchmarks!Q$6:Q$244,MATCH(SolverWork!$B141,MutualFunds!$B$6:$B$244,0),0)</f>
        <v>#N/A</v>
      </c>
      <c r="T141" s="14" t="e" cm="1">
        <f t="array" ref="T141">INDEX(Benchmarks!R$6:R$244,MATCH(SolverWork!$B141,MutualFunds!$B$6:$B$244,0),0)</f>
        <v>#N/A</v>
      </c>
    </row>
    <row r="142" spans="1:20" x14ac:dyDescent="0.2">
      <c r="A142">
        <v>132</v>
      </c>
      <c r="B142" s="28" t="str">
        <f>IF(B141="","",IF(EOMONTH(B141,1)&lt;=EOMONTH(Front!$C$4,0),EOMONTH(B141,1),""))</f>
        <v/>
      </c>
      <c r="C142" s="14" t="str">
        <f>IF(B142="","",INDEX(MutualFunds!$C$6:$O$244,MATCH(B142,MutualFunds!$B$6:$B$244,0),MATCH(Front!$C$2,MutualFunds!$C$4:$O$4,0)))</f>
        <v/>
      </c>
      <c r="D142" s="14" t="str">
        <f t="shared" si="2"/>
        <v/>
      </c>
      <c r="E142" s="14" t="e" cm="1">
        <f t="array" ref="E142">INDEX(Benchmarks!C$6:C$244,MATCH(SolverWork!$B142,MutualFunds!$B$6:$B$244,0),0)</f>
        <v>#N/A</v>
      </c>
      <c r="F142" s="14" t="e" cm="1">
        <f t="array" ref="F142">INDEX(Benchmarks!D$6:D$244,MATCH(SolverWork!$B142,MutualFunds!$B$6:$B$244,0),0)</f>
        <v>#N/A</v>
      </c>
      <c r="G142" s="14" t="e" cm="1">
        <f t="array" ref="G142">INDEX(Benchmarks!E$6:E$244,MATCH(SolverWork!$B142,MutualFunds!$B$6:$B$244,0),0)</f>
        <v>#N/A</v>
      </c>
      <c r="H142" s="14" t="e" cm="1">
        <f t="array" ref="H142">INDEX(Benchmarks!F$6:F$244,MATCH(SolverWork!$B142,MutualFunds!$B$6:$B$244,0),0)</f>
        <v>#N/A</v>
      </c>
      <c r="I142" s="14" t="e" cm="1">
        <f t="array" ref="I142">INDEX(Benchmarks!G$6:G$244,MATCH(SolverWork!$B142,MutualFunds!$B$6:$B$244,0),0)</f>
        <v>#N/A</v>
      </c>
      <c r="J142" s="14" t="e" cm="1">
        <f t="array" ref="J142">INDEX(Benchmarks!H$6:H$244,MATCH(SolverWork!$B142,MutualFunds!$B$6:$B$244,0),0)</f>
        <v>#N/A</v>
      </c>
      <c r="K142" s="14" t="e" cm="1">
        <f t="array" ref="K142">INDEX(Benchmarks!I$6:I$244,MATCH(SolverWork!$B142,MutualFunds!$B$6:$B$244,0),0)</f>
        <v>#N/A</v>
      </c>
      <c r="L142" s="14" t="e" cm="1">
        <f t="array" ref="L142">INDEX(Benchmarks!J$6:J$244,MATCH(SolverWork!$B142,MutualFunds!$B$6:$B$244,0),0)</f>
        <v>#N/A</v>
      </c>
      <c r="M142" s="14" t="e" cm="1">
        <f t="array" ref="M142">INDEX(Benchmarks!K$6:K$244,MATCH(SolverWork!$B142,MutualFunds!$B$6:$B$244,0),0)</f>
        <v>#N/A</v>
      </c>
      <c r="N142" s="14" t="e" cm="1">
        <f t="array" ref="N142">INDEX(Benchmarks!L$6:L$244,MATCH(SolverWork!$B142,MutualFunds!$B$6:$B$244,0),0)</f>
        <v>#N/A</v>
      </c>
      <c r="O142" s="14" t="e" cm="1">
        <f t="array" ref="O142">INDEX(Benchmarks!M$6:M$244,MATCH(SolverWork!$B142,MutualFunds!$B$6:$B$244,0),0)</f>
        <v>#N/A</v>
      </c>
      <c r="P142" s="14" t="e" cm="1">
        <f t="array" ref="P142">INDEX(Benchmarks!N$6:N$244,MATCH(SolverWork!$B142,MutualFunds!$B$6:$B$244,0),0)</f>
        <v>#N/A</v>
      </c>
      <c r="Q142" s="14" t="e" cm="1">
        <f t="array" ref="Q142">INDEX(Benchmarks!O$6:O$244,MATCH(SolverWork!$B142,MutualFunds!$B$6:$B$244,0),0)</f>
        <v>#N/A</v>
      </c>
      <c r="R142" s="14" t="e" cm="1">
        <f t="array" ref="R142">INDEX(Benchmarks!P$6:P$244,MATCH(SolverWork!$B142,MutualFunds!$B$6:$B$244,0),0)</f>
        <v>#N/A</v>
      </c>
      <c r="S142" s="14" t="e" cm="1">
        <f t="array" ref="S142">INDEX(Benchmarks!Q$6:Q$244,MATCH(SolverWork!$B142,MutualFunds!$B$6:$B$244,0),0)</f>
        <v>#N/A</v>
      </c>
      <c r="T142" s="14" t="e" cm="1">
        <f t="array" ref="T142">INDEX(Benchmarks!R$6:R$244,MATCH(SolverWork!$B142,MutualFunds!$B$6:$B$244,0),0)</f>
        <v>#N/A</v>
      </c>
    </row>
    <row r="143" spans="1:20" x14ac:dyDescent="0.2">
      <c r="A143">
        <v>133</v>
      </c>
      <c r="B143" s="28" t="str">
        <f>IF(B142="","",IF(EOMONTH(B142,1)&lt;=EOMONTH(Front!$C$4,0),EOMONTH(B142,1),""))</f>
        <v/>
      </c>
      <c r="C143" s="14" t="str">
        <f>IF(B143="","",INDEX(MutualFunds!$C$6:$O$244,MATCH(B143,MutualFunds!$B$6:$B$244,0),MATCH(Front!$C$2,MutualFunds!$C$4:$O$4,0)))</f>
        <v/>
      </c>
      <c r="D143" s="14" t="str">
        <f t="shared" si="2"/>
        <v/>
      </c>
      <c r="E143" s="14" t="e" cm="1">
        <f t="array" ref="E143">INDEX(Benchmarks!C$6:C$244,MATCH(SolverWork!$B143,MutualFunds!$B$6:$B$244,0),0)</f>
        <v>#N/A</v>
      </c>
      <c r="F143" s="14" t="e" cm="1">
        <f t="array" ref="F143">INDEX(Benchmarks!D$6:D$244,MATCH(SolverWork!$B143,MutualFunds!$B$6:$B$244,0),0)</f>
        <v>#N/A</v>
      </c>
      <c r="G143" s="14" t="e" cm="1">
        <f t="array" ref="G143">INDEX(Benchmarks!E$6:E$244,MATCH(SolverWork!$B143,MutualFunds!$B$6:$B$244,0),0)</f>
        <v>#N/A</v>
      </c>
      <c r="H143" s="14" t="e" cm="1">
        <f t="array" ref="H143">INDEX(Benchmarks!F$6:F$244,MATCH(SolverWork!$B143,MutualFunds!$B$6:$B$244,0),0)</f>
        <v>#N/A</v>
      </c>
      <c r="I143" s="14" t="e" cm="1">
        <f t="array" ref="I143">INDEX(Benchmarks!G$6:G$244,MATCH(SolverWork!$B143,MutualFunds!$B$6:$B$244,0),0)</f>
        <v>#N/A</v>
      </c>
      <c r="J143" s="14" t="e" cm="1">
        <f t="array" ref="J143">INDEX(Benchmarks!H$6:H$244,MATCH(SolverWork!$B143,MutualFunds!$B$6:$B$244,0),0)</f>
        <v>#N/A</v>
      </c>
      <c r="K143" s="14" t="e" cm="1">
        <f t="array" ref="K143">INDEX(Benchmarks!I$6:I$244,MATCH(SolverWork!$B143,MutualFunds!$B$6:$B$244,0),0)</f>
        <v>#N/A</v>
      </c>
      <c r="L143" s="14" t="e" cm="1">
        <f t="array" ref="L143">INDEX(Benchmarks!J$6:J$244,MATCH(SolverWork!$B143,MutualFunds!$B$6:$B$244,0),0)</f>
        <v>#N/A</v>
      </c>
      <c r="M143" s="14" t="e" cm="1">
        <f t="array" ref="M143">INDEX(Benchmarks!K$6:K$244,MATCH(SolverWork!$B143,MutualFunds!$B$6:$B$244,0),0)</f>
        <v>#N/A</v>
      </c>
      <c r="N143" s="14" t="e" cm="1">
        <f t="array" ref="N143">INDEX(Benchmarks!L$6:L$244,MATCH(SolverWork!$B143,MutualFunds!$B$6:$B$244,0),0)</f>
        <v>#N/A</v>
      </c>
      <c r="O143" s="14" t="e" cm="1">
        <f t="array" ref="O143">INDEX(Benchmarks!M$6:M$244,MATCH(SolverWork!$B143,MutualFunds!$B$6:$B$244,0),0)</f>
        <v>#N/A</v>
      </c>
      <c r="P143" s="14" t="e" cm="1">
        <f t="array" ref="P143">INDEX(Benchmarks!N$6:N$244,MATCH(SolverWork!$B143,MutualFunds!$B$6:$B$244,0),0)</f>
        <v>#N/A</v>
      </c>
      <c r="Q143" s="14" t="e" cm="1">
        <f t="array" ref="Q143">INDEX(Benchmarks!O$6:O$244,MATCH(SolverWork!$B143,MutualFunds!$B$6:$B$244,0),0)</f>
        <v>#N/A</v>
      </c>
      <c r="R143" s="14" t="e" cm="1">
        <f t="array" ref="R143">INDEX(Benchmarks!P$6:P$244,MATCH(SolverWork!$B143,MutualFunds!$B$6:$B$244,0),0)</f>
        <v>#N/A</v>
      </c>
      <c r="S143" s="14" t="e" cm="1">
        <f t="array" ref="S143">INDEX(Benchmarks!Q$6:Q$244,MATCH(SolverWork!$B143,MutualFunds!$B$6:$B$244,0),0)</f>
        <v>#N/A</v>
      </c>
      <c r="T143" s="14" t="e" cm="1">
        <f t="array" ref="T143">INDEX(Benchmarks!R$6:R$244,MATCH(SolverWork!$B143,MutualFunds!$B$6:$B$244,0),0)</f>
        <v>#N/A</v>
      </c>
    </row>
    <row r="144" spans="1:20" x14ac:dyDescent="0.2">
      <c r="A144">
        <v>134</v>
      </c>
      <c r="B144" s="28" t="str">
        <f>IF(B143="","",IF(EOMONTH(B143,1)&lt;=EOMONTH(Front!$C$4,0),EOMONTH(B143,1),""))</f>
        <v/>
      </c>
      <c r="C144" s="14" t="str">
        <f>IF(B144="","",INDEX(MutualFunds!$C$6:$O$244,MATCH(B144,MutualFunds!$B$6:$B$244,0),MATCH(Front!$C$2,MutualFunds!$C$4:$O$4,0)))</f>
        <v/>
      </c>
      <c r="D144" s="14" t="str">
        <f t="shared" si="2"/>
        <v/>
      </c>
      <c r="E144" s="14" t="e" cm="1">
        <f t="array" ref="E144">INDEX(Benchmarks!C$6:C$244,MATCH(SolverWork!$B144,MutualFunds!$B$6:$B$244,0),0)</f>
        <v>#N/A</v>
      </c>
      <c r="F144" s="14" t="e" cm="1">
        <f t="array" ref="F144">INDEX(Benchmarks!D$6:D$244,MATCH(SolverWork!$B144,MutualFunds!$B$6:$B$244,0),0)</f>
        <v>#N/A</v>
      </c>
      <c r="G144" s="14" t="e" cm="1">
        <f t="array" ref="G144">INDEX(Benchmarks!E$6:E$244,MATCH(SolverWork!$B144,MutualFunds!$B$6:$B$244,0),0)</f>
        <v>#N/A</v>
      </c>
      <c r="H144" s="14" t="e" cm="1">
        <f t="array" ref="H144">INDEX(Benchmarks!F$6:F$244,MATCH(SolverWork!$B144,MutualFunds!$B$6:$B$244,0),0)</f>
        <v>#N/A</v>
      </c>
      <c r="I144" s="14" t="e" cm="1">
        <f t="array" ref="I144">INDEX(Benchmarks!G$6:G$244,MATCH(SolverWork!$B144,MutualFunds!$B$6:$B$244,0),0)</f>
        <v>#N/A</v>
      </c>
      <c r="J144" s="14" t="e" cm="1">
        <f t="array" ref="J144">INDEX(Benchmarks!H$6:H$244,MATCH(SolverWork!$B144,MutualFunds!$B$6:$B$244,0),0)</f>
        <v>#N/A</v>
      </c>
      <c r="K144" s="14" t="e" cm="1">
        <f t="array" ref="K144">INDEX(Benchmarks!I$6:I$244,MATCH(SolverWork!$B144,MutualFunds!$B$6:$B$244,0),0)</f>
        <v>#N/A</v>
      </c>
      <c r="L144" s="14" t="e" cm="1">
        <f t="array" ref="L144">INDEX(Benchmarks!J$6:J$244,MATCH(SolverWork!$B144,MutualFunds!$B$6:$B$244,0),0)</f>
        <v>#N/A</v>
      </c>
      <c r="M144" s="14" t="e" cm="1">
        <f t="array" ref="M144">INDEX(Benchmarks!K$6:K$244,MATCH(SolverWork!$B144,MutualFunds!$B$6:$B$244,0),0)</f>
        <v>#N/A</v>
      </c>
      <c r="N144" s="14" t="e" cm="1">
        <f t="array" ref="N144">INDEX(Benchmarks!L$6:L$244,MATCH(SolverWork!$B144,MutualFunds!$B$6:$B$244,0),0)</f>
        <v>#N/A</v>
      </c>
      <c r="O144" s="14" t="e" cm="1">
        <f t="array" ref="O144">INDEX(Benchmarks!M$6:M$244,MATCH(SolverWork!$B144,MutualFunds!$B$6:$B$244,0),0)</f>
        <v>#N/A</v>
      </c>
      <c r="P144" s="14" t="e" cm="1">
        <f t="array" ref="P144">INDEX(Benchmarks!N$6:N$244,MATCH(SolverWork!$B144,MutualFunds!$B$6:$B$244,0),0)</f>
        <v>#N/A</v>
      </c>
      <c r="Q144" s="14" t="e" cm="1">
        <f t="array" ref="Q144">INDEX(Benchmarks!O$6:O$244,MATCH(SolverWork!$B144,MutualFunds!$B$6:$B$244,0),0)</f>
        <v>#N/A</v>
      </c>
      <c r="R144" s="14" t="e" cm="1">
        <f t="array" ref="R144">INDEX(Benchmarks!P$6:P$244,MATCH(SolverWork!$B144,MutualFunds!$B$6:$B$244,0),0)</f>
        <v>#N/A</v>
      </c>
      <c r="S144" s="14" t="e" cm="1">
        <f t="array" ref="S144">INDEX(Benchmarks!Q$6:Q$244,MATCH(SolverWork!$B144,MutualFunds!$B$6:$B$244,0),0)</f>
        <v>#N/A</v>
      </c>
      <c r="T144" s="14" t="e" cm="1">
        <f t="array" ref="T144">INDEX(Benchmarks!R$6:R$244,MATCH(SolverWork!$B144,MutualFunds!$B$6:$B$244,0),0)</f>
        <v>#N/A</v>
      </c>
    </row>
    <row r="145" spans="1:20" x14ac:dyDescent="0.2">
      <c r="A145">
        <v>135</v>
      </c>
      <c r="B145" s="28" t="str">
        <f>IF(B144="","",IF(EOMONTH(B144,1)&lt;=EOMONTH(Front!$C$4,0),EOMONTH(B144,1),""))</f>
        <v/>
      </c>
      <c r="C145" s="14" t="str">
        <f>IF(B145="","",INDEX(MutualFunds!$C$6:$O$244,MATCH(B145,MutualFunds!$B$6:$B$244,0),MATCH(Front!$C$2,MutualFunds!$C$4:$O$4,0)))</f>
        <v/>
      </c>
      <c r="D145" s="14" t="str">
        <f t="shared" si="2"/>
        <v/>
      </c>
      <c r="E145" s="14" t="e" cm="1">
        <f t="array" ref="E145">INDEX(Benchmarks!C$6:C$244,MATCH(SolverWork!$B145,MutualFunds!$B$6:$B$244,0),0)</f>
        <v>#N/A</v>
      </c>
      <c r="F145" s="14" t="e" cm="1">
        <f t="array" ref="F145">INDEX(Benchmarks!D$6:D$244,MATCH(SolverWork!$B145,MutualFunds!$B$6:$B$244,0),0)</f>
        <v>#N/A</v>
      </c>
      <c r="G145" s="14" t="e" cm="1">
        <f t="array" ref="G145">INDEX(Benchmarks!E$6:E$244,MATCH(SolverWork!$B145,MutualFunds!$B$6:$B$244,0),0)</f>
        <v>#N/A</v>
      </c>
      <c r="H145" s="14" t="e" cm="1">
        <f t="array" ref="H145">INDEX(Benchmarks!F$6:F$244,MATCH(SolverWork!$B145,MutualFunds!$B$6:$B$244,0),0)</f>
        <v>#N/A</v>
      </c>
      <c r="I145" s="14" t="e" cm="1">
        <f t="array" ref="I145">INDEX(Benchmarks!G$6:G$244,MATCH(SolverWork!$B145,MutualFunds!$B$6:$B$244,0),0)</f>
        <v>#N/A</v>
      </c>
      <c r="J145" s="14" t="e" cm="1">
        <f t="array" ref="J145">INDEX(Benchmarks!H$6:H$244,MATCH(SolverWork!$B145,MutualFunds!$B$6:$B$244,0),0)</f>
        <v>#N/A</v>
      </c>
      <c r="K145" s="14" t="e" cm="1">
        <f t="array" ref="K145">INDEX(Benchmarks!I$6:I$244,MATCH(SolverWork!$B145,MutualFunds!$B$6:$B$244,0),0)</f>
        <v>#N/A</v>
      </c>
      <c r="L145" s="14" t="e" cm="1">
        <f t="array" ref="L145">INDEX(Benchmarks!J$6:J$244,MATCH(SolverWork!$B145,MutualFunds!$B$6:$B$244,0),0)</f>
        <v>#N/A</v>
      </c>
      <c r="M145" s="14" t="e" cm="1">
        <f t="array" ref="M145">INDEX(Benchmarks!K$6:K$244,MATCH(SolverWork!$B145,MutualFunds!$B$6:$B$244,0),0)</f>
        <v>#N/A</v>
      </c>
      <c r="N145" s="14" t="e" cm="1">
        <f t="array" ref="N145">INDEX(Benchmarks!L$6:L$244,MATCH(SolverWork!$B145,MutualFunds!$B$6:$B$244,0),0)</f>
        <v>#N/A</v>
      </c>
      <c r="O145" s="14" t="e" cm="1">
        <f t="array" ref="O145">INDEX(Benchmarks!M$6:M$244,MATCH(SolverWork!$B145,MutualFunds!$B$6:$B$244,0),0)</f>
        <v>#N/A</v>
      </c>
      <c r="P145" s="14" t="e" cm="1">
        <f t="array" ref="P145">INDEX(Benchmarks!N$6:N$244,MATCH(SolverWork!$B145,MutualFunds!$B$6:$B$244,0),0)</f>
        <v>#N/A</v>
      </c>
      <c r="Q145" s="14" t="e" cm="1">
        <f t="array" ref="Q145">INDEX(Benchmarks!O$6:O$244,MATCH(SolverWork!$B145,MutualFunds!$B$6:$B$244,0),0)</f>
        <v>#N/A</v>
      </c>
      <c r="R145" s="14" t="e" cm="1">
        <f t="array" ref="R145">INDEX(Benchmarks!P$6:P$244,MATCH(SolverWork!$B145,MutualFunds!$B$6:$B$244,0),0)</f>
        <v>#N/A</v>
      </c>
      <c r="S145" s="14" t="e" cm="1">
        <f t="array" ref="S145">INDEX(Benchmarks!Q$6:Q$244,MATCH(SolverWork!$B145,MutualFunds!$B$6:$B$244,0),0)</f>
        <v>#N/A</v>
      </c>
      <c r="T145" s="14" t="e" cm="1">
        <f t="array" ref="T145">INDEX(Benchmarks!R$6:R$244,MATCH(SolverWork!$B145,MutualFunds!$B$6:$B$244,0),0)</f>
        <v>#N/A</v>
      </c>
    </row>
    <row r="146" spans="1:20" x14ac:dyDescent="0.2">
      <c r="A146">
        <v>136</v>
      </c>
      <c r="B146" s="28" t="str">
        <f>IF(B145="","",IF(EOMONTH(B145,1)&lt;=EOMONTH(Front!$C$4,0),EOMONTH(B145,1),""))</f>
        <v/>
      </c>
      <c r="C146" s="14" t="str">
        <f>IF(B146="","",INDEX(MutualFunds!$C$6:$O$244,MATCH(B146,MutualFunds!$B$6:$B$244,0),MATCH(Front!$C$2,MutualFunds!$C$4:$O$4,0)))</f>
        <v/>
      </c>
      <c r="D146" s="14" t="str">
        <f t="shared" si="2"/>
        <v/>
      </c>
      <c r="E146" s="14" t="e" cm="1">
        <f t="array" ref="E146">INDEX(Benchmarks!C$6:C$244,MATCH(SolverWork!$B146,MutualFunds!$B$6:$B$244,0),0)</f>
        <v>#N/A</v>
      </c>
      <c r="F146" s="14" t="e" cm="1">
        <f t="array" ref="F146">INDEX(Benchmarks!D$6:D$244,MATCH(SolverWork!$B146,MutualFunds!$B$6:$B$244,0),0)</f>
        <v>#N/A</v>
      </c>
      <c r="G146" s="14" t="e" cm="1">
        <f t="array" ref="G146">INDEX(Benchmarks!E$6:E$244,MATCH(SolverWork!$B146,MutualFunds!$B$6:$B$244,0),0)</f>
        <v>#N/A</v>
      </c>
      <c r="H146" s="14" t="e" cm="1">
        <f t="array" ref="H146">INDEX(Benchmarks!F$6:F$244,MATCH(SolverWork!$B146,MutualFunds!$B$6:$B$244,0),0)</f>
        <v>#N/A</v>
      </c>
      <c r="I146" s="14" t="e" cm="1">
        <f t="array" ref="I146">INDEX(Benchmarks!G$6:G$244,MATCH(SolverWork!$B146,MutualFunds!$B$6:$B$244,0),0)</f>
        <v>#N/A</v>
      </c>
      <c r="J146" s="14" t="e" cm="1">
        <f t="array" ref="J146">INDEX(Benchmarks!H$6:H$244,MATCH(SolverWork!$B146,MutualFunds!$B$6:$B$244,0),0)</f>
        <v>#N/A</v>
      </c>
      <c r="K146" s="14" t="e" cm="1">
        <f t="array" ref="K146">INDEX(Benchmarks!I$6:I$244,MATCH(SolverWork!$B146,MutualFunds!$B$6:$B$244,0),0)</f>
        <v>#N/A</v>
      </c>
      <c r="L146" s="14" t="e" cm="1">
        <f t="array" ref="L146">INDEX(Benchmarks!J$6:J$244,MATCH(SolverWork!$B146,MutualFunds!$B$6:$B$244,0),0)</f>
        <v>#N/A</v>
      </c>
      <c r="M146" s="14" t="e" cm="1">
        <f t="array" ref="M146">INDEX(Benchmarks!K$6:K$244,MATCH(SolverWork!$B146,MutualFunds!$B$6:$B$244,0),0)</f>
        <v>#N/A</v>
      </c>
      <c r="N146" s="14" t="e" cm="1">
        <f t="array" ref="N146">INDEX(Benchmarks!L$6:L$244,MATCH(SolverWork!$B146,MutualFunds!$B$6:$B$244,0),0)</f>
        <v>#N/A</v>
      </c>
      <c r="O146" s="14" t="e" cm="1">
        <f t="array" ref="O146">INDEX(Benchmarks!M$6:M$244,MATCH(SolverWork!$B146,MutualFunds!$B$6:$B$244,0),0)</f>
        <v>#N/A</v>
      </c>
      <c r="P146" s="14" t="e" cm="1">
        <f t="array" ref="P146">INDEX(Benchmarks!N$6:N$244,MATCH(SolverWork!$B146,MutualFunds!$B$6:$B$244,0),0)</f>
        <v>#N/A</v>
      </c>
      <c r="Q146" s="14" t="e" cm="1">
        <f t="array" ref="Q146">INDEX(Benchmarks!O$6:O$244,MATCH(SolverWork!$B146,MutualFunds!$B$6:$B$244,0),0)</f>
        <v>#N/A</v>
      </c>
      <c r="R146" s="14" t="e" cm="1">
        <f t="array" ref="R146">INDEX(Benchmarks!P$6:P$244,MATCH(SolverWork!$B146,MutualFunds!$B$6:$B$244,0),0)</f>
        <v>#N/A</v>
      </c>
      <c r="S146" s="14" t="e" cm="1">
        <f t="array" ref="S146">INDEX(Benchmarks!Q$6:Q$244,MATCH(SolverWork!$B146,MutualFunds!$B$6:$B$244,0),0)</f>
        <v>#N/A</v>
      </c>
      <c r="T146" s="14" t="e" cm="1">
        <f t="array" ref="T146">INDEX(Benchmarks!R$6:R$244,MATCH(SolverWork!$B146,MutualFunds!$B$6:$B$244,0),0)</f>
        <v>#N/A</v>
      </c>
    </row>
    <row r="147" spans="1:20" x14ac:dyDescent="0.2">
      <c r="A147">
        <v>137</v>
      </c>
      <c r="B147" s="28" t="str">
        <f>IF(B146="","",IF(EOMONTH(B146,1)&lt;=EOMONTH(Front!$C$4,0),EOMONTH(B146,1),""))</f>
        <v/>
      </c>
      <c r="C147" s="14" t="str">
        <f>IF(B147="","",INDEX(MutualFunds!$C$6:$O$244,MATCH(B147,MutualFunds!$B$6:$B$244,0),MATCH(Front!$C$2,MutualFunds!$C$4:$O$4,0)))</f>
        <v/>
      </c>
      <c r="D147" s="14" t="str">
        <f t="shared" si="2"/>
        <v/>
      </c>
      <c r="E147" s="14" t="e" cm="1">
        <f t="array" ref="E147">INDEX(Benchmarks!C$6:C$244,MATCH(SolverWork!$B147,MutualFunds!$B$6:$B$244,0),0)</f>
        <v>#N/A</v>
      </c>
      <c r="F147" s="14" t="e" cm="1">
        <f t="array" ref="F147">INDEX(Benchmarks!D$6:D$244,MATCH(SolverWork!$B147,MutualFunds!$B$6:$B$244,0),0)</f>
        <v>#N/A</v>
      </c>
      <c r="G147" s="14" t="e" cm="1">
        <f t="array" ref="G147">INDEX(Benchmarks!E$6:E$244,MATCH(SolverWork!$B147,MutualFunds!$B$6:$B$244,0),0)</f>
        <v>#N/A</v>
      </c>
      <c r="H147" s="14" t="e" cm="1">
        <f t="array" ref="H147">INDEX(Benchmarks!F$6:F$244,MATCH(SolverWork!$B147,MutualFunds!$B$6:$B$244,0),0)</f>
        <v>#N/A</v>
      </c>
      <c r="I147" s="14" t="e" cm="1">
        <f t="array" ref="I147">INDEX(Benchmarks!G$6:G$244,MATCH(SolverWork!$B147,MutualFunds!$B$6:$B$244,0),0)</f>
        <v>#N/A</v>
      </c>
      <c r="J147" s="14" t="e" cm="1">
        <f t="array" ref="J147">INDEX(Benchmarks!H$6:H$244,MATCH(SolverWork!$B147,MutualFunds!$B$6:$B$244,0),0)</f>
        <v>#N/A</v>
      </c>
      <c r="K147" s="14" t="e" cm="1">
        <f t="array" ref="K147">INDEX(Benchmarks!I$6:I$244,MATCH(SolverWork!$B147,MutualFunds!$B$6:$B$244,0),0)</f>
        <v>#N/A</v>
      </c>
      <c r="L147" s="14" t="e" cm="1">
        <f t="array" ref="L147">INDEX(Benchmarks!J$6:J$244,MATCH(SolverWork!$B147,MutualFunds!$B$6:$B$244,0),0)</f>
        <v>#N/A</v>
      </c>
      <c r="M147" s="14" t="e" cm="1">
        <f t="array" ref="M147">INDEX(Benchmarks!K$6:K$244,MATCH(SolverWork!$B147,MutualFunds!$B$6:$B$244,0),0)</f>
        <v>#N/A</v>
      </c>
      <c r="N147" s="14" t="e" cm="1">
        <f t="array" ref="N147">INDEX(Benchmarks!L$6:L$244,MATCH(SolverWork!$B147,MutualFunds!$B$6:$B$244,0),0)</f>
        <v>#N/A</v>
      </c>
      <c r="O147" s="14" t="e" cm="1">
        <f t="array" ref="O147">INDEX(Benchmarks!M$6:M$244,MATCH(SolverWork!$B147,MutualFunds!$B$6:$B$244,0),0)</f>
        <v>#N/A</v>
      </c>
      <c r="P147" s="14" t="e" cm="1">
        <f t="array" ref="P147">INDEX(Benchmarks!N$6:N$244,MATCH(SolverWork!$B147,MutualFunds!$B$6:$B$244,0),0)</f>
        <v>#N/A</v>
      </c>
      <c r="Q147" s="14" t="e" cm="1">
        <f t="array" ref="Q147">INDEX(Benchmarks!O$6:O$244,MATCH(SolverWork!$B147,MutualFunds!$B$6:$B$244,0),0)</f>
        <v>#N/A</v>
      </c>
      <c r="R147" s="14" t="e" cm="1">
        <f t="array" ref="R147">INDEX(Benchmarks!P$6:P$244,MATCH(SolverWork!$B147,MutualFunds!$B$6:$B$244,0),0)</f>
        <v>#N/A</v>
      </c>
      <c r="S147" s="14" t="e" cm="1">
        <f t="array" ref="S147">INDEX(Benchmarks!Q$6:Q$244,MATCH(SolverWork!$B147,MutualFunds!$B$6:$B$244,0),0)</f>
        <v>#N/A</v>
      </c>
      <c r="T147" s="14" t="e" cm="1">
        <f t="array" ref="T147">INDEX(Benchmarks!R$6:R$244,MATCH(SolverWork!$B147,MutualFunds!$B$6:$B$244,0),0)</f>
        <v>#N/A</v>
      </c>
    </row>
    <row r="148" spans="1:20" x14ac:dyDescent="0.2">
      <c r="A148">
        <v>138</v>
      </c>
      <c r="B148" s="28" t="str">
        <f>IF(B147="","",IF(EOMONTH(B147,1)&lt;=EOMONTH(Front!$C$4,0),EOMONTH(B147,1),""))</f>
        <v/>
      </c>
      <c r="C148" s="14" t="str">
        <f>IF(B148="","",INDEX(MutualFunds!$C$6:$O$244,MATCH(B148,MutualFunds!$B$6:$B$244,0),MATCH(Front!$C$2,MutualFunds!$C$4:$O$4,0)))</f>
        <v/>
      </c>
      <c r="D148" s="14" t="str">
        <f t="shared" si="2"/>
        <v/>
      </c>
      <c r="E148" s="14" t="e" cm="1">
        <f t="array" ref="E148">INDEX(Benchmarks!C$6:C$244,MATCH(SolverWork!$B148,MutualFunds!$B$6:$B$244,0),0)</f>
        <v>#N/A</v>
      </c>
      <c r="F148" s="14" t="e" cm="1">
        <f t="array" ref="F148">INDEX(Benchmarks!D$6:D$244,MATCH(SolverWork!$B148,MutualFunds!$B$6:$B$244,0),0)</f>
        <v>#N/A</v>
      </c>
      <c r="G148" s="14" t="e" cm="1">
        <f t="array" ref="G148">INDEX(Benchmarks!E$6:E$244,MATCH(SolverWork!$B148,MutualFunds!$B$6:$B$244,0),0)</f>
        <v>#N/A</v>
      </c>
      <c r="H148" s="14" t="e" cm="1">
        <f t="array" ref="H148">INDEX(Benchmarks!F$6:F$244,MATCH(SolverWork!$B148,MutualFunds!$B$6:$B$244,0),0)</f>
        <v>#N/A</v>
      </c>
      <c r="I148" s="14" t="e" cm="1">
        <f t="array" ref="I148">INDEX(Benchmarks!G$6:G$244,MATCH(SolverWork!$B148,MutualFunds!$B$6:$B$244,0),0)</f>
        <v>#N/A</v>
      </c>
      <c r="J148" s="14" t="e" cm="1">
        <f t="array" ref="J148">INDEX(Benchmarks!H$6:H$244,MATCH(SolverWork!$B148,MutualFunds!$B$6:$B$244,0),0)</f>
        <v>#N/A</v>
      </c>
      <c r="K148" s="14" t="e" cm="1">
        <f t="array" ref="K148">INDEX(Benchmarks!I$6:I$244,MATCH(SolverWork!$B148,MutualFunds!$B$6:$B$244,0),0)</f>
        <v>#N/A</v>
      </c>
      <c r="L148" s="14" t="e" cm="1">
        <f t="array" ref="L148">INDEX(Benchmarks!J$6:J$244,MATCH(SolverWork!$B148,MutualFunds!$B$6:$B$244,0),0)</f>
        <v>#N/A</v>
      </c>
      <c r="M148" s="14" t="e" cm="1">
        <f t="array" ref="M148">INDEX(Benchmarks!K$6:K$244,MATCH(SolverWork!$B148,MutualFunds!$B$6:$B$244,0),0)</f>
        <v>#N/A</v>
      </c>
      <c r="N148" s="14" t="e" cm="1">
        <f t="array" ref="N148">INDEX(Benchmarks!L$6:L$244,MATCH(SolverWork!$B148,MutualFunds!$B$6:$B$244,0),0)</f>
        <v>#N/A</v>
      </c>
      <c r="O148" s="14" t="e" cm="1">
        <f t="array" ref="O148">INDEX(Benchmarks!M$6:M$244,MATCH(SolverWork!$B148,MutualFunds!$B$6:$B$244,0),0)</f>
        <v>#N/A</v>
      </c>
      <c r="P148" s="14" t="e" cm="1">
        <f t="array" ref="P148">INDEX(Benchmarks!N$6:N$244,MATCH(SolverWork!$B148,MutualFunds!$B$6:$B$244,0),0)</f>
        <v>#N/A</v>
      </c>
      <c r="Q148" s="14" t="e" cm="1">
        <f t="array" ref="Q148">INDEX(Benchmarks!O$6:O$244,MATCH(SolverWork!$B148,MutualFunds!$B$6:$B$244,0),0)</f>
        <v>#N/A</v>
      </c>
      <c r="R148" s="14" t="e" cm="1">
        <f t="array" ref="R148">INDEX(Benchmarks!P$6:P$244,MATCH(SolverWork!$B148,MutualFunds!$B$6:$B$244,0),0)</f>
        <v>#N/A</v>
      </c>
      <c r="S148" s="14" t="e" cm="1">
        <f t="array" ref="S148">INDEX(Benchmarks!Q$6:Q$244,MATCH(SolverWork!$B148,MutualFunds!$B$6:$B$244,0),0)</f>
        <v>#N/A</v>
      </c>
      <c r="T148" s="14" t="e" cm="1">
        <f t="array" ref="T148">INDEX(Benchmarks!R$6:R$244,MATCH(SolverWork!$B148,MutualFunds!$B$6:$B$244,0),0)</f>
        <v>#N/A</v>
      </c>
    </row>
    <row r="149" spans="1:20" x14ac:dyDescent="0.2">
      <c r="A149">
        <v>139</v>
      </c>
      <c r="B149" s="28" t="str">
        <f>IF(B148="","",IF(EOMONTH(B148,1)&lt;=EOMONTH(Front!$C$4,0),EOMONTH(B148,1),""))</f>
        <v/>
      </c>
      <c r="C149" s="14" t="str">
        <f>IF(B149="","",INDEX(MutualFunds!$C$6:$O$244,MATCH(B149,MutualFunds!$B$6:$B$244,0),MATCH(Front!$C$2,MutualFunds!$C$4:$O$4,0)))</f>
        <v/>
      </c>
      <c r="D149" s="14" t="str">
        <f t="shared" si="2"/>
        <v/>
      </c>
      <c r="E149" s="14" t="e" cm="1">
        <f t="array" ref="E149">INDEX(Benchmarks!C$6:C$244,MATCH(SolverWork!$B149,MutualFunds!$B$6:$B$244,0),0)</f>
        <v>#N/A</v>
      </c>
      <c r="F149" s="14" t="e" cm="1">
        <f t="array" ref="F149">INDEX(Benchmarks!D$6:D$244,MATCH(SolverWork!$B149,MutualFunds!$B$6:$B$244,0),0)</f>
        <v>#N/A</v>
      </c>
      <c r="G149" s="14" t="e" cm="1">
        <f t="array" ref="G149">INDEX(Benchmarks!E$6:E$244,MATCH(SolverWork!$B149,MutualFunds!$B$6:$B$244,0),0)</f>
        <v>#N/A</v>
      </c>
      <c r="H149" s="14" t="e" cm="1">
        <f t="array" ref="H149">INDEX(Benchmarks!F$6:F$244,MATCH(SolverWork!$B149,MutualFunds!$B$6:$B$244,0),0)</f>
        <v>#N/A</v>
      </c>
      <c r="I149" s="14" t="e" cm="1">
        <f t="array" ref="I149">INDEX(Benchmarks!G$6:G$244,MATCH(SolverWork!$B149,MutualFunds!$B$6:$B$244,0),0)</f>
        <v>#N/A</v>
      </c>
      <c r="J149" s="14" t="e" cm="1">
        <f t="array" ref="J149">INDEX(Benchmarks!H$6:H$244,MATCH(SolverWork!$B149,MutualFunds!$B$6:$B$244,0),0)</f>
        <v>#N/A</v>
      </c>
      <c r="K149" s="14" t="e" cm="1">
        <f t="array" ref="K149">INDEX(Benchmarks!I$6:I$244,MATCH(SolverWork!$B149,MutualFunds!$B$6:$B$244,0),0)</f>
        <v>#N/A</v>
      </c>
      <c r="L149" s="14" t="e" cm="1">
        <f t="array" ref="L149">INDEX(Benchmarks!J$6:J$244,MATCH(SolverWork!$B149,MutualFunds!$B$6:$B$244,0),0)</f>
        <v>#N/A</v>
      </c>
      <c r="M149" s="14" t="e" cm="1">
        <f t="array" ref="M149">INDEX(Benchmarks!K$6:K$244,MATCH(SolverWork!$B149,MutualFunds!$B$6:$B$244,0),0)</f>
        <v>#N/A</v>
      </c>
      <c r="N149" s="14" t="e" cm="1">
        <f t="array" ref="N149">INDEX(Benchmarks!L$6:L$244,MATCH(SolverWork!$B149,MutualFunds!$B$6:$B$244,0),0)</f>
        <v>#N/A</v>
      </c>
      <c r="O149" s="14" t="e" cm="1">
        <f t="array" ref="O149">INDEX(Benchmarks!M$6:M$244,MATCH(SolverWork!$B149,MutualFunds!$B$6:$B$244,0),0)</f>
        <v>#N/A</v>
      </c>
      <c r="P149" s="14" t="e" cm="1">
        <f t="array" ref="P149">INDEX(Benchmarks!N$6:N$244,MATCH(SolverWork!$B149,MutualFunds!$B$6:$B$244,0),0)</f>
        <v>#N/A</v>
      </c>
      <c r="Q149" s="14" t="e" cm="1">
        <f t="array" ref="Q149">INDEX(Benchmarks!O$6:O$244,MATCH(SolverWork!$B149,MutualFunds!$B$6:$B$244,0),0)</f>
        <v>#N/A</v>
      </c>
      <c r="R149" s="14" t="e" cm="1">
        <f t="array" ref="R149">INDEX(Benchmarks!P$6:P$244,MATCH(SolverWork!$B149,MutualFunds!$B$6:$B$244,0),0)</f>
        <v>#N/A</v>
      </c>
      <c r="S149" s="14" t="e" cm="1">
        <f t="array" ref="S149">INDEX(Benchmarks!Q$6:Q$244,MATCH(SolverWork!$B149,MutualFunds!$B$6:$B$244,0),0)</f>
        <v>#N/A</v>
      </c>
      <c r="T149" s="14" t="e" cm="1">
        <f t="array" ref="T149">INDEX(Benchmarks!R$6:R$244,MATCH(SolverWork!$B149,MutualFunds!$B$6:$B$244,0),0)</f>
        <v>#N/A</v>
      </c>
    </row>
    <row r="150" spans="1:20" x14ac:dyDescent="0.2">
      <c r="A150">
        <v>140</v>
      </c>
      <c r="B150" s="28" t="str">
        <f>IF(B149="","",IF(EOMONTH(B149,1)&lt;=EOMONTH(Front!$C$4,0),EOMONTH(B149,1),""))</f>
        <v/>
      </c>
      <c r="C150" s="14" t="str">
        <f>IF(B150="","",INDEX(MutualFunds!$C$6:$O$244,MATCH(B150,MutualFunds!$B$6:$B$244,0),MATCH(Front!$C$2,MutualFunds!$C$4:$O$4,0)))</f>
        <v/>
      </c>
      <c r="D150" s="14" t="str">
        <f t="shared" si="2"/>
        <v/>
      </c>
      <c r="E150" s="14" t="e" cm="1">
        <f t="array" ref="E150">INDEX(Benchmarks!C$6:C$244,MATCH(SolverWork!$B150,MutualFunds!$B$6:$B$244,0),0)</f>
        <v>#N/A</v>
      </c>
      <c r="F150" s="14" t="e" cm="1">
        <f t="array" ref="F150">INDEX(Benchmarks!D$6:D$244,MATCH(SolverWork!$B150,MutualFunds!$B$6:$B$244,0),0)</f>
        <v>#N/A</v>
      </c>
      <c r="G150" s="14" t="e" cm="1">
        <f t="array" ref="G150">INDEX(Benchmarks!E$6:E$244,MATCH(SolverWork!$B150,MutualFunds!$B$6:$B$244,0),0)</f>
        <v>#N/A</v>
      </c>
      <c r="H150" s="14" t="e" cm="1">
        <f t="array" ref="H150">INDEX(Benchmarks!F$6:F$244,MATCH(SolverWork!$B150,MutualFunds!$B$6:$B$244,0),0)</f>
        <v>#N/A</v>
      </c>
      <c r="I150" s="14" t="e" cm="1">
        <f t="array" ref="I150">INDEX(Benchmarks!G$6:G$244,MATCH(SolverWork!$B150,MutualFunds!$B$6:$B$244,0),0)</f>
        <v>#N/A</v>
      </c>
      <c r="J150" s="14" t="e" cm="1">
        <f t="array" ref="J150">INDEX(Benchmarks!H$6:H$244,MATCH(SolverWork!$B150,MutualFunds!$B$6:$B$244,0),0)</f>
        <v>#N/A</v>
      </c>
      <c r="K150" s="14" t="e" cm="1">
        <f t="array" ref="K150">INDEX(Benchmarks!I$6:I$244,MATCH(SolverWork!$B150,MutualFunds!$B$6:$B$244,0),0)</f>
        <v>#N/A</v>
      </c>
      <c r="L150" s="14" t="e" cm="1">
        <f t="array" ref="L150">INDEX(Benchmarks!J$6:J$244,MATCH(SolverWork!$B150,MutualFunds!$B$6:$B$244,0),0)</f>
        <v>#N/A</v>
      </c>
      <c r="M150" s="14" t="e" cm="1">
        <f t="array" ref="M150">INDEX(Benchmarks!K$6:K$244,MATCH(SolverWork!$B150,MutualFunds!$B$6:$B$244,0),0)</f>
        <v>#N/A</v>
      </c>
      <c r="N150" s="14" t="e" cm="1">
        <f t="array" ref="N150">INDEX(Benchmarks!L$6:L$244,MATCH(SolverWork!$B150,MutualFunds!$B$6:$B$244,0),0)</f>
        <v>#N/A</v>
      </c>
      <c r="O150" s="14" t="e" cm="1">
        <f t="array" ref="O150">INDEX(Benchmarks!M$6:M$244,MATCH(SolverWork!$B150,MutualFunds!$B$6:$B$244,0),0)</f>
        <v>#N/A</v>
      </c>
      <c r="P150" s="14" t="e" cm="1">
        <f t="array" ref="P150">INDEX(Benchmarks!N$6:N$244,MATCH(SolverWork!$B150,MutualFunds!$B$6:$B$244,0),0)</f>
        <v>#N/A</v>
      </c>
      <c r="Q150" s="14" t="e" cm="1">
        <f t="array" ref="Q150">INDEX(Benchmarks!O$6:O$244,MATCH(SolverWork!$B150,MutualFunds!$B$6:$B$244,0),0)</f>
        <v>#N/A</v>
      </c>
      <c r="R150" s="14" t="e" cm="1">
        <f t="array" ref="R150">INDEX(Benchmarks!P$6:P$244,MATCH(SolverWork!$B150,MutualFunds!$B$6:$B$244,0),0)</f>
        <v>#N/A</v>
      </c>
      <c r="S150" s="14" t="e" cm="1">
        <f t="array" ref="S150">INDEX(Benchmarks!Q$6:Q$244,MATCH(SolverWork!$B150,MutualFunds!$B$6:$B$244,0),0)</f>
        <v>#N/A</v>
      </c>
      <c r="T150" s="14" t="e" cm="1">
        <f t="array" ref="T150">INDEX(Benchmarks!R$6:R$244,MATCH(SolverWork!$B150,MutualFunds!$B$6:$B$244,0),0)</f>
        <v>#N/A</v>
      </c>
    </row>
    <row r="151" spans="1:20" x14ac:dyDescent="0.2">
      <c r="A151">
        <v>141</v>
      </c>
      <c r="B151" s="28" t="str">
        <f>IF(B150="","",IF(EOMONTH(B150,1)&lt;=EOMONTH(Front!$C$4,0),EOMONTH(B150,1),""))</f>
        <v/>
      </c>
      <c r="C151" s="14" t="str">
        <f>IF(B151="","",INDEX(MutualFunds!$C$6:$O$244,MATCH(B151,MutualFunds!$B$6:$B$244,0),MATCH(Front!$C$2,MutualFunds!$C$4:$O$4,0)))</f>
        <v/>
      </c>
      <c r="D151" s="14" t="str">
        <f t="shared" si="2"/>
        <v/>
      </c>
      <c r="E151" s="14" t="e" cm="1">
        <f t="array" ref="E151">INDEX(Benchmarks!C$6:C$244,MATCH(SolverWork!$B151,MutualFunds!$B$6:$B$244,0),0)</f>
        <v>#N/A</v>
      </c>
      <c r="F151" s="14" t="e" cm="1">
        <f t="array" ref="F151">INDEX(Benchmarks!D$6:D$244,MATCH(SolverWork!$B151,MutualFunds!$B$6:$B$244,0),0)</f>
        <v>#N/A</v>
      </c>
      <c r="G151" s="14" t="e" cm="1">
        <f t="array" ref="G151">INDEX(Benchmarks!E$6:E$244,MATCH(SolverWork!$B151,MutualFunds!$B$6:$B$244,0),0)</f>
        <v>#N/A</v>
      </c>
      <c r="H151" s="14" t="e" cm="1">
        <f t="array" ref="H151">INDEX(Benchmarks!F$6:F$244,MATCH(SolverWork!$B151,MutualFunds!$B$6:$B$244,0),0)</f>
        <v>#N/A</v>
      </c>
      <c r="I151" s="14" t="e" cm="1">
        <f t="array" ref="I151">INDEX(Benchmarks!G$6:G$244,MATCH(SolverWork!$B151,MutualFunds!$B$6:$B$244,0),0)</f>
        <v>#N/A</v>
      </c>
      <c r="J151" s="14" t="e" cm="1">
        <f t="array" ref="J151">INDEX(Benchmarks!H$6:H$244,MATCH(SolverWork!$B151,MutualFunds!$B$6:$B$244,0),0)</f>
        <v>#N/A</v>
      </c>
      <c r="K151" s="14" t="e" cm="1">
        <f t="array" ref="K151">INDEX(Benchmarks!I$6:I$244,MATCH(SolverWork!$B151,MutualFunds!$B$6:$B$244,0),0)</f>
        <v>#N/A</v>
      </c>
      <c r="L151" s="14" t="e" cm="1">
        <f t="array" ref="L151">INDEX(Benchmarks!J$6:J$244,MATCH(SolverWork!$B151,MutualFunds!$B$6:$B$244,0),0)</f>
        <v>#N/A</v>
      </c>
      <c r="M151" s="14" t="e" cm="1">
        <f t="array" ref="M151">INDEX(Benchmarks!K$6:K$244,MATCH(SolverWork!$B151,MutualFunds!$B$6:$B$244,0),0)</f>
        <v>#N/A</v>
      </c>
      <c r="N151" s="14" t="e" cm="1">
        <f t="array" ref="N151">INDEX(Benchmarks!L$6:L$244,MATCH(SolverWork!$B151,MutualFunds!$B$6:$B$244,0),0)</f>
        <v>#N/A</v>
      </c>
      <c r="O151" s="14" t="e" cm="1">
        <f t="array" ref="O151">INDEX(Benchmarks!M$6:M$244,MATCH(SolverWork!$B151,MutualFunds!$B$6:$B$244,0),0)</f>
        <v>#N/A</v>
      </c>
      <c r="P151" s="14" t="e" cm="1">
        <f t="array" ref="P151">INDEX(Benchmarks!N$6:N$244,MATCH(SolverWork!$B151,MutualFunds!$B$6:$B$244,0),0)</f>
        <v>#N/A</v>
      </c>
      <c r="Q151" s="14" t="e" cm="1">
        <f t="array" ref="Q151">INDEX(Benchmarks!O$6:O$244,MATCH(SolverWork!$B151,MutualFunds!$B$6:$B$244,0),0)</f>
        <v>#N/A</v>
      </c>
      <c r="R151" s="14" t="e" cm="1">
        <f t="array" ref="R151">INDEX(Benchmarks!P$6:P$244,MATCH(SolverWork!$B151,MutualFunds!$B$6:$B$244,0),0)</f>
        <v>#N/A</v>
      </c>
      <c r="S151" s="14" t="e" cm="1">
        <f t="array" ref="S151">INDEX(Benchmarks!Q$6:Q$244,MATCH(SolverWork!$B151,MutualFunds!$B$6:$B$244,0),0)</f>
        <v>#N/A</v>
      </c>
      <c r="T151" s="14" t="e" cm="1">
        <f t="array" ref="T151">INDEX(Benchmarks!R$6:R$244,MATCH(SolverWork!$B151,MutualFunds!$B$6:$B$244,0),0)</f>
        <v>#N/A</v>
      </c>
    </row>
    <row r="152" spans="1:20" x14ac:dyDescent="0.2">
      <c r="A152">
        <v>142</v>
      </c>
      <c r="B152" s="28" t="str">
        <f>IF(B151="","",IF(EOMONTH(B151,1)&lt;=EOMONTH(Front!$C$4,0),EOMONTH(B151,1),""))</f>
        <v/>
      </c>
      <c r="C152" s="14" t="str">
        <f>IF(B152="","",INDEX(MutualFunds!$C$6:$O$244,MATCH(B152,MutualFunds!$B$6:$B$244,0),MATCH(Front!$C$2,MutualFunds!$C$4:$O$4,0)))</f>
        <v/>
      </c>
      <c r="D152" s="14" t="str">
        <f t="shared" si="2"/>
        <v/>
      </c>
      <c r="E152" s="14" t="e" cm="1">
        <f t="array" ref="E152">INDEX(Benchmarks!C$6:C$244,MATCH(SolverWork!$B152,MutualFunds!$B$6:$B$244,0),0)</f>
        <v>#N/A</v>
      </c>
      <c r="F152" s="14" t="e" cm="1">
        <f t="array" ref="F152">INDEX(Benchmarks!D$6:D$244,MATCH(SolverWork!$B152,MutualFunds!$B$6:$B$244,0),0)</f>
        <v>#N/A</v>
      </c>
      <c r="G152" s="14" t="e" cm="1">
        <f t="array" ref="G152">INDEX(Benchmarks!E$6:E$244,MATCH(SolverWork!$B152,MutualFunds!$B$6:$B$244,0),0)</f>
        <v>#N/A</v>
      </c>
      <c r="H152" s="14" t="e" cm="1">
        <f t="array" ref="H152">INDEX(Benchmarks!F$6:F$244,MATCH(SolverWork!$B152,MutualFunds!$B$6:$B$244,0),0)</f>
        <v>#N/A</v>
      </c>
      <c r="I152" s="14" t="e" cm="1">
        <f t="array" ref="I152">INDEX(Benchmarks!G$6:G$244,MATCH(SolverWork!$B152,MutualFunds!$B$6:$B$244,0),0)</f>
        <v>#N/A</v>
      </c>
      <c r="J152" s="14" t="e" cm="1">
        <f t="array" ref="J152">INDEX(Benchmarks!H$6:H$244,MATCH(SolverWork!$B152,MutualFunds!$B$6:$B$244,0),0)</f>
        <v>#N/A</v>
      </c>
      <c r="K152" s="14" t="e" cm="1">
        <f t="array" ref="K152">INDEX(Benchmarks!I$6:I$244,MATCH(SolverWork!$B152,MutualFunds!$B$6:$B$244,0),0)</f>
        <v>#N/A</v>
      </c>
      <c r="L152" s="14" t="e" cm="1">
        <f t="array" ref="L152">INDEX(Benchmarks!J$6:J$244,MATCH(SolverWork!$B152,MutualFunds!$B$6:$B$244,0),0)</f>
        <v>#N/A</v>
      </c>
      <c r="M152" s="14" t="e" cm="1">
        <f t="array" ref="M152">INDEX(Benchmarks!K$6:K$244,MATCH(SolverWork!$B152,MutualFunds!$B$6:$B$244,0),0)</f>
        <v>#N/A</v>
      </c>
      <c r="N152" s="14" t="e" cm="1">
        <f t="array" ref="N152">INDEX(Benchmarks!L$6:L$244,MATCH(SolverWork!$B152,MutualFunds!$B$6:$B$244,0),0)</f>
        <v>#N/A</v>
      </c>
      <c r="O152" s="14" t="e" cm="1">
        <f t="array" ref="O152">INDEX(Benchmarks!M$6:M$244,MATCH(SolverWork!$B152,MutualFunds!$B$6:$B$244,0),0)</f>
        <v>#N/A</v>
      </c>
      <c r="P152" s="14" t="e" cm="1">
        <f t="array" ref="P152">INDEX(Benchmarks!N$6:N$244,MATCH(SolverWork!$B152,MutualFunds!$B$6:$B$244,0),0)</f>
        <v>#N/A</v>
      </c>
      <c r="Q152" s="14" t="e" cm="1">
        <f t="array" ref="Q152">INDEX(Benchmarks!O$6:O$244,MATCH(SolverWork!$B152,MutualFunds!$B$6:$B$244,0),0)</f>
        <v>#N/A</v>
      </c>
      <c r="R152" s="14" t="e" cm="1">
        <f t="array" ref="R152">INDEX(Benchmarks!P$6:P$244,MATCH(SolverWork!$B152,MutualFunds!$B$6:$B$244,0),0)</f>
        <v>#N/A</v>
      </c>
      <c r="S152" s="14" t="e" cm="1">
        <f t="array" ref="S152">INDEX(Benchmarks!Q$6:Q$244,MATCH(SolverWork!$B152,MutualFunds!$B$6:$B$244,0),0)</f>
        <v>#N/A</v>
      </c>
      <c r="T152" s="14" t="e" cm="1">
        <f t="array" ref="T152">INDEX(Benchmarks!R$6:R$244,MATCH(SolverWork!$B152,MutualFunds!$B$6:$B$244,0),0)</f>
        <v>#N/A</v>
      </c>
    </row>
    <row r="153" spans="1:20" x14ac:dyDescent="0.2">
      <c r="A153">
        <v>143</v>
      </c>
      <c r="B153" s="28" t="str">
        <f>IF(B152="","",IF(EOMONTH(B152,1)&lt;=EOMONTH(Front!$C$4,0),EOMONTH(B152,1),""))</f>
        <v/>
      </c>
      <c r="C153" s="14" t="str">
        <f>IF(B153="","",INDEX(MutualFunds!$C$6:$O$244,MATCH(B153,MutualFunds!$B$6:$B$244,0),MATCH(Front!$C$2,MutualFunds!$C$4:$O$4,0)))</f>
        <v/>
      </c>
      <c r="D153" s="14" t="str">
        <f t="shared" si="2"/>
        <v/>
      </c>
      <c r="E153" s="14" t="e" cm="1">
        <f t="array" ref="E153">INDEX(Benchmarks!C$6:C$244,MATCH(SolverWork!$B153,MutualFunds!$B$6:$B$244,0),0)</f>
        <v>#N/A</v>
      </c>
      <c r="F153" s="14" t="e" cm="1">
        <f t="array" ref="F153">INDEX(Benchmarks!D$6:D$244,MATCH(SolverWork!$B153,MutualFunds!$B$6:$B$244,0),0)</f>
        <v>#N/A</v>
      </c>
      <c r="G153" s="14" t="e" cm="1">
        <f t="array" ref="G153">INDEX(Benchmarks!E$6:E$244,MATCH(SolverWork!$B153,MutualFunds!$B$6:$B$244,0),0)</f>
        <v>#N/A</v>
      </c>
      <c r="H153" s="14" t="e" cm="1">
        <f t="array" ref="H153">INDEX(Benchmarks!F$6:F$244,MATCH(SolverWork!$B153,MutualFunds!$B$6:$B$244,0),0)</f>
        <v>#N/A</v>
      </c>
      <c r="I153" s="14" t="e" cm="1">
        <f t="array" ref="I153">INDEX(Benchmarks!G$6:G$244,MATCH(SolverWork!$B153,MutualFunds!$B$6:$B$244,0),0)</f>
        <v>#N/A</v>
      </c>
      <c r="J153" s="14" t="e" cm="1">
        <f t="array" ref="J153">INDEX(Benchmarks!H$6:H$244,MATCH(SolverWork!$B153,MutualFunds!$B$6:$B$244,0),0)</f>
        <v>#N/A</v>
      </c>
      <c r="K153" s="14" t="e" cm="1">
        <f t="array" ref="K153">INDEX(Benchmarks!I$6:I$244,MATCH(SolverWork!$B153,MutualFunds!$B$6:$B$244,0),0)</f>
        <v>#N/A</v>
      </c>
      <c r="L153" s="14" t="e" cm="1">
        <f t="array" ref="L153">INDEX(Benchmarks!J$6:J$244,MATCH(SolverWork!$B153,MutualFunds!$B$6:$B$244,0),0)</f>
        <v>#N/A</v>
      </c>
      <c r="M153" s="14" t="e" cm="1">
        <f t="array" ref="M153">INDEX(Benchmarks!K$6:K$244,MATCH(SolverWork!$B153,MutualFunds!$B$6:$B$244,0),0)</f>
        <v>#N/A</v>
      </c>
      <c r="N153" s="14" t="e" cm="1">
        <f t="array" ref="N153">INDEX(Benchmarks!L$6:L$244,MATCH(SolverWork!$B153,MutualFunds!$B$6:$B$244,0),0)</f>
        <v>#N/A</v>
      </c>
      <c r="O153" s="14" t="e" cm="1">
        <f t="array" ref="O153">INDEX(Benchmarks!M$6:M$244,MATCH(SolverWork!$B153,MutualFunds!$B$6:$B$244,0),0)</f>
        <v>#N/A</v>
      </c>
      <c r="P153" s="14" t="e" cm="1">
        <f t="array" ref="P153">INDEX(Benchmarks!N$6:N$244,MATCH(SolverWork!$B153,MutualFunds!$B$6:$B$244,0),0)</f>
        <v>#N/A</v>
      </c>
      <c r="Q153" s="14" t="e" cm="1">
        <f t="array" ref="Q153">INDEX(Benchmarks!O$6:O$244,MATCH(SolverWork!$B153,MutualFunds!$B$6:$B$244,0),0)</f>
        <v>#N/A</v>
      </c>
      <c r="R153" s="14" t="e" cm="1">
        <f t="array" ref="R153">INDEX(Benchmarks!P$6:P$244,MATCH(SolverWork!$B153,MutualFunds!$B$6:$B$244,0),0)</f>
        <v>#N/A</v>
      </c>
      <c r="S153" s="14" t="e" cm="1">
        <f t="array" ref="S153">INDEX(Benchmarks!Q$6:Q$244,MATCH(SolverWork!$B153,MutualFunds!$B$6:$B$244,0),0)</f>
        <v>#N/A</v>
      </c>
      <c r="T153" s="14" t="e" cm="1">
        <f t="array" ref="T153">INDEX(Benchmarks!R$6:R$244,MATCH(SolverWork!$B153,MutualFunds!$B$6:$B$244,0),0)</f>
        <v>#N/A</v>
      </c>
    </row>
    <row r="154" spans="1:20" x14ac:dyDescent="0.2">
      <c r="A154">
        <v>144</v>
      </c>
      <c r="B154" s="28" t="str">
        <f>IF(B153="","",IF(EOMONTH(B153,1)&lt;=EOMONTH(Front!$C$4,0),EOMONTH(B153,1),""))</f>
        <v/>
      </c>
      <c r="C154" s="14" t="str">
        <f>IF(B154="","",INDEX(MutualFunds!$C$6:$O$244,MATCH(B154,MutualFunds!$B$6:$B$244,0),MATCH(Front!$C$2,MutualFunds!$C$4:$O$4,0)))</f>
        <v/>
      </c>
      <c r="D154" s="14" t="str">
        <f t="shared" si="2"/>
        <v/>
      </c>
      <c r="E154" s="14" t="e" cm="1">
        <f t="array" ref="E154">INDEX(Benchmarks!C$6:C$244,MATCH(SolverWork!$B154,MutualFunds!$B$6:$B$244,0),0)</f>
        <v>#N/A</v>
      </c>
      <c r="F154" s="14" t="e" cm="1">
        <f t="array" ref="F154">INDEX(Benchmarks!D$6:D$244,MATCH(SolverWork!$B154,MutualFunds!$B$6:$B$244,0),0)</f>
        <v>#N/A</v>
      </c>
      <c r="G154" s="14" t="e" cm="1">
        <f t="array" ref="G154">INDEX(Benchmarks!E$6:E$244,MATCH(SolverWork!$B154,MutualFunds!$B$6:$B$244,0),0)</f>
        <v>#N/A</v>
      </c>
      <c r="H154" s="14" t="e" cm="1">
        <f t="array" ref="H154">INDEX(Benchmarks!F$6:F$244,MATCH(SolverWork!$B154,MutualFunds!$B$6:$B$244,0),0)</f>
        <v>#N/A</v>
      </c>
      <c r="I154" s="14" t="e" cm="1">
        <f t="array" ref="I154">INDEX(Benchmarks!G$6:G$244,MATCH(SolverWork!$B154,MutualFunds!$B$6:$B$244,0),0)</f>
        <v>#N/A</v>
      </c>
      <c r="J154" s="14" t="e" cm="1">
        <f t="array" ref="J154">INDEX(Benchmarks!H$6:H$244,MATCH(SolverWork!$B154,MutualFunds!$B$6:$B$244,0),0)</f>
        <v>#N/A</v>
      </c>
      <c r="K154" s="14" t="e" cm="1">
        <f t="array" ref="K154">INDEX(Benchmarks!I$6:I$244,MATCH(SolverWork!$B154,MutualFunds!$B$6:$B$244,0),0)</f>
        <v>#N/A</v>
      </c>
      <c r="L154" s="14" t="e" cm="1">
        <f t="array" ref="L154">INDEX(Benchmarks!J$6:J$244,MATCH(SolverWork!$B154,MutualFunds!$B$6:$B$244,0),0)</f>
        <v>#N/A</v>
      </c>
      <c r="M154" s="14" t="e" cm="1">
        <f t="array" ref="M154">INDEX(Benchmarks!K$6:K$244,MATCH(SolverWork!$B154,MutualFunds!$B$6:$B$244,0),0)</f>
        <v>#N/A</v>
      </c>
      <c r="N154" s="14" t="e" cm="1">
        <f t="array" ref="N154">INDEX(Benchmarks!L$6:L$244,MATCH(SolverWork!$B154,MutualFunds!$B$6:$B$244,0),0)</f>
        <v>#N/A</v>
      </c>
      <c r="O154" s="14" t="e" cm="1">
        <f t="array" ref="O154">INDEX(Benchmarks!M$6:M$244,MATCH(SolverWork!$B154,MutualFunds!$B$6:$B$244,0),0)</f>
        <v>#N/A</v>
      </c>
      <c r="P154" s="14" t="e" cm="1">
        <f t="array" ref="P154">INDEX(Benchmarks!N$6:N$244,MATCH(SolverWork!$B154,MutualFunds!$B$6:$B$244,0),0)</f>
        <v>#N/A</v>
      </c>
      <c r="Q154" s="14" t="e" cm="1">
        <f t="array" ref="Q154">INDEX(Benchmarks!O$6:O$244,MATCH(SolverWork!$B154,MutualFunds!$B$6:$B$244,0),0)</f>
        <v>#N/A</v>
      </c>
      <c r="R154" s="14" t="e" cm="1">
        <f t="array" ref="R154">INDEX(Benchmarks!P$6:P$244,MATCH(SolverWork!$B154,MutualFunds!$B$6:$B$244,0),0)</f>
        <v>#N/A</v>
      </c>
      <c r="S154" s="14" t="e" cm="1">
        <f t="array" ref="S154">INDEX(Benchmarks!Q$6:Q$244,MATCH(SolverWork!$B154,MutualFunds!$B$6:$B$244,0),0)</f>
        <v>#N/A</v>
      </c>
      <c r="T154" s="14" t="e" cm="1">
        <f t="array" ref="T154">INDEX(Benchmarks!R$6:R$244,MATCH(SolverWork!$B154,MutualFunds!$B$6:$B$244,0),0)</f>
        <v>#N/A</v>
      </c>
    </row>
    <row r="155" spans="1:20" x14ac:dyDescent="0.2">
      <c r="A155">
        <v>145</v>
      </c>
      <c r="B155" s="28" t="str">
        <f>IF(B154="","",IF(EOMONTH(B154,1)&lt;=EOMONTH(Front!$C$4,0),EOMONTH(B154,1),""))</f>
        <v/>
      </c>
      <c r="C155" s="14" t="str">
        <f>IF(B155="","",INDEX(MutualFunds!$C$6:$O$244,MATCH(B155,MutualFunds!$B$6:$B$244,0),MATCH(Front!$C$2,MutualFunds!$C$4:$O$4,0)))</f>
        <v/>
      </c>
      <c r="D155" s="14" t="str">
        <f t="shared" si="2"/>
        <v/>
      </c>
      <c r="E155" s="14" t="e" cm="1">
        <f t="array" ref="E155">INDEX(Benchmarks!C$6:C$244,MATCH(SolverWork!$B155,MutualFunds!$B$6:$B$244,0),0)</f>
        <v>#N/A</v>
      </c>
      <c r="F155" s="14" t="e" cm="1">
        <f t="array" ref="F155">INDEX(Benchmarks!D$6:D$244,MATCH(SolverWork!$B155,MutualFunds!$B$6:$B$244,0),0)</f>
        <v>#N/A</v>
      </c>
      <c r="G155" s="14" t="e" cm="1">
        <f t="array" ref="G155">INDEX(Benchmarks!E$6:E$244,MATCH(SolverWork!$B155,MutualFunds!$B$6:$B$244,0),0)</f>
        <v>#N/A</v>
      </c>
      <c r="H155" s="14" t="e" cm="1">
        <f t="array" ref="H155">INDEX(Benchmarks!F$6:F$244,MATCH(SolverWork!$B155,MutualFunds!$B$6:$B$244,0),0)</f>
        <v>#N/A</v>
      </c>
      <c r="I155" s="14" t="e" cm="1">
        <f t="array" ref="I155">INDEX(Benchmarks!G$6:G$244,MATCH(SolverWork!$B155,MutualFunds!$B$6:$B$244,0),0)</f>
        <v>#N/A</v>
      </c>
      <c r="J155" s="14" t="e" cm="1">
        <f t="array" ref="J155">INDEX(Benchmarks!H$6:H$244,MATCH(SolverWork!$B155,MutualFunds!$B$6:$B$244,0),0)</f>
        <v>#N/A</v>
      </c>
      <c r="K155" s="14" t="e" cm="1">
        <f t="array" ref="K155">INDEX(Benchmarks!I$6:I$244,MATCH(SolverWork!$B155,MutualFunds!$B$6:$B$244,0),0)</f>
        <v>#N/A</v>
      </c>
      <c r="L155" s="14" t="e" cm="1">
        <f t="array" ref="L155">INDEX(Benchmarks!J$6:J$244,MATCH(SolverWork!$B155,MutualFunds!$B$6:$B$244,0),0)</f>
        <v>#N/A</v>
      </c>
      <c r="M155" s="14" t="e" cm="1">
        <f t="array" ref="M155">INDEX(Benchmarks!K$6:K$244,MATCH(SolverWork!$B155,MutualFunds!$B$6:$B$244,0),0)</f>
        <v>#N/A</v>
      </c>
      <c r="N155" s="14" t="e" cm="1">
        <f t="array" ref="N155">INDEX(Benchmarks!L$6:L$244,MATCH(SolverWork!$B155,MutualFunds!$B$6:$B$244,0),0)</f>
        <v>#N/A</v>
      </c>
      <c r="O155" s="14" t="e" cm="1">
        <f t="array" ref="O155">INDEX(Benchmarks!M$6:M$244,MATCH(SolverWork!$B155,MutualFunds!$B$6:$B$244,0),0)</f>
        <v>#N/A</v>
      </c>
      <c r="P155" s="14" t="e" cm="1">
        <f t="array" ref="P155">INDEX(Benchmarks!N$6:N$244,MATCH(SolverWork!$B155,MutualFunds!$B$6:$B$244,0),0)</f>
        <v>#N/A</v>
      </c>
      <c r="Q155" s="14" t="e" cm="1">
        <f t="array" ref="Q155">INDEX(Benchmarks!O$6:O$244,MATCH(SolverWork!$B155,MutualFunds!$B$6:$B$244,0),0)</f>
        <v>#N/A</v>
      </c>
      <c r="R155" s="14" t="e" cm="1">
        <f t="array" ref="R155">INDEX(Benchmarks!P$6:P$244,MATCH(SolverWork!$B155,MutualFunds!$B$6:$B$244,0),0)</f>
        <v>#N/A</v>
      </c>
      <c r="S155" s="14" t="e" cm="1">
        <f t="array" ref="S155">INDEX(Benchmarks!Q$6:Q$244,MATCH(SolverWork!$B155,MutualFunds!$B$6:$B$244,0),0)</f>
        <v>#N/A</v>
      </c>
      <c r="T155" s="14" t="e" cm="1">
        <f t="array" ref="T155">INDEX(Benchmarks!R$6:R$244,MATCH(SolverWork!$B155,MutualFunds!$B$6:$B$244,0),0)</f>
        <v>#N/A</v>
      </c>
    </row>
    <row r="156" spans="1:20" x14ac:dyDescent="0.2">
      <c r="A156">
        <v>146</v>
      </c>
      <c r="B156" s="28" t="str">
        <f>IF(B155="","",IF(EOMONTH(B155,1)&lt;=EOMONTH(Front!$C$4,0),EOMONTH(B155,1),""))</f>
        <v/>
      </c>
      <c r="C156" s="14" t="str">
        <f>IF(B156="","",INDEX(MutualFunds!$C$6:$O$244,MATCH(B156,MutualFunds!$B$6:$B$244,0),MATCH(Front!$C$2,MutualFunds!$C$4:$O$4,0)))</f>
        <v/>
      </c>
      <c r="D156" s="14" t="str">
        <f t="shared" si="2"/>
        <v/>
      </c>
      <c r="E156" s="14" t="e" cm="1">
        <f t="array" ref="E156">INDEX(Benchmarks!C$6:C$244,MATCH(SolverWork!$B156,MutualFunds!$B$6:$B$244,0),0)</f>
        <v>#N/A</v>
      </c>
      <c r="F156" s="14" t="e" cm="1">
        <f t="array" ref="F156">INDEX(Benchmarks!D$6:D$244,MATCH(SolverWork!$B156,MutualFunds!$B$6:$B$244,0),0)</f>
        <v>#N/A</v>
      </c>
      <c r="G156" s="14" t="e" cm="1">
        <f t="array" ref="G156">INDEX(Benchmarks!E$6:E$244,MATCH(SolverWork!$B156,MutualFunds!$B$6:$B$244,0),0)</f>
        <v>#N/A</v>
      </c>
      <c r="H156" s="14" t="e" cm="1">
        <f t="array" ref="H156">INDEX(Benchmarks!F$6:F$244,MATCH(SolverWork!$B156,MutualFunds!$B$6:$B$244,0),0)</f>
        <v>#N/A</v>
      </c>
      <c r="I156" s="14" t="e" cm="1">
        <f t="array" ref="I156">INDEX(Benchmarks!G$6:G$244,MATCH(SolverWork!$B156,MutualFunds!$B$6:$B$244,0),0)</f>
        <v>#N/A</v>
      </c>
      <c r="J156" s="14" t="e" cm="1">
        <f t="array" ref="J156">INDEX(Benchmarks!H$6:H$244,MATCH(SolverWork!$B156,MutualFunds!$B$6:$B$244,0),0)</f>
        <v>#N/A</v>
      </c>
      <c r="K156" s="14" t="e" cm="1">
        <f t="array" ref="K156">INDEX(Benchmarks!I$6:I$244,MATCH(SolverWork!$B156,MutualFunds!$B$6:$B$244,0),0)</f>
        <v>#N/A</v>
      </c>
      <c r="L156" s="14" t="e" cm="1">
        <f t="array" ref="L156">INDEX(Benchmarks!J$6:J$244,MATCH(SolverWork!$B156,MutualFunds!$B$6:$B$244,0),0)</f>
        <v>#N/A</v>
      </c>
      <c r="M156" s="14" t="e" cm="1">
        <f t="array" ref="M156">INDEX(Benchmarks!K$6:K$244,MATCH(SolverWork!$B156,MutualFunds!$B$6:$B$244,0),0)</f>
        <v>#N/A</v>
      </c>
      <c r="N156" s="14" t="e" cm="1">
        <f t="array" ref="N156">INDEX(Benchmarks!L$6:L$244,MATCH(SolverWork!$B156,MutualFunds!$B$6:$B$244,0),0)</f>
        <v>#N/A</v>
      </c>
      <c r="O156" s="14" t="e" cm="1">
        <f t="array" ref="O156">INDEX(Benchmarks!M$6:M$244,MATCH(SolverWork!$B156,MutualFunds!$B$6:$B$244,0),0)</f>
        <v>#N/A</v>
      </c>
      <c r="P156" s="14" t="e" cm="1">
        <f t="array" ref="P156">INDEX(Benchmarks!N$6:N$244,MATCH(SolverWork!$B156,MutualFunds!$B$6:$B$244,0),0)</f>
        <v>#N/A</v>
      </c>
      <c r="Q156" s="14" t="e" cm="1">
        <f t="array" ref="Q156">INDEX(Benchmarks!O$6:O$244,MATCH(SolverWork!$B156,MutualFunds!$B$6:$B$244,0),0)</f>
        <v>#N/A</v>
      </c>
      <c r="R156" s="14" t="e" cm="1">
        <f t="array" ref="R156">INDEX(Benchmarks!P$6:P$244,MATCH(SolverWork!$B156,MutualFunds!$B$6:$B$244,0),0)</f>
        <v>#N/A</v>
      </c>
      <c r="S156" s="14" t="e" cm="1">
        <f t="array" ref="S156">INDEX(Benchmarks!Q$6:Q$244,MATCH(SolverWork!$B156,MutualFunds!$B$6:$B$244,0),0)</f>
        <v>#N/A</v>
      </c>
      <c r="T156" s="14" t="e" cm="1">
        <f t="array" ref="T156">INDEX(Benchmarks!R$6:R$244,MATCH(SolverWork!$B156,MutualFunds!$B$6:$B$244,0),0)</f>
        <v>#N/A</v>
      </c>
    </row>
    <row r="157" spans="1:20" x14ac:dyDescent="0.2">
      <c r="A157">
        <v>147</v>
      </c>
      <c r="B157" s="28" t="str">
        <f>IF(B156="","",IF(EOMONTH(B156,1)&lt;=EOMONTH(Front!$C$4,0),EOMONTH(B156,1),""))</f>
        <v/>
      </c>
      <c r="C157" s="14" t="str">
        <f>IF(B157="","",INDEX(MutualFunds!$C$6:$O$244,MATCH(B157,MutualFunds!$B$6:$B$244,0),MATCH(Front!$C$2,MutualFunds!$C$4:$O$4,0)))</f>
        <v/>
      </c>
      <c r="D157" s="14" t="str">
        <f t="shared" si="2"/>
        <v/>
      </c>
      <c r="E157" s="14" t="e" cm="1">
        <f t="array" ref="E157">INDEX(Benchmarks!C$6:C$244,MATCH(SolverWork!$B157,MutualFunds!$B$6:$B$244,0),0)</f>
        <v>#N/A</v>
      </c>
      <c r="F157" s="14" t="e" cm="1">
        <f t="array" ref="F157">INDEX(Benchmarks!D$6:D$244,MATCH(SolverWork!$B157,MutualFunds!$B$6:$B$244,0),0)</f>
        <v>#N/A</v>
      </c>
      <c r="G157" s="14" t="e" cm="1">
        <f t="array" ref="G157">INDEX(Benchmarks!E$6:E$244,MATCH(SolverWork!$B157,MutualFunds!$B$6:$B$244,0),0)</f>
        <v>#N/A</v>
      </c>
      <c r="H157" s="14" t="e" cm="1">
        <f t="array" ref="H157">INDEX(Benchmarks!F$6:F$244,MATCH(SolverWork!$B157,MutualFunds!$B$6:$B$244,0),0)</f>
        <v>#N/A</v>
      </c>
      <c r="I157" s="14" t="e" cm="1">
        <f t="array" ref="I157">INDEX(Benchmarks!G$6:G$244,MATCH(SolverWork!$B157,MutualFunds!$B$6:$B$244,0),0)</f>
        <v>#N/A</v>
      </c>
      <c r="J157" s="14" t="e" cm="1">
        <f t="array" ref="J157">INDEX(Benchmarks!H$6:H$244,MATCH(SolverWork!$B157,MutualFunds!$B$6:$B$244,0),0)</f>
        <v>#N/A</v>
      </c>
      <c r="K157" s="14" t="e" cm="1">
        <f t="array" ref="K157">INDEX(Benchmarks!I$6:I$244,MATCH(SolverWork!$B157,MutualFunds!$B$6:$B$244,0),0)</f>
        <v>#N/A</v>
      </c>
      <c r="L157" s="14" t="e" cm="1">
        <f t="array" ref="L157">INDEX(Benchmarks!J$6:J$244,MATCH(SolverWork!$B157,MutualFunds!$B$6:$B$244,0),0)</f>
        <v>#N/A</v>
      </c>
      <c r="M157" s="14" t="e" cm="1">
        <f t="array" ref="M157">INDEX(Benchmarks!K$6:K$244,MATCH(SolverWork!$B157,MutualFunds!$B$6:$B$244,0),0)</f>
        <v>#N/A</v>
      </c>
      <c r="N157" s="14" t="e" cm="1">
        <f t="array" ref="N157">INDEX(Benchmarks!L$6:L$244,MATCH(SolverWork!$B157,MutualFunds!$B$6:$B$244,0),0)</f>
        <v>#N/A</v>
      </c>
      <c r="O157" s="14" t="e" cm="1">
        <f t="array" ref="O157">INDEX(Benchmarks!M$6:M$244,MATCH(SolverWork!$B157,MutualFunds!$B$6:$B$244,0),0)</f>
        <v>#N/A</v>
      </c>
      <c r="P157" s="14" t="e" cm="1">
        <f t="array" ref="P157">INDEX(Benchmarks!N$6:N$244,MATCH(SolverWork!$B157,MutualFunds!$B$6:$B$244,0),0)</f>
        <v>#N/A</v>
      </c>
      <c r="Q157" s="14" t="e" cm="1">
        <f t="array" ref="Q157">INDEX(Benchmarks!O$6:O$244,MATCH(SolverWork!$B157,MutualFunds!$B$6:$B$244,0),0)</f>
        <v>#N/A</v>
      </c>
      <c r="R157" s="14" t="e" cm="1">
        <f t="array" ref="R157">INDEX(Benchmarks!P$6:P$244,MATCH(SolverWork!$B157,MutualFunds!$B$6:$B$244,0),0)</f>
        <v>#N/A</v>
      </c>
      <c r="S157" s="14" t="e" cm="1">
        <f t="array" ref="S157">INDEX(Benchmarks!Q$6:Q$244,MATCH(SolverWork!$B157,MutualFunds!$B$6:$B$244,0),0)</f>
        <v>#N/A</v>
      </c>
      <c r="T157" s="14" t="e" cm="1">
        <f t="array" ref="T157">INDEX(Benchmarks!R$6:R$244,MATCH(SolverWork!$B157,MutualFunds!$B$6:$B$244,0),0)</f>
        <v>#N/A</v>
      </c>
    </row>
    <row r="158" spans="1:20" x14ac:dyDescent="0.2">
      <c r="A158">
        <v>148</v>
      </c>
      <c r="B158" s="28" t="str">
        <f>IF(B157="","",IF(EOMONTH(B157,1)&lt;=EOMONTH(Front!$C$4,0),EOMONTH(B157,1),""))</f>
        <v/>
      </c>
      <c r="C158" s="14" t="str">
        <f>IF(B158="","",INDEX(MutualFunds!$C$6:$O$244,MATCH(B158,MutualFunds!$B$6:$B$244,0),MATCH(Front!$C$2,MutualFunds!$C$4:$O$4,0)))</f>
        <v/>
      </c>
      <c r="D158" s="14" t="str">
        <f t="shared" si="2"/>
        <v/>
      </c>
      <c r="E158" s="14" t="e" cm="1">
        <f t="array" ref="E158">INDEX(Benchmarks!C$6:C$244,MATCH(SolverWork!$B158,MutualFunds!$B$6:$B$244,0),0)</f>
        <v>#N/A</v>
      </c>
      <c r="F158" s="14" t="e" cm="1">
        <f t="array" ref="F158">INDEX(Benchmarks!D$6:D$244,MATCH(SolverWork!$B158,MutualFunds!$B$6:$B$244,0),0)</f>
        <v>#N/A</v>
      </c>
      <c r="G158" s="14" t="e" cm="1">
        <f t="array" ref="G158">INDEX(Benchmarks!E$6:E$244,MATCH(SolverWork!$B158,MutualFunds!$B$6:$B$244,0),0)</f>
        <v>#N/A</v>
      </c>
      <c r="H158" s="14" t="e" cm="1">
        <f t="array" ref="H158">INDEX(Benchmarks!F$6:F$244,MATCH(SolverWork!$B158,MutualFunds!$B$6:$B$244,0),0)</f>
        <v>#N/A</v>
      </c>
      <c r="I158" s="14" t="e" cm="1">
        <f t="array" ref="I158">INDEX(Benchmarks!G$6:G$244,MATCH(SolverWork!$B158,MutualFunds!$B$6:$B$244,0),0)</f>
        <v>#N/A</v>
      </c>
      <c r="J158" s="14" t="e" cm="1">
        <f t="array" ref="J158">INDEX(Benchmarks!H$6:H$244,MATCH(SolverWork!$B158,MutualFunds!$B$6:$B$244,0),0)</f>
        <v>#N/A</v>
      </c>
      <c r="K158" s="14" t="e" cm="1">
        <f t="array" ref="K158">INDEX(Benchmarks!I$6:I$244,MATCH(SolverWork!$B158,MutualFunds!$B$6:$B$244,0),0)</f>
        <v>#N/A</v>
      </c>
      <c r="L158" s="14" t="e" cm="1">
        <f t="array" ref="L158">INDEX(Benchmarks!J$6:J$244,MATCH(SolverWork!$B158,MutualFunds!$B$6:$B$244,0),0)</f>
        <v>#N/A</v>
      </c>
      <c r="M158" s="14" t="e" cm="1">
        <f t="array" ref="M158">INDEX(Benchmarks!K$6:K$244,MATCH(SolverWork!$B158,MutualFunds!$B$6:$B$244,0),0)</f>
        <v>#N/A</v>
      </c>
      <c r="N158" s="14" t="e" cm="1">
        <f t="array" ref="N158">INDEX(Benchmarks!L$6:L$244,MATCH(SolverWork!$B158,MutualFunds!$B$6:$B$244,0),0)</f>
        <v>#N/A</v>
      </c>
      <c r="O158" s="14" t="e" cm="1">
        <f t="array" ref="O158">INDEX(Benchmarks!M$6:M$244,MATCH(SolverWork!$B158,MutualFunds!$B$6:$B$244,0),0)</f>
        <v>#N/A</v>
      </c>
      <c r="P158" s="14" t="e" cm="1">
        <f t="array" ref="P158">INDEX(Benchmarks!N$6:N$244,MATCH(SolverWork!$B158,MutualFunds!$B$6:$B$244,0),0)</f>
        <v>#N/A</v>
      </c>
      <c r="Q158" s="14" t="e" cm="1">
        <f t="array" ref="Q158">INDEX(Benchmarks!O$6:O$244,MATCH(SolverWork!$B158,MutualFunds!$B$6:$B$244,0),0)</f>
        <v>#N/A</v>
      </c>
      <c r="R158" s="14" t="e" cm="1">
        <f t="array" ref="R158">INDEX(Benchmarks!P$6:P$244,MATCH(SolverWork!$B158,MutualFunds!$B$6:$B$244,0),0)</f>
        <v>#N/A</v>
      </c>
      <c r="S158" s="14" t="e" cm="1">
        <f t="array" ref="S158">INDEX(Benchmarks!Q$6:Q$244,MATCH(SolverWork!$B158,MutualFunds!$B$6:$B$244,0),0)</f>
        <v>#N/A</v>
      </c>
      <c r="T158" s="14" t="e" cm="1">
        <f t="array" ref="T158">INDEX(Benchmarks!R$6:R$244,MATCH(SolverWork!$B158,MutualFunds!$B$6:$B$244,0),0)</f>
        <v>#N/A</v>
      </c>
    </row>
    <row r="159" spans="1:20" x14ac:dyDescent="0.2">
      <c r="A159">
        <v>149</v>
      </c>
      <c r="B159" s="28" t="str">
        <f>IF(B158="","",IF(EOMONTH(B158,1)&lt;=EOMONTH(Front!$C$4,0),EOMONTH(B158,1),""))</f>
        <v/>
      </c>
      <c r="C159" s="14" t="str">
        <f>IF(B159="","",INDEX(MutualFunds!$C$6:$O$244,MATCH(B159,MutualFunds!$B$6:$B$244,0),MATCH(Front!$C$2,MutualFunds!$C$4:$O$4,0)))</f>
        <v/>
      </c>
      <c r="D159" s="14" t="str">
        <f t="shared" si="2"/>
        <v/>
      </c>
      <c r="E159" s="14" t="e" cm="1">
        <f t="array" ref="E159">INDEX(Benchmarks!C$6:C$244,MATCH(SolverWork!$B159,MutualFunds!$B$6:$B$244,0),0)</f>
        <v>#N/A</v>
      </c>
      <c r="F159" s="14" t="e" cm="1">
        <f t="array" ref="F159">INDEX(Benchmarks!D$6:D$244,MATCH(SolverWork!$B159,MutualFunds!$B$6:$B$244,0),0)</f>
        <v>#N/A</v>
      </c>
      <c r="G159" s="14" t="e" cm="1">
        <f t="array" ref="G159">INDEX(Benchmarks!E$6:E$244,MATCH(SolverWork!$B159,MutualFunds!$B$6:$B$244,0),0)</f>
        <v>#N/A</v>
      </c>
      <c r="H159" s="14" t="e" cm="1">
        <f t="array" ref="H159">INDEX(Benchmarks!F$6:F$244,MATCH(SolverWork!$B159,MutualFunds!$B$6:$B$244,0),0)</f>
        <v>#N/A</v>
      </c>
      <c r="I159" s="14" t="e" cm="1">
        <f t="array" ref="I159">INDEX(Benchmarks!G$6:G$244,MATCH(SolverWork!$B159,MutualFunds!$B$6:$B$244,0),0)</f>
        <v>#N/A</v>
      </c>
      <c r="J159" s="14" t="e" cm="1">
        <f t="array" ref="J159">INDEX(Benchmarks!H$6:H$244,MATCH(SolverWork!$B159,MutualFunds!$B$6:$B$244,0),0)</f>
        <v>#N/A</v>
      </c>
      <c r="K159" s="14" t="e" cm="1">
        <f t="array" ref="K159">INDEX(Benchmarks!I$6:I$244,MATCH(SolverWork!$B159,MutualFunds!$B$6:$B$244,0),0)</f>
        <v>#N/A</v>
      </c>
      <c r="L159" s="14" t="e" cm="1">
        <f t="array" ref="L159">INDEX(Benchmarks!J$6:J$244,MATCH(SolverWork!$B159,MutualFunds!$B$6:$B$244,0),0)</f>
        <v>#N/A</v>
      </c>
      <c r="M159" s="14" t="e" cm="1">
        <f t="array" ref="M159">INDEX(Benchmarks!K$6:K$244,MATCH(SolverWork!$B159,MutualFunds!$B$6:$B$244,0),0)</f>
        <v>#N/A</v>
      </c>
      <c r="N159" s="14" t="e" cm="1">
        <f t="array" ref="N159">INDEX(Benchmarks!L$6:L$244,MATCH(SolverWork!$B159,MutualFunds!$B$6:$B$244,0),0)</f>
        <v>#N/A</v>
      </c>
      <c r="O159" s="14" t="e" cm="1">
        <f t="array" ref="O159">INDEX(Benchmarks!M$6:M$244,MATCH(SolverWork!$B159,MutualFunds!$B$6:$B$244,0),0)</f>
        <v>#N/A</v>
      </c>
      <c r="P159" s="14" t="e" cm="1">
        <f t="array" ref="P159">INDEX(Benchmarks!N$6:N$244,MATCH(SolverWork!$B159,MutualFunds!$B$6:$B$244,0),0)</f>
        <v>#N/A</v>
      </c>
      <c r="Q159" s="14" t="e" cm="1">
        <f t="array" ref="Q159">INDEX(Benchmarks!O$6:O$244,MATCH(SolverWork!$B159,MutualFunds!$B$6:$B$244,0),0)</f>
        <v>#N/A</v>
      </c>
      <c r="R159" s="14" t="e" cm="1">
        <f t="array" ref="R159">INDEX(Benchmarks!P$6:P$244,MATCH(SolverWork!$B159,MutualFunds!$B$6:$B$244,0),0)</f>
        <v>#N/A</v>
      </c>
      <c r="S159" s="14" t="e" cm="1">
        <f t="array" ref="S159">INDEX(Benchmarks!Q$6:Q$244,MATCH(SolverWork!$B159,MutualFunds!$B$6:$B$244,0),0)</f>
        <v>#N/A</v>
      </c>
      <c r="T159" s="14" t="e" cm="1">
        <f t="array" ref="T159">INDEX(Benchmarks!R$6:R$244,MATCH(SolverWork!$B159,MutualFunds!$B$6:$B$244,0),0)</f>
        <v>#N/A</v>
      </c>
    </row>
    <row r="160" spans="1:20" x14ac:dyDescent="0.2">
      <c r="A160">
        <v>150</v>
      </c>
      <c r="B160" s="28" t="str">
        <f>IF(B159="","",IF(EOMONTH(B159,1)&lt;=EOMONTH(Front!$C$4,0),EOMONTH(B159,1),""))</f>
        <v/>
      </c>
      <c r="C160" s="14" t="str">
        <f>IF(B160="","",INDEX(MutualFunds!$C$6:$O$244,MATCH(B160,MutualFunds!$B$6:$B$244,0),MATCH(Front!$C$2,MutualFunds!$C$4:$O$4,0)))</f>
        <v/>
      </c>
      <c r="D160" s="14" t="str">
        <f t="shared" si="2"/>
        <v/>
      </c>
      <c r="E160" s="14" t="e" cm="1">
        <f t="array" ref="E160">INDEX(Benchmarks!C$6:C$244,MATCH(SolverWork!$B160,MutualFunds!$B$6:$B$244,0),0)</f>
        <v>#N/A</v>
      </c>
      <c r="F160" s="14" t="e" cm="1">
        <f t="array" ref="F160">INDEX(Benchmarks!D$6:D$244,MATCH(SolverWork!$B160,MutualFunds!$B$6:$B$244,0),0)</f>
        <v>#N/A</v>
      </c>
      <c r="G160" s="14" t="e" cm="1">
        <f t="array" ref="G160">INDEX(Benchmarks!E$6:E$244,MATCH(SolverWork!$B160,MutualFunds!$B$6:$B$244,0),0)</f>
        <v>#N/A</v>
      </c>
      <c r="H160" s="14" t="e" cm="1">
        <f t="array" ref="H160">INDEX(Benchmarks!F$6:F$244,MATCH(SolverWork!$B160,MutualFunds!$B$6:$B$244,0),0)</f>
        <v>#N/A</v>
      </c>
      <c r="I160" s="14" t="e" cm="1">
        <f t="array" ref="I160">INDEX(Benchmarks!G$6:G$244,MATCH(SolverWork!$B160,MutualFunds!$B$6:$B$244,0),0)</f>
        <v>#N/A</v>
      </c>
      <c r="J160" s="14" t="e" cm="1">
        <f t="array" ref="J160">INDEX(Benchmarks!H$6:H$244,MATCH(SolverWork!$B160,MutualFunds!$B$6:$B$244,0),0)</f>
        <v>#N/A</v>
      </c>
      <c r="K160" s="14" t="e" cm="1">
        <f t="array" ref="K160">INDEX(Benchmarks!I$6:I$244,MATCH(SolverWork!$B160,MutualFunds!$B$6:$B$244,0),0)</f>
        <v>#N/A</v>
      </c>
      <c r="L160" s="14" t="e" cm="1">
        <f t="array" ref="L160">INDEX(Benchmarks!J$6:J$244,MATCH(SolverWork!$B160,MutualFunds!$B$6:$B$244,0),0)</f>
        <v>#N/A</v>
      </c>
      <c r="M160" s="14" t="e" cm="1">
        <f t="array" ref="M160">INDEX(Benchmarks!K$6:K$244,MATCH(SolverWork!$B160,MutualFunds!$B$6:$B$244,0),0)</f>
        <v>#N/A</v>
      </c>
      <c r="N160" s="14" t="e" cm="1">
        <f t="array" ref="N160">INDEX(Benchmarks!L$6:L$244,MATCH(SolverWork!$B160,MutualFunds!$B$6:$B$244,0),0)</f>
        <v>#N/A</v>
      </c>
      <c r="O160" s="14" t="e" cm="1">
        <f t="array" ref="O160">INDEX(Benchmarks!M$6:M$244,MATCH(SolverWork!$B160,MutualFunds!$B$6:$B$244,0),0)</f>
        <v>#N/A</v>
      </c>
      <c r="P160" s="14" t="e" cm="1">
        <f t="array" ref="P160">INDEX(Benchmarks!N$6:N$244,MATCH(SolverWork!$B160,MutualFunds!$B$6:$B$244,0),0)</f>
        <v>#N/A</v>
      </c>
      <c r="Q160" s="14" t="e" cm="1">
        <f t="array" ref="Q160">INDEX(Benchmarks!O$6:O$244,MATCH(SolverWork!$B160,MutualFunds!$B$6:$B$244,0),0)</f>
        <v>#N/A</v>
      </c>
      <c r="R160" s="14" t="e" cm="1">
        <f t="array" ref="R160">INDEX(Benchmarks!P$6:P$244,MATCH(SolverWork!$B160,MutualFunds!$B$6:$B$244,0),0)</f>
        <v>#N/A</v>
      </c>
      <c r="S160" s="14" t="e" cm="1">
        <f t="array" ref="S160">INDEX(Benchmarks!Q$6:Q$244,MATCH(SolverWork!$B160,MutualFunds!$B$6:$B$244,0),0)</f>
        <v>#N/A</v>
      </c>
      <c r="T160" s="14" t="e" cm="1">
        <f t="array" ref="T160">INDEX(Benchmarks!R$6:R$244,MATCH(SolverWork!$B160,MutualFunds!$B$6:$B$244,0),0)</f>
        <v>#N/A</v>
      </c>
    </row>
    <row r="161" spans="1:20" x14ac:dyDescent="0.2">
      <c r="A161">
        <v>151</v>
      </c>
      <c r="B161" s="28" t="str">
        <f>IF(B160="","",IF(EOMONTH(B160,1)&lt;=EOMONTH(Front!$C$4,0),EOMONTH(B160,1),""))</f>
        <v/>
      </c>
      <c r="C161" s="14" t="str">
        <f>IF(B161="","",INDEX(MutualFunds!$C$6:$O$244,MATCH(B161,MutualFunds!$B$6:$B$244,0),MATCH(Front!$C$2,MutualFunds!$C$4:$O$4,0)))</f>
        <v/>
      </c>
      <c r="D161" s="14" t="str">
        <f t="shared" si="2"/>
        <v/>
      </c>
      <c r="E161" s="14" t="e" cm="1">
        <f t="array" ref="E161">INDEX(Benchmarks!C$6:C$244,MATCH(SolverWork!$B161,MutualFunds!$B$6:$B$244,0),0)</f>
        <v>#N/A</v>
      </c>
      <c r="F161" s="14" t="e" cm="1">
        <f t="array" ref="F161">INDEX(Benchmarks!D$6:D$244,MATCH(SolverWork!$B161,MutualFunds!$B$6:$B$244,0),0)</f>
        <v>#N/A</v>
      </c>
      <c r="G161" s="14" t="e" cm="1">
        <f t="array" ref="G161">INDEX(Benchmarks!E$6:E$244,MATCH(SolverWork!$B161,MutualFunds!$B$6:$B$244,0),0)</f>
        <v>#N/A</v>
      </c>
      <c r="H161" s="14" t="e" cm="1">
        <f t="array" ref="H161">INDEX(Benchmarks!F$6:F$244,MATCH(SolverWork!$B161,MutualFunds!$B$6:$B$244,0),0)</f>
        <v>#N/A</v>
      </c>
      <c r="I161" s="14" t="e" cm="1">
        <f t="array" ref="I161">INDEX(Benchmarks!G$6:G$244,MATCH(SolverWork!$B161,MutualFunds!$B$6:$B$244,0),0)</f>
        <v>#N/A</v>
      </c>
      <c r="J161" s="14" t="e" cm="1">
        <f t="array" ref="J161">INDEX(Benchmarks!H$6:H$244,MATCH(SolverWork!$B161,MutualFunds!$B$6:$B$244,0),0)</f>
        <v>#N/A</v>
      </c>
      <c r="K161" s="14" t="e" cm="1">
        <f t="array" ref="K161">INDEX(Benchmarks!I$6:I$244,MATCH(SolverWork!$B161,MutualFunds!$B$6:$B$244,0),0)</f>
        <v>#N/A</v>
      </c>
      <c r="L161" s="14" t="e" cm="1">
        <f t="array" ref="L161">INDEX(Benchmarks!J$6:J$244,MATCH(SolverWork!$B161,MutualFunds!$B$6:$B$244,0),0)</f>
        <v>#N/A</v>
      </c>
      <c r="M161" s="14" t="e" cm="1">
        <f t="array" ref="M161">INDEX(Benchmarks!K$6:K$244,MATCH(SolverWork!$B161,MutualFunds!$B$6:$B$244,0),0)</f>
        <v>#N/A</v>
      </c>
      <c r="N161" s="14" t="e" cm="1">
        <f t="array" ref="N161">INDEX(Benchmarks!L$6:L$244,MATCH(SolverWork!$B161,MutualFunds!$B$6:$B$244,0),0)</f>
        <v>#N/A</v>
      </c>
      <c r="O161" s="14" t="e" cm="1">
        <f t="array" ref="O161">INDEX(Benchmarks!M$6:M$244,MATCH(SolverWork!$B161,MutualFunds!$B$6:$B$244,0),0)</f>
        <v>#N/A</v>
      </c>
      <c r="P161" s="14" t="e" cm="1">
        <f t="array" ref="P161">INDEX(Benchmarks!N$6:N$244,MATCH(SolverWork!$B161,MutualFunds!$B$6:$B$244,0),0)</f>
        <v>#N/A</v>
      </c>
      <c r="Q161" s="14" t="e" cm="1">
        <f t="array" ref="Q161">INDEX(Benchmarks!O$6:O$244,MATCH(SolverWork!$B161,MutualFunds!$B$6:$B$244,0),0)</f>
        <v>#N/A</v>
      </c>
      <c r="R161" s="14" t="e" cm="1">
        <f t="array" ref="R161">INDEX(Benchmarks!P$6:P$244,MATCH(SolverWork!$B161,MutualFunds!$B$6:$B$244,0),0)</f>
        <v>#N/A</v>
      </c>
      <c r="S161" s="14" t="e" cm="1">
        <f t="array" ref="S161">INDEX(Benchmarks!Q$6:Q$244,MATCH(SolverWork!$B161,MutualFunds!$B$6:$B$244,0),0)</f>
        <v>#N/A</v>
      </c>
      <c r="T161" s="14" t="e" cm="1">
        <f t="array" ref="T161">INDEX(Benchmarks!R$6:R$244,MATCH(SolverWork!$B161,MutualFunds!$B$6:$B$244,0),0)</f>
        <v>#N/A</v>
      </c>
    </row>
    <row r="162" spans="1:20" x14ac:dyDescent="0.2">
      <c r="A162">
        <v>152</v>
      </c>
      <c r="B162" s="28" t="str">
        <f>IF(B161="","",IF(EOMONTH(B161,1)&lt;=EOMONTH(Front!$C$4,0),EOMONTH(B161,1),""))</f>
        <v/>
      </c>
      <c r="C162" s="14" t="str">
        <f>IF(B162="","",INDEX(MutualFunds!$C$6:$O$244,MATCH(B162,MutualFunds!$B$6:$B$244,0),MATCH(Front!$C$2,MutualFunds!$C$4:$O$4,0)))</f>
        <v/>
      </c>
      <c r="D162" s="14" t="str">
        <f t="shared" si="2"/>
        <v/>
      </c>
      <c r="E162" s="14" t="e" cm="1">
        <f t="array" ref="E162">INDEX(Benchmarks!C$6:C$244,MATCH(SolverWork!$B162,MutualFunds!$B$6:$B$244,0),0)</f>
        <v>#N/A</v>
      </c>
      <c r="F162" s="14" t="e" cm="1">
        <f t="array" ref="F162">INDEX(Benchmarks!D$6:D$244,MATCH(SolverWork!$B162,MutualFunds!$B$6:$B$244,0),0)</f>
        <v>#N/A</v>
      </c>
      <c r="G162" s="14" t="e" cm="1">
        <f t="array" ref="G162">INDEX(Benchmarks!E$6:E$244,MATCH(SolverWork!$B162,MutualFunds!$B$6:$B$244,0),0)</f>
        <v>#N/A</v>
      </c>
      <c r="H162" s="14" t="e" cm="1">
        <f t="array" ref="H162">INDEX(Benchmarks!F$6:F$244,MATCH(SolverWork!$B162,MutualFunds!$B$6:$B$244,0),0)</f>
        <v>#N/A</v>
      </c>
      <c r="I162" s="14" t="e" cm="1">
        <f t="array" ref="I162">INDEX(Benchmarks!G$6:G$244,MATCH(SolverWork!$B162,MutualFunds!$B$6:$B$244,0),0)</f>
        <v>#N/A</v>
      </c>
      <c r="J162" s="14" t="e" cm="1">
        <f t="array" ref="J162">INDEX(Benchmarks!H$6:H$244,MATCH(SolverWork!$B162,MutualFunds!$B$6:$B$244,0),0)</f>
        <v>#N/A</v>
      </c>
      <c r="K162" s="14" t="e" cm="1">
        <f t="array" ref="K162">INDEX(Benchmarks!I$6:I$244,MATCH(SolverWork!$B162,MutualFunds!$B$6:$B$244,0),0)</f>
        <v>#N/A</v>
      </c>
      <c r="L162" s="14" t="e" cm="1">
        <f t="array" ref="L162">INDEX(Benchmarks!J$6:J$244,MATCH(SolverWork!$B162,MutualFunds!$B$6:$B$244,0),0)</f>
        <v>#N/A</v>
      </c>
      <c r="M162" s="14" t="e" cm="1">
        <f t="array" ref="M162">INDEX(Benchmarks!K$6:K$244,MATCH(SolverWork!$B162,MutualFunds!$B$6:$B$244,0),0)</f>
        <v>#N/A</v>
      </c>
      <c r="N162" s="14" t="e" cm="1">
        <f t="array" ref="N162">INDEX(Benchmarks!L$6:L$244,MATCH(SolverWork!$B162,MutualFunds!$B$6:$B$244,0),0)</f>
        <v>#N/A</v>
      </c>
      <c r="O162" s="14" t="e" cm="1">
        <f t="array" ref="O162">INDEX(Benchmarks!M$6:M$244,MATCH(SolverWork!$B162,MutualFunds!$B$6:$B$244,0),0)</f>
        <v>#N/A</v>
      </c>
      <c r="P162" s="14" t="e" cm="1">
        <f t="array" ref="P162">INDEX(Benchmarks!N$6:N$244,MATCH(SolverWork!$B162,MutualFunds!$B$6:$B$244,0),0)</f>
        <v>#N/A</v>
      </c>
      <c r="Q162" s="14" t="e" cm="1">
        <f t="array" ref="Q162">INDEX(Benchmarks!O$6:O$244,MATCH(SolverWork!$B162,MutualFunds!$B$6:$B$244,0),0)</f>
        <v>#N/A</v>
      </c>
      <c r="R162" s="14" t="e" cm="1">
        <f t="array" ref="R162">INDEX(Benchmarks!P$6:P$244,MATCH(SolverWork!$B162,MutualFunds!$B$6:$B$244,0),0)</f>
        <v>#N/A</v>
      </c>
      <c r="S162" s="14" t="e" cm="1">
        <f t="array" ref="S162">INDEX(Benchmarks!Q$6:Q$244,MATCH(SolverWork!$B162,MutualFunds!$B$6:$B$244,0),0)</f>
        <v>#N/A</v>
      </c>
      <c r="T162" s="14" t="e" cm="1">
        <f t="array" ref="T162">INDEX(Benchmarks!R$6:R$244,MATCH(SolverWork!$B162,MutualFunds!$B$6:$B$244,0),0)</f>
        <v>#N/A</v>
      </c>
    </row>
    <row r="163" spans="1:20" x14ac:dyDescent="0.2">
      <c r="A163">
        <v>153</v>
      </c>
      <c r="B163" s="28" t="str">
        <f>IF(B162="","",IF(EOMONTH(B162,1)&lt;=EOMONTH(Front!$C$4,0),EOMONTH(B162,1),""))</f>
        <v/>
      </c>
      <c r="C163" s="14" t="str">
        <f>IF(B163="","",INDEX(MutualFunds!$C$6:$O$244,MATCH(B163,MutualFunds!$B$6:$B$244,0),MATCH(Front!$C$2,MutualFunds!$C$4:$O$4,0)))</f>
        <v/>
      </c>
      <c r="D163" s="14" t="str">
        <f t="shared" si="2"/>
        <v/>
      </c>
      <c r="E163" s="14" t="e" cm="1">
        <f t="array" ref="E163">INDEX(Benchmarks!C$6:C$244,MATCH(SolverWork!$B163,MutualFunds!$B$6:$B$244,0),0)</f>
        <v>#N/A</v>
      </c>
      <c r="F163" s="14" t="e" cm="1">
        <f t="array" ref="F163">INDEX(Benchmarks!D$6:D$244,MATCH(SolverWork!$B163,MutualFunds!$B$6:$B$244,0),0)</f>
        <v>#N/A</v>
      </c>
      <c r="G163" s="14" t="e" cm="1">
        <f t="array" ref="G163">INDEX(Benchmarks!E$6:E$244,MATCH(SolverWork!$B163,MutualFunds!$B$6:$B$244,0),0)</f>
        <v>#N/A</v>
      </c>
      <c r="H163" s="14" t="e" cm="1">
        <f t="array" ref="H163">INDEX(Benchmarks!F$6:F$244,MATCH(SolverWork!$B163,MutualFunds!$B$6:$B$244,0),0)</f>
        <v>#N/A</v>
      </c>
      <c r="I163" s="14" t="e" cm="1">
        <f t="array" ref="I163">INDEX(Benchmarks!G$6:G$244,MATCH(SolverWork!$B163,MutualFunds!$B$6:$B$244,0),0)</f>
        <v>#N/A</v>
      </c>
      <c r="J163" s="14" t="e" cm="1">
        <f t="array" ref="J163">INDEX(Benchmarks!H$6:H$244,MATCH(SolverWork!$B163,MutualFunds!$B$6:$B$244,0),0)</f>
        <v>#N/A</v>
      </c>
      <c r="K163" s="14" t="e" cm="1">
        <f t="array" ref="K163">INDEX(Benchmarks!I$6:I$244,MATCH(SolverWork!$B163,MutualFunds!$B$6:$B$244,0),0)</f>
        <v>#N/A</v>
      </c>
      <c r="L163" s="14" t="e" cm="1">
        <f t="array" ref="L163">INDEX(Benchmarks!J$6:J$244,MATCH(SolverWork!$B163,MutualFunds!$B$6:$B$244,0),0)</f>
        <v>#N/A</v>
      </c>
      <c r="M163" s="14" t="e" cm="1">
        <f t="array" ref="M163">INDEX(Benchmarks!K$6:K$244,MATCH(SolverWork!$B163,MutualFunds!$B$6:$B$244,0),0)</f>
        <v>#N/A</v>
      </c>
      <c r="N163" s="14" t="e" cm="1">
        <f t="array" ref="N163">INDEX(Benchmarks!L$6:L$244,MATCH(SolverWork!$B163,MutualFunds!$B$6:$B$244,0),0)</f>
        <v>#N/A</v>
      </c>
      <c r="O163" s="14" t="e" cm="1">
        <f t="array" ref="O163">INDEX(Benchmarks!M$6:M$244,MATCH(SolverWork!$B163,MutualFunds!$B$6:$B$244,0),0)</f>
        <v>#N/A</v>
      </c>
      <c r="P163" s="14" t="e" cm="1">
        <f t="array" ref="P163">INDEX(Benchmarks!N$6:N$244,MATCH(SolverWork!$B163,MutualFunds!$B$6:$B$244,0),0)</f>
        <v>#N/A</v>
      </c>
      <c r="Q163" s="14" t="e" cm="1">
        <f t="array" ref="Q163">INDEX(Benchmarks!O$6:O$244,MATCH(SolverWork!$B163,MutualFunds!$B$6:$B$244,0),0)</f>
        <v>#N/A</v>
      </c>
      <c r="R163" s="14" t="e" cm="1">
        <f t="array" ref="R163">INDEX(Benchmarks!P$6:P$244,MATCH(SolverWork!$B163,MutualFunds!$B$6:$B$244,0),0)</f>
        <v>#N/A</v>
      </c>
      <c r="S163" s="14" t="e" cm="1">
        <f t="array" ref="S163">INDEX(Benchmarks!Q$6:Q$244,MATCH(SolverWork!$B163,MutualFunds!$B$6:$B$244,0),0)</f>
        <v>#N/A</v>
      </c>
      <c r="T163" s="14" t="e" cm="1">
        <f t="array" ref="T163">INDEX(Benchmarks!R$6:R$244,MATCH(SolverWork!$B163,MutualFunds!$B$6:$B$244,0),0)</f>
        <v>#N/A</v>
      </c>
    </row>
    <row r="164" spans="1:20" x14ac:dyDescent="0.2">
      <c r="A164">
        <v>154</v>
      </c>
      <c r="B164" s="28" t="str">
        <f>IF(B163="","",IF(EOMONTH(B163,1)&lt;=EOMONTH(Front!$C$4,0),EOMONTH(B163,1),""))</f>
        <v/>
      </c>
      <c r="C164" s="14" t="str">
        <f>IF(B164="","",INDEX(MutualFunds!$C$6:$O$244,MATCH(B164,MutualFunds!$B$6:$B$244,0),MATCH(Front!$C$2,MutualFunds!$C$4:$O$4,0)))</f>
        <v/>
      </c>
      <c r="D164" s="14" t="str">
        <f t="shared" si="2"/>
        <v/>
      </c>
      <c r="E164" s="14" t="e" cm="1">
        <f t="array" ref="E164">INDEX(Benchmarks!C$6:C$244,MATCH(SolverWork!$B164,MutualFunds!$B$6:$B$244,0),0)</f>
        <v>#N/A</v>
      </c>
      <c r="F164" s="14" t="e" cm="1">
        <f t="array" ref="F164">INDEX(Benchmarks!D$6:D$244,MATCH(SolverWork!$B164,MutualFunds!$B$6:$B$244,0),0)</f>
        <v>#N/A</v>
      </c>
      <c r="G164" s="14" t="e" cm="1">
        <f t="array" ref="G164">INDEX(Benchmarks!E$6:E$244,MATCH(SolverWork!$B164,MutualFunds!$B$6:$B$244,0),0)</f>
        <v>#N/A</v>
      </c>
      <c r="H164" s="14" t="e" cm="1">
        <f t="array" ref="H164">INDEX(Benchmarks!F$6:F$244,MATCH(SolverWork!$B164,MutualFunds!$B$6:$B$244,0),0)</f>
        <v>#N/A</v>
      </c>
      <c r="I164" s="14" t="e" cm="1">
        <f t="array" ref="I164">INDEX(Benchmarks!G$6:G$244,MATCH(SolverWork!$B164,MutualFunds!$B$6:$B$244,0),0)</f>
        <v>#N/A</v>
      </c>
      <c r="J164" s="14" t="e" cm="1">
        <f t="array" ref="J164">INDEX(Benchmarks!H$6:H$244,MATCH(SolverWork!$B164,MutualFunds!$B$6:$B$244,0),0)</f>
        <v>#N/A</v>
      </c>
      <c r="K164" s="14" t="e" cm="1">
        <f t="array" ref="K164">INDEX(Benchmarks!I$6:I$244,MATCH(SolverWork!$B164,MutualFunds!$B$6:$B$244,0),0)</f>
        <v>#N/A</v>
      </c>
      <c r="L164" s="14" t="e" cm="1">
        <f t="array" ref="L164">INDEX(Benchmarks!J$6:J$244,MATCH(SolverWork!$B164,MutualFunds!$B$6:$B$244,0),0)</f>
        <v>#N/A</v>
      </c>
      <c r="M164" s="14" t="e" cm="1">
        <f t="array" ref="M164">INDEX(Benchmarks!K$6:K$244,MATCH(SolverWork!$B164,MutualFunds!$B$6:$B$244,0),0)</f>
        <v>#N/A</v>
      </c>
      <c r="N164" s="14" t="e" cm="1">
        <f t="array" ref="N164">INDEX(Benchmarks!L$6:L$244,MATCH(SolverWork!$B164,MutualFunds!$B$6:$B$244,0),0)</f>
        <v>#N/A</v>
      </c>
      <c r="O164" s="14" t="e" cm="1">
        <f t="array" ref="O164">INDEX(Benchmarks!M$6:M$244,MATCH(SolverWork!$B164,MutualFunds!$B$6:$B$244,0),0)</f>
        <v>#N/A</v>
      </c>
      <c r="P164" s="14" t="e" cm="1">
        <f t="array" ref="P164">INDEX(Benchmarks!N$6:N$244,MATCH(SolverWork!$B164,MutualFunds!$B$6:$B$244,0),0)</f>
        <v>#N/A</v>
      </c>
      <c r="Q164" s="14" t="e" cm="1">
        <f t="array" ref="Q164">INDEX(Benchmarks!O$6:O$244,MATCH(SolverWork!$B164,MutualFunds!$B$6:$B$244,0),0)</f>
        <v>#N/A</v>
      </c>
      <c r="R164" s="14" t="e" cm="1">
        <f t="array" ref="R164">INDEX(Benchmarks!P$6:P$244,MATCH(SolverWork!$B164,MutualFunds!$B$6:$B$244,0),0)</f>
        <v>#N/A</v>
      </c>
      <c r="S164" s="14" t="e" cm="1">
        <f t="array" ref="S164">INDEX(Benchmarks!Q$6:Q$244,MATCH(SolverWork!$B164,MutualFunds!$B$6:$B$244,0),0)</f>
        <v>#N/A</v>
      </c>
      <c r="T164" s="14" t="e" cm="1">
        <f t="array" ref="T164">INDEX(Benchmarks!R$6:R$244,MATCH(SolverWork!$B164,MutualFunds!$B$6:$B$244,0),0)</f>
        <v>#N/A</v>
      </c>
    </row>
    <row r="165" spans="1:20" x14ac:dyDescent="0.2">
      <c r="A165">
        <v>155</v>
      </c>
      <c r="B165" s="28" t="str">
        <f>IF(B164="","",IF(EOMONTH(B164,1)&lt;=EOMONTH(Front!$C$4,0),EOMONTH(B164,1),""))</f>
        <v/>
      </c>
      <c r="C165" s="14" t="str">
        <f>IF(B165="","",INDEX(MutualFunds!$C$6:$O$244,MATCH(B165,MutualFunds!$B$6:$B$244,0),MATCH(Front!$C$2,MutualFunds!$C$4:$O$4,0)))</f>
        <v/>
      </c>
      <c r="D165" s="14" t="str">
        <f t="shared" si="2"/>
        <v/>
      </c>
      <c r="E165" s="14" t="e" cm="1">
        <f t="array" ref="E165">INDEX(Benchmarks!C$6:C$244,MATCH(SolverWork!$B165,MutualFunds!$B$6:$B$244,0),0)</f>
        <v>#N/A</v>
      </c>
      <c r="F165" s="14" t="e" cm="1">
        <f t="array" ref="F165">INDEX(Benchmarks!D$6:D$244,MATCH(SolverWork!$B165,MutualFunds!$B$6:$B$244,0),0)</f>
        <v>#N/A</v>
      </c>
      <c r="G165" s="14" t="e" cm="1">
        <f t="array" ref="G165">INDEX(Benchmarks!E$6:E$244,MATCH(SolverWork!$B165,MutualFunds!$B$6:$B$244,0),0)</f>
        <v>#N/A</v>
      </c>
      <c r="H165" s="14" t="e" cm="1">
        <f t="array" ref="H165">INDEX(Benchmarks!F$6:F$244,MATCH(SolverWork!$B165,MutualFunds!$B$6:$B$244,0),0)</f>
        <v>#N/A</v>
      </c>
      <c r="I165" s="14" t="e" cm="1">
        <f t="array" ref="I165">INDEX(Benchmarks!G$6:G$244,MATCH(SolverWork!$B165,MutualFunds!$B$6:$B$244,0),0)</f>
        <v>#N/A</v>
      </c>
      <c r="J165" s="14" t="e" cm="1">
        <f t="array" ref="J165">INDEX(Benchmarks!H$6:H$244,MATCH(SolverWork!$B165,MutualFunds!$B$6:$B$244,0),0)</f>
        <v>#N/A</v>
      </c>
      <c r="K165" s="14" t="e" cm="1">
        <f t="array" ref="K165">INDEX(Benchmarks!I$6:I$244,MATCH(SolverWork!$B165,MutualFunds!$B$6:$B$244,0),0)</f>
        <v>#N/A</v>
      </c>
      <c r="L165" s="14" t="e" cm="1">
        <f t="array" ref="L165">INDEX(Benchmarks!J$6:J$244,MATCH(SolverWork!$B165,MutualFunds!$B$6:$B$244,0),0)</f>
        <v>#N/A</v>
      </c>
      <c r="M165" s="14" t="e" cm="1">
        <f t="array" ref="M165">INDEX(Benchmarks!K$6:K$244,MATCH(SolverWork!$B165,MutualFunds!$B$6:$B$244,0),0)</f>
        <v>#N/A</v>
      </c>
      <c r="N165" s="14" t="e" cm="1">
        <f t="array" ref="N165">INDEX(Benchmarks!L$6:L$244,MATCH(SolverWork!$B165,MutualFunds!$B$6:$B$244,0),0)</f>
        <v>#N/A</v>
      </c>
      <c r="O165" s="14" t="e" cm="1">
        <f t="array" ref="O165">INDEX(Benchmarks!M$6:M$244,MATCH(SolverWork!$B165,MutualFunds!$B$6:$B$244,0),0)</f>
        <v>#N/A</v>
      </c>
      <c r="P165" s="14" t="e" cm="1">
        <f t="array" ref="P165">INDEX(Benchmarks!N$6:N$244,MATCH(SolverWork!$B165,MutualFunds!$B$6:$B$244,0),0)</f>
        <v>#N/A</v>
      </c>
      <c r="Q165" s="14" t="e" cm="1">
        <f t="array" ref="Q165">INDEX(Benchmarks!O$6:O$244,MATCH(SolverWork!$B165,MutualFunds!$B$6:$B$244,0),0)</f>
        <v>#N/A</v>
      </c>
      <c r="R165" s="14" t="e" cm="1">
        <f t="array" ref="R165">INDEX(Benchmarks!P$6:P$244,MATCH(SolverWork!$B165,MutualFunds!$B$6:$B$244,0),0)</f>
        <v>#N/A</v>
      </c>
      <c r="S165" s="14" t="e" cm="1">
        <f t="array" ref="S165">INDEX(Benchmarks!Q$6:Q$244,MATCH(SolverWork!$B165,MutualFunds!$B$6:$B$244,0),0)</f>
        <v>#N/A</v>
      </c>
      <c r="T165" s="14" t="e" cm="1">
        <f t="array" ref="T165">INDEX(Benchmarks!R$6:R$244,MATCH(SolverWork!$B165,MutualFunds!$B$6:$B$244,0),0)</f>
        <v>#N/A</v>
      </c>
    </row>
    <row r="166" spans="1:20" x14ac:dyDescent="0.2">
      <c r="A166">
        <v>156</v>
      </c>
      <c r="B166" s="28" t="str">
        <f>IF(B165="","",IF(EOMONTH(B165,1)&lt;=EOMONTH(Front!$C$4,0),EOMONTH(B165,1),""))</f>
        <v/>
      </c>
      <c r="C166" s="14" t="str">
        <f>IF(B166="","",INDEX(MutualFunds!$C$6:$O$244,MATCH(B166,MutualFunds!$B$6:$B$244,0),MATCH(Front!$C$2,MutualFunds!$C$4:$O$4,0)))</f>
        <v/>
      </c>
      <c r="D166" s="14" t="str">
        <f t="shared" si="2"/>
        <v/>
      </c>
      <c r="E166" s="14" t="e" cm="1">
        <f t="array" ref="E166">INDEX(Benchmarks!C$6:C$244,MATCH(SolverWork!$B166,MutualFunds!$B$6:$B$244,0),0)</f>
        <v>#N/A</v>
      </c>
      <c r="F166" s="14" t="e" cm="1">
        <f t="array" ref="F166">INDEX(Benchmarks!D$6:D$244,MATCH(SolverWork!$B166,MutualFunds!$B$6:$B$244,0),0)</f>
        <v>#N/A</v>
      </c>
      <c r="G166" s="14" t="e" cm="1">
        <f t="array" ref="G166">INDEX(Benchmarks!E$6:E$244,MATCH(SolverWork!$B166,MutualFunds!$B$6:$B$244,0),0)</f>
        <v>#N/A</v>
      </c>
      <c r="H166" s="14" t="e" cm="1">
        <f t="array" ref="H166">INDEX(Benchmarks!F$6:F$244,MATCH(SolverWork!$B166,MutualFunds!$B$6:$B$244,0),0)</f>
        <v>#N/A</v>
      </c>
      <c r="I166" s="14" t="e" cm="1">
        <f t="array" ref="I166">INDEX(Benchmarks!G$6:G$244,MATCH(SolverWork!$B166,MutualFunds!$B$6:$B$244,0),0)</f>
        <v>#N/A</v>
      </c>
      <c r="J166" s="14" t="e" cm="1">
        <f t="array" ref="J166">INDEX(Benchmarks!H$6:H$244,MATCH(SolverWork!$B166,MutualFunds!$B$6:$B$244,0),0)</f>
        <v>#N/A</v>
      </c>
      <c r="K166" s="14" t="e" cm="1">
        <f t="array" ref="K166">INDEX(Benchmarks!I$6:I$244,MATCH(SolverWork!$B166,MutualFunds!$B$6:$B$244,0),0)</f>
        <v>#N/A</v>
      </c>
      <c r="L166" s="14" t="e" cm="1">
        <f t="array" ref="L166">INDEX(Benchmarks!J$6:J$244,MATCH(SolverWork!$B166,MutualFunds!$B$6:$B$244,0),0)</f>
        <v>#N/A</v>
      </c>
      <c r="M166" s="14" t="e" cm="1">
        <f t="array" ref="M166">INDEX(Benchmarks!K$6:K$244,MATCH(SolverWork!$B166,MutualFunds!$B$6:$B$244,0),0)</f>
        <v>#N/A</v>
      </c>
      <c r="N166" s="14" t="e" cm="1">
        <f t="array" ref="N166">INDEX(Benchmarks!L$6:L$244,MATCH(SolverWork!$B166,MutualFunds!$B$6:$B$244,0),0)</f>
        <v>#N/A</v>
      </c>
      <c r="O166" s="14" t="e" cm="1">
        <f t="array" ref="O166">INDEX(Benchmarks!M$6:M$244,MATCH(SolverWork!$B166,MutualFunds!$B$6:$B$244,0),0)</f>
        <v>#N/A</v>
      </c>
      <c r="P166" s="14" t="e" cm="1">
        <f t="array" ref="P166">INDEX(Benchmarks!N$6:N$244,MATCH(SolverWork!$B166,MutualFunds!$B$6:$B$244,0),0)</f>
        <v>#N/A</v>
      </c>
      <c r="Q166" s="14" t="e" cm="1">
        <f t="array" ref="Q166">INDEX(Benchmarks!O$6:O$244,MATCH(SolverWork!$B166,MutualFunds!$B$6:$B$244,0),0)</f>
        <v>#N/A</v>
      </c>
      <c r="R166" s="14" t="e" cm="1">
        <f t="array" ref="R166">INDEX(Benchmarks!P$6:P$244,MATCH(SolverWork!$B166,MutualFunds!$B$6:$B$244,0),0)</f>
        <v>#N/A</v>
      </c>
      <c r="S166" s="14" t="e" cm="1">
        <f t="array" ref="S166">INDEX(Benchmarks!Q$6:Q$244,MATCH(SolverWork!$B166,MutualFunds!$B$6:$B$244,0),0)</f>
        <v>#N/A</v>
      </c>
      <c r="T166" s="14" t="e" cm="1">
        <f t="array" ref="T166">INDEX(Benchmarks!R$6:R$244,MATCH(SolverWork!$B166,MutualFunds!$B$6:$B$244,0),0)</f>
        <v>#N/A</v>
      </c>
    </row>
    <row r="167" spans="1:20" x14ac:dyDescent="0.2">
      <c r="A167">
        <v>157</v>
      </c>
      <c r="B167" s="28" t="str">
        <f>IF(B166="","",IF(EOMONTH(B166,1)&lt;=EOMONTH(Front!$C$4,0),EOMONTH(B166,1),""))</f>
        <v/>
      </c>
      <c r="C167" s="14" t="str">
        <f>IF(B167="","",INDEX(MutualFunds!$C$6:$O$244,MATCH(B167,MutualFunds!$B$6:$B$244,0),MATCH(Front!$C$2,MutualFunds!$C$4:$O$4,0)))</f>
        <v/>
      </c>
      <c r="D167" s="14" t="str">
        <f t="shared" si="2"/>
        <v/>
      </c>
      <c r="E167" s="14" t="e" cm="1">
        <f t="array" ref="E167">INDEX(Benchmarks!C$6:C$244,MATCH(SolverWork!$B167,MutualFunds!$B$6:$B$244,0),0)</f>
        <v>#N/A</v>
      </c>
      <c r="F167" s="14" t="e" cm="1">
        <f t="array" ref="F167">INDEX(Benchmarks!D$6:D$244,MATCH(SolverWork!$B167,MutualFunds!$B$6:$B$244,0),0)</f>
        <v>#N/A</v>
      </c>
      <c r="G167" s="14" t="e" cm="1">
        <f t="array" ref="G167">INDEX(Benchmarks!E$6:E$244,MATCH(SolverWork!$B167,MutualFunds!$B$6:$B$244,0),0)</f>
        <v>#N/A</v>
      </c>
      <c r="H167" s="14" t="e" cm="1">
        <f t="array" ref="H167">INDEX(Benchmarks!F$6:F$244,MATCH(SolverWork!$B167,MutualFunds!$B$6:$B$244,0),0)</f>
        <v>#N/A</v>
      </c>
      <c r="I167" s="14" t="e" cm="1">
        <f t="array" ref="I167">INDEX(Benchmarks!G$6:G$244,MATCH(SolverWork!$B167,MutualFunds!$B$6:$B$244,0),0)</f>
        <v>#N/A</v>
      </c>
      <c r="J167" s="14" t="e" cm="1">
        <f t="array" ref="J167">INDEX(Benchmarks!H$6:H$244,MATCH(SolverWork!$B167,MutualFunds!$B$6:$B$244,0),0)</f>
        <v>#N/A</v>
      </c>
      <c r="K167" s="14" t="e" cm="1">
        <f t="array" ref="K167">INDEX(Benchmarks!I$6:I$244,MATCH(SolverWork!$B167,MutualFunds!$B$6:$B$244,0),0)</f>
        <v>#N/A</v>
      </c>
      <c r="L167" s="14" t="e" cm="1">
        <f t="array" ref="L167">INDEX(Benchmarks!J$6:J$244,MATCH(SolverWork!$B167,MutualFunds!$B$6:$B$244,0),0)</f>
        <v>#N/A</v>
      </c>
      <c r="M167" s="14" t="e" cm="1">
        <f t="array" ref="M167">INDEX(Benchmarks!K$6:K$244,MATCH(SolverWork!$B167,MutualFunds!$B$6:$B$244,0),0)</f>
        <v>#N/A</v>
      </c>
      <c r="N167" s="14" t="e" cm="1">
        <f t="array" ref="N167">INDEX(Benchmarks!L$6:L$244,MATCH(SolverWork!$B167,MutualFunds!$B$6:$B$244,0),0)</f>
        <v>#N/A</v>
      </c>
      <c r="O167" s="14" t="e" cm="1">
        <f t="array" ref="O167">INDEX(Benchmarks!M$6:M$244,MATCH(SolverWork!$B167,MutualFunds!$B$6:$B$244,0),0)</f>
        <v>#N/A</v>
      </c>
      <c r="P167" s="14" t="e" cm="1">
        <f t="array" ref="P167">INDEX(Benchmarks!N$6:N$244,MATCH(SolverWork!$B167,MutualFunds!$B$6:$B$244,0),0)</f>
        <v>#N/A</v>
      </c>
      <c r="Q167" s="14" t="e" cm="1">
        <f t="array" ref="Q167">INDEX(Benchmarks!O$6:O$244,MATCH(SolverWork!$B167,MutualFunds!$B$6:$B$244,0),0)</f>
        <v>#N/A</v>
      </c>
      <c r="R167" s="14" t="e" cm="1">
        <f t="array" ref="R167">INDEX(Benchmarks!P$6:P$244,MATCH(SolverWork!$B167,MutualFunds!$B$6:$B$244,0),0)</f>
        <v>#N/A</v>
      </c>
      <c r="S167" s="14" t="e" cm="1">
        <f t="array" ref="S167">INDEX(Benchmarks!Q$6:Q$244,MATCH(SolverWork!$B167,MutualFunds!$B$6:$B$244,0),0)</f>
        <v>#N/A</v>
      </c>
      <c r="T167" s="14" t="e" cm="1">
        <f t="array" ref="T167">INDEX(Benchmarks!R$6:R$244,MATCH(SolverWork!$B167,MutualFunds!$B$6:$B$244,0),0)</f>
        <v>#N/A</v>
      </c>
    </row>
    <row r="168" spans="1:20" x14ac:dyDescent="0.2">
      <c r="A168">
        <v>158</v>
      </c>
      <c r="B168" s="28" t="str">
        <f>IF(B167="","",IF(EOMONTH(B167,1)&lt;=EOMONTH(Front!$C$4,0),EOMONTH(B167,1),""))</f>
        <v/>
      </c>
      <c r="C168" s="14" t="str">
        <f>IF(B168="","",INDEX(MutualFunds!$C$6:$O$244,MATCH(B168,MutualFunds!$B$6:$B$244,0),MATCH(Front!$C$2,MutualFunds!$C$4:$O$4,0)))</f>
        <v/>
      </c>
      <c r="D168" s="14" t="str">
        <f t="shared" si="2"/>
        <v/>
      </c>
      <c r="E168" s="14" t="e" cm="1">
        <f t="array" ref="E168">INDEX(Benchmarks!C$6:C$244,MATCH(SolverWork!$B168,MutualFunds!$B$6:$B$244,0),0)</f>
        <v>#N/A</v>
      </c>
      <c r="F168" s="14" t="e" cm="1">
        <f t="array" ref="F168">INDEX(Benchmarks!D$6:D$244,MATCH(SolverWork!$B168,MutualFunds!$B$6:$B$244,0),0)</f>
        <v>#N/A</v>
      </c>
      <c r="G168" s="14" t="e" cm="1">
        <f t="array" ref="G168">INDEX(Benchmarks!E$6:E$244,MATCH(SolverWork!$B168,MutualFunds!$B$6:$B$244,0),0)</f>
        <v>#N/A</v>
      </c>
      <c r="H168" s="14" t="e" cm="1">
        <f t="array" ref="H168">INDEX(Benchmarks!F$6:F$244,MATCH(SolverWork!$B168,MutualFunds!$B$6:$B$244,0),0)</f>
        <v>#N/A</v>
      </c>
      <c r="I168" s="14" t="e" cm="1">
        <f t="array" ref="I168">INDEX(Benchmarks!G$6:G$244,MATCH(SolverWork!$B168,MutualFunds!$B$6:$B$244,0),0)</f>
        <v>#N/A</v>
      </c>
      <c r="J168" s="14" t="e" cm="1">
        <f t="array" ref="J168">INDEX(Benchmarks!H$6:H$244,MATCH(SolverWork!$B168,MutualFunds!$B$6:$B$244,0),0)</f>
        <v>#N/A</v>
      </c>
      <c r="K168" s="14" t="e" cm="1">
        <f t="array" ref="K168">INDEX(Benchmarks!I$6:I$244,MATCH(SolverWork!$B168,MutualFunds!$B$6:$B$244,0),0)</f>
        <v>#N/A</v>
      </c>
      <c r="L168" s="14" t="e" cm="1">
        <f t="array" ref="L168">INDEX(Benchmarks!J$6:J$244,MATCH(SolverWork!$B168,MutualFunds!$B$6:$B$244,0),0)</f>
        <v>#N/A</v>
      </c>
      <c r="M168" s="14" t="e" cm="1">
        <f t="array" ref="M168">INDEX(Benchmarks!K$6:K$244,MATCH(SolverWork!$B168,MutualFunds!$B$6:$B$244,0),0)</f>
        <v>#N/A</v>
      </c>
      <c r="N168" s="14" t="e" cm="1">
        <f t="array" ref="N168">INDEX(Benchmarks!L$6:L$244,MATCH(SolverWork!$B168,MutualFunds!$B$6:$B$244,0),0)</f>
        <v>#N/A</v>
      </c>
      <c r="O168" s="14" t="e" cm="1">
        <f t="array" ref="O168">INDEX(Benchmarks!M$6:M$244,MATCH(SolverWork!$B168,MutualFunds!$B$6:$B$244,0),0)</f>
        <v>#N/A</v>
      </c>
      <c r="P168" s="14" t="e" cm="1">
        <f t="array" ref="P168">INDEX(Benchmarks!N$6:N$244,MATCH(SolverWork!$B168,MutualFunds!$B$6:$B$244,0),0)</f>
        <v>#N/A</v>
      </c>
      <c r="Q168" s="14" t="e" cm="1">
        <f t="array" ref="Q168">INDEX(Benchmarks!O$6:O$244,MATCH(SolverWork!$B168,MutualFunds!$B$6:$B$244,0),0)</f>
        <v>#N/A</v>
      </c>
      <c r="R168" s="14" t="e" cm="1">
        <f t="array" ref="R168">INDEX(Benchmarks!P$6:P$244,MATCH(SolverWork!$B168,MutualFunds!$B$6:$B$244,0),0)</f>
        <v>#N/A</v>
      </c>
      <c r="S168" s="14" t="e" cm="1">
        <f t="array" ref="S168">INDEX(Benchmarks!Q$6:Q$244,MATCH(SolverWork!$B168,MutualFunds!$B$6:$B$244,0),0)</f>
        <v>#N/A</v>
      </c>
      <c r="T168" s="14" t="e" cm="1">
        <f t="array" ref="T168">INDEX(Benchmarks!R$6:R$244,MATCH(SolverWork!$B168,MutualFunds!$B$6:$B$244,0),0)</f>
        <v>#N/A</v>
      </c>
    </row>
    <row r="169" spans="1:20" x14ac:dyDescent="0.2">
      <c r="A169">
        <v>159</v>
      </c>
      <c r="B169" s="28" t="str">
        <f>IF(B168="","",IF(EOMONTH(B168,1)&lt;=EOMONTH(Front!$C$4,0),EOMONTH(B168,1),""))</f>
        <v/>
      </c>
      <c r="C169" s="14" t="str">
        <f>IF(B169="","",INDEX(MutualFunds!$C$6:$O$244,MATCH(B169,MutualFunds!$B$6:$B$244,0),MATCH(Front!$C$2,MutualFunds!$C$4:$O$4,0)))</f>
        <v/>
      </c>
      <c r="D169" s="14" t="str">
        <f t="shared" si="2"/>
        <v/>
      </c>
      <c r="E169" s="14" t="e" cm="1">
        <f t="array" ref="E169">INDEX(Benchmarks!C$6:C$244,MATCH(SolverWork!$B169,MutualFunds!$B$6:$B$244,0),0)</f>
        <v>#N/A</v>
      </c>
      <c r="F169" s="14" t="e" cm="1">
        <f t="array" ref="F169">INDEX(Benchmarks!D$6:D$244,MATCH(SolverWork!$B169,MutualFunds!$B$6:$B$244,0),0)</f>
        <v>#N/A</v>
      </c>
      <c r="G169" s="14" t="e" cm="1">
        <f t="array" ref="G169">INDEX(Benchmarks!E$6:E$244,MATCH(SolverWork!$B169,MutualFunds!$B$6:$B$244,0),0)</f>
        <v>#N/A</v>
      </c>
      <c r="H169" s="14" t="e" cm="1">
        <f t="array" ref="H169">INDEX(Benchmarks!F$6:F$244,MATCH(SolverWork!$B169,MutualFunds!$B$6:$B$244,0),0)</f>
        <v>#N/A</v>
      </c>
      <c r="I169" s="14" t="e" cm="1">
        <f t="array" ref="I169">INDEX(Benchmarks!G$6:G$244,MATCH(SolverWork!$B169,MutualFunds!$B$6:$B$244,0),0)</f>
        <v>#N/A</v>
      </c>
      <c r="J169" s="14" t="e" cm="1">
        <f t="array" ref="J169">INDEX(Benchmarks!H$6:H$244,MATCH(SolverWork!$B169,MutualFunds!$B$6:$B$244,0),0)</f>
        <v>#N/A</v>
      </c>
      <c r="K169" s="14" t="e" cm="1">
        <f t="array" ref="K169">INDEX(Benchmarks!I$6:I$244,MATCH(SolverWork!$B169,MutualFunds!$B$6:$B$244,0),0)</f>
        <v>#N/A</v>
      </c>
      <c r="L169" s="14" t="e" cm="1">
        <f t="array" ref="L169">INDEX(Benchmarks!J$6:J$244,MATCH(SolverWork!$B169,MutualFunds!$B$6:$B$244,0),0)</f>
        <v>#N/A</v>
      </c>
      <c r="M169" s="14" t="e" cm="1">
        <f t="array" ref="M169">INDEX(Benchmarks!K$6:K$244,MATCH(SolverWork!$B169,MutualFunds!$B$6:$B$244,0),0)</f>
        <v>#N/A</v>
      </c>
      <c r="N169" s="14" t="e" cm="1">
        <f t="array" ref="N169">INDEX(Benchmarks!L$6:L$244,MATCH(SolverWork!$B169,MutualFunds!$B$6:$B$244,0),0)</f>
        <v>#N/A</v>
      </c>
      <c r="O169" s="14" t="e" cm="1">
        <f t="array" ref="O169">INDEX(Benchmarks!M$6:M$244,MATCH(SolverWork!$B169,MutualFunds!$B$6:$B$244,0),0)</f>
        <v>#N/A</v>
      </c>
      <c r="P169" s="14" t="e" cm="1">
        <f t="array" ref="P169">INDEX(Benchmarks!N$6:N$244,MATCH(SolverWork!$B169,MutualFunds!$B$6:$B$244,0),0)</f>
        <v>#N/A</v>
      </c>
      <c r="Q169" s="14" t="e" cm="1">
        <f t="array" ref="Q169">INDEX(Benchmarks!O$6:O$244,MATCH(SolverWork!$B169,MutualFunds!$B$6:$B$244,0),0)</f>
        <v>#N/A</v>
      </c>
      <c r="R169" s="14" t="e" cm="1">
        <f t="array" ref="R169">INDEX(Benchmarks!P$6:P$244,MATCH(SolverWork!$B169,MutualFunds!$B$6:$B$244,0),0)</f>
        <v>#N/A</v>
      </c>
      <c r="S169" s="14" t="e" cm="1">
        <f t="array" ref="S169">INDEX(Benchmarks!Q$6:Q$244,MATCH(SolverWork!$B169,MutualFunds!$B$6:$B$244,0),0)</f>
        <v>#N/A</v>
      </c>
      <c r="T169" s="14" t="e" cm="1">
        <f t="array" ref="T169">INDEX(Benchmarks!R$6:R$244,MATCH(SolverWork!$B169,MutualFunds!$B$6:$B$244,0),0)</f>
        <v>#N/A</v>
      </c>
    </row>
    <row r="170" spans="1:20" x14ac:dyDescent="0.2">
      <c r="A170">
        <v>160</v>
      </c>
      <c r="B170" s="28" t="str">
        <f>IF(B169="","",IF(EOMONTH(B169,1)&lt;=EOMONTH(Front!$C$4,0),EOMONTH(B169,1),""))</f>
        <v/>
      </c>
      <c r="C170" s="14" t="str">
        <f>IF(B170="","",INDEX(MutualFunds!$C$6:$O$244,MATCH(B170,MutualFunds!$B$6:$B$244,0),MATCH(Front!$C$2,MutualFunds!$C$4:$O$4,0)))</f>
        <v/>
      </c>
      <c r="D170" s="14" t="str">
        <f t="shared" si="2"/>
        <v/>
      </c>
      <c r="E170" s="14" t="e" cm="1">
        <f t="array" ref="E170">INDEX(Benchmarks!C$6:C$244,MATCH(SolverWork!$B170,MutualFunds!$B$6:$B$244,0),0)</f>
        <v>#N/A</v>
      </c>
      <c r="F170" s="14" t="e" cm="1">
        <f t="array" ref="F170">INDEX(Benchmarks!D$6:D$244,MATCH(SolverWork!$B170,MutualFunds!$B$6:$B$244,0),0)</f>
        <v>#N/A</v>
      </c>
      <c r="G170" s="14" t="e" cm="1">
        <f t="array" ref="G170">INDEX(Benchmarks!E$6:E$244,MATCH(SolverWork!$B170,MutualFunds!$B$6:$B$244,0),0)</f>
        <v>#N/A</v>
      </c>
      <c r="H170" s="14" t="e" cm="1">
        <f t="array" ref="H170">INDEX(Benchmarks!F$6:F$244,MATCH(SolverWork!$B170,MutualFunds!$B$6:$B$244,0),0)</f>
        <v>#N/A</v>
      </c>
      <c r="I170" s="14" t="e" cm="1">
        <f t="array" ref="I170">INDEX(Benchmarks!G$6:G$244,MATCH(SolverWork!$B170,MutualFunds!$B$6:$B$244,0),0)</f>
        <v>#N/A</v>
      </c>
      <c r="J170" s="14" t="e" cm="1">
        <f t="array" ref="J170">INDEX(Benchmarks!H$6:H$244,MATCH(SolverWork!$B170,MutualFunds!$B$6:$B$244,0),0)</f>
        <v>#N/A</v>
      </c>
      <c r="K170" s="14" t="e" cm="1">
        <f t="array" ref="K170">INDEX(Benchmarks!I$6:I$244,MATCH(SolverWork!$B170,MutualFunds!$B$6:$B$244,0),0)</f>
        <v>#N/A</v>
      </c>
      <c r="L170" s="14" t="e" cm="1">
        <f t="array" ref="L170">INDEX(Benchmarks!J$6:J$244,MATCH(SolverWork!$B170,MutualFunds!$B$6:$B$244,0),0)</f>
        <v>#N/A</v>
      </c>
      <c r="M170" s="14" t="e" cm="1">
        <f t="array" ref="M170">INDEX(Benchmarks!K$6:K$244,MATCH(SolverWork!$B170,MutualFunds!$B$6:$B$244,0),0)</f>
        <v>#N/A</v>
      </c>
      <c r="N170" s="14" t="e" cm="1">
        <f t="array" ref="N170">INDEX(Benchmarks!L$6:L$244,MATCH(SolverWork!$B170,MutualFunds!$B$6:$B$244,0),0)</f>
        <v>#N/A</v>
      </c>
      <c r="O170" s="14" t="e" cm="1">
        <f t="array" ref="O170">INDEX(Benchmarks!M$6:M$244,MATCH(SolverWork!$B170,MutualFunds!$B$6:$B$244,0),0)</f>
        <v>#N/A</v>
      </c>
      <c r="P170" s="14" t="e" cm="1">
        <f t="array" ref="P170">INDEX(Benchmarks!N$6:N$244,MATCH(SolverWork!$B170,MutualFunds!$B$6:$B$244,0),0)</f>
        <v>#N/A</v>
      </c>
      <c r="Q170" s="14" t="e" cm="1">
        <f t="array" ref="Q170">INDEX(Benchmarks!O$6:O$244,MATCH(SolverWork!$B170,MutualFunds!$B$6:$B$244,0),0)</f>
        <v>#N/A</v>
      </c>
      <c r="R170" s="14" t="e" cm="1">
        <f t="array" ref="R170">INDEX(Benchmarks!P$6:P$244,MATCH(SolverWork!$B170,MutualFunds!$B$6:$B$244,0),0)</f>
        <v>#N/A</v>
      </c>
      <c r="S170" s="14" t="e" cm="1">
        <f t="array" ref="S170">INDEX(Benchmarks!Q$6:Q$244,MATCH(SolverWork!$B170,MutualFunds!$B$6:$B$244,0),0)</f>
        <v>#N/A</v>
      </c>
      <c r="T170" s="14" t="e" cm="1">
        <f t="array" ref="T170">INDEX(Benchmarks!R$6:R$244,MATCH(SolverWork!$B170,MutualFunds!$B$6:$B$244,0),0)</f>
        <v>#N/A</v>
      </c>
    </row>
    <row r="171" spans="1:20" x14ac:dyDescent="0.2">
      <c r="A171">
        <v>161</v>
      </c>
      <c r="B171" s="28" t="str">
        <f>IF(B170="","",IF(EOMONTH(B170,1)&lt;=EOMONTH(Front!$C$4,0),EOMONTH(B170,1),""))</f>
        <v/>
      </c>
      <c r="C171" s="14" t="str">
        <f>IF(B171="","",INDEX(MutualFunds!$C$6:$O$244,MATCH(B171,MutualFunds!$B$6:$B$244,0),MATCH(Front!$C$2,MutualFunds!$C$4:$O$4,0)))</f>
        <v/>
      </c>
      <c r="D171" s="14" t="str">
        <f t="shared" si="2"/>
        <v/>
      </c>
      <c r="E171" s="14" t="e" cm="1">
        <f t="array" ref="E171">INDEX(Benchmarks!C$6:C$244,MATCH(SolverWork!$B171,MutualFunds!$B$6:$B$244,0),0)</f>
        <v>#N/A</v>
      </c>
      <c r="F171" s="14" t="e" cm="1">
        <f t="array" ref="F171">INDEX(Benchmarks!D$6:D$244,MATCH(SolverWork!$B171,MutualFunds!$B$6:$B$244,0),0)</f>
        <v>#N/A</v>
      </c>
      <c r="G171" s="14" t="e" cm="1">
        <f t="array" ref="G171">INDEX(Benchmarks!E$6:E$244,MATCH(SolverWork!$B171,MutualFunds!$B$6:$B$244,0),0)</f>
        <v>#N/A</v>
      </c>
      <c r="H171" s="14" t="e" cm="1">
        <f t="array" ref="H171">INDEX(Benchmarks!F$6:F$244,MATCH(SolverWork!$B171,MutualFunds!$B$6:$B$244,0),0)</f>
        <v>#N/A</v>
      </c>
      <c r="I171" s="14" t="e" cm="1">
        <f t="array" ref="I171">INDEX(Benchmarks!G$6:G$244,MATCH(SolverWork!$B171,MutualFunds!$B$6:$B$244,0),0)</f>
        <v>#N/A</v>
      </c>
      <c r="J171" s="14" t="e" cm="1">
        <f t="array" ref="J171">INDEX(Benchmarks!H$6:H$244,MATCH(SolverWork!$B171,MutualFunds!$B$6:$B$244,0),0)</f>
        <v>#N/A</v>
      </c>
      <c r="K171" s="14" t="e" cm="1">
        <f t="array" ref="K171">INDEX(Benchmarks!I$6:I$244,MATCH(SolverWork!$B171,MutualFunds!$B$6:$B$244,0),0)</f>
        <v>#N/A</v>
      </c>
      <c r="L171" s="14" t="e" cm="1">
        <f t="array" ref="L171">INDEX(Benchmarks!J$6:J$244,MATCH(SolverWork!$B171,MutualFunds!$B$6:$B$244,0),0)</f>
        <v>#N/A</v>
      </c>
      <c r="M171" s="14" t="e" cm="1">
        <f t="array" ref="M171">INDEX(Benchmarks!K$6:K$244,MATCH(SolverWork!$B171,MutualFunds!$B$6:$B$244,0),0)</f>
        <v>#N/A</v>
      </c>
      <c r="N171" s="14" t="e" cm="1">
        <f t="array" ref="N171">INDEX(Benchmarks!L$6:L$244,MATCH(SolverWork!$B171,MutualFunds!$B$6:$B$244,0),0)</f>
        <v>#N/A</v>
      </c>
      <c r="O171" s="14" t="e" cm="1">
        <f t="array" ref="O171">INDEX(Benchmarks!M$6:M$244,MATCH(SolverWork!$B171,MutualFunds!$B$6:$B$244,0),0)</f>
        <v>#N/A</v>
      </c>
      <c r="P171" s="14" t="e" cm="1">
        <f t="array" ref="P171">INDEX(Benchmarks!N$6:N$244,MATCH(SolverWork!$B171,MutualFunds!$B$6:$B$244,0),0)</f>
        <v>#N/A</v>
      </c>
      <c r="Q171" s="14" t="e" cm="1">
        <f t="array" ref="Q171">INDEX(Benchmarks!O$6:O$244,MATCH(SolverWork!$B171,MutualFunds!$B$6:$B$244,0),0)</f>
        <v>#N/A</v>
      </c>
      <c r="R171" s="14" t="e" cm="1">
        <f t="array" ref="R171">INDEX(Benchmarks!P$6:P$244,MATCH(SolverWork!$B171,MutualFunds!$B$6:$B$244,0),0)</f>
        <v>#N/A</v>
      </c>
      <c r="S171" s="14" t="e" cm="1">
        <f t="array" ref="S171">INDEX(Benchmarks!Q$6:Q$244,MATCH(SolverWork!$B171,MutualFunds!$B$6:$B$244,0),0)</f>
        <v>#N/A</v>
      </c>
      <c r="T171" s="14" t="e" cm="1">
        <f t="array" ref="T171">INDEX(Benchmarks!R$6:R$244,MATCH(SolverWork!$B171,MutualFunds!$B$6:$B$244,0),0)</f>
        <v>#N/A</v>
      </c>
    </row>
    <row r="172" spans="1:20" x14ac:dyDescent="0.2">
      <c r="A172">
        <v>162</v>
      </c>
      <c r="B172" s="28" t="str">
        <f>IF(B171="","",IF(EOMONTH(B171,1)&lt;=EOMONTH(Front!$C$4,0),EOMONTH(B171,1),""))</f>
        <v/>
      </c>
      <c r="C172" s="14" t="str">
        <f>IF(B172="","",INDEX(MutualFunds!$C$6:$O$244,MATCH(B172,MutualFunds!$B$6:$B$244,0),MATCH(Front!$C$2,MutualFunds!$C$4:$O$4,0)))</f>
        <v/>
      </c>
      <c r="D172" s="14" t="str">
        <f t="shared" si="2"/>
        <v/>
      </c>
      <c r="E172" s="14" t="e" cm="1">
        <f t="array" ref="E172">INDEX(Benchmarks!C$6:C$244,MATCH(SolverWork!$B172,MutualFunds!$B$6:$B$244,0),0)</f>
        <v>#N/A</v>
      </c>
      <c r="F172" s="14" t="e" cm="1">
        <f t="array" ref="F172">INDEX(Benchmarks!D$6:D$244,MATCH(SolverWork!$B172,MutualFunds!$B$6:$B$244,0),0)</f>
        <v>#N/A</v>
      </c>
      <c r="G172" s="14" t="e" cm="1">
        <f t="array" ref="G172">INDEX(Benchmarks!E$6:E$244,MATCH(SolverWork!$B172,MutualFunds!$B$6:$B$244,0),0)</f>
        <v>#N/A</v>
      </c>
      <c r="H172" s="14" t="e" cm="1">
        <f t="array" ref="H172">INDEX(Benchmarks!F$6:F$244,MATCH(SolverWork!$B172,MutualFunds!$B$6:$B$244,0),0)</f>
        <v>#N/A</v>
      </c>
      <c r="I172" s="14" t="e" cm="1">
        <f t="array" ref="I172">INDEX(Benchmarks!G$6:G$244,MATCH(SolverWork!$B172,MutualFunds!$B$6:$B$244,0),0)</f>
        <v>#N/A</v>
      </c>
      <c r="J172" s="14" t="e" cm="1">
        <f t="array" ref="J172">INDEX(Benchmarks!H$6:H$244,MATCH(SolverWork!$B172,MutualFunds!$B$6:$B$244,0),0)</f>
        <v>#N/A</v>
      </c>
      <c r="K172" s="14" t="e" cm="1">
        <f t="array" ref="K172">INDEX(Benchmarks!I$6:I$244,MATCH(SolverWork!$B172,MutualFunds!$B$6:$B$244,0),0)</f>
        <v>#N/A</v>
      </c>
      <c r="L172" s="14" t="e" cm="1">
        <f t="array" ref="L172">INDEX(Benchmarks!J$6:J$244,MATCH(SolverWork!$B172,MutualFunds!$B$6:$B$244,0),0)</f>
        <v>#N/A</v>
      </c>
      <c r="M172" s="14" t="e" cm="1">
        <f t="array" ref="M172">INDEX(Benchmarks!K$6:K$244,MATCH(SolverWork!$B172,MutualFunds!$B$6:$B$244,0),0)</f>
        <v>#N/A</v>
      </c>
      <c r="N172" s="14" t="e" cm="1">
        <f t="array" ref="N172">INDEX(Benchmarks!L$6:L$244,MATCH(SolverWork!$B172,MutualFunds!$B$6:$B$244,0),0)</f>
        <v>#N/A</v>
      </c>
      <c r="O172" s="14" t="e" cm="1">
        <f t="array" ref="O172">INDEX(Benchmarks!M$6:M$244,MATCH(SolverWork!$B172,MutualFunds!$B$6:$B$244,0),0)</f>
        <v>#N/A</v>
      </c>
      <c r="P172" s="14" t="e" cm="1">
        <f t="array" ref="P172">INDEX(Benchmarks!N$6:N$244,MATCH(SolverWork!$B172,MutualFunds!$B$6:$B$244,0),0)</f>
        <v>#N/A</v>
      </c>
      <c r="Q172" s="14" t="e" cm="1">
        <f t="array" ref="Q172">INDEX(Benchmarks!O$6:O$244,MATCH(SolverWork!$B172,MutualFunds!$B$6:$B$244,0),0)</f>
        <v>#N/A</v>
      </c>
      <c r="R172" s="14" t="e" cm="1">
        <f t="array" ref="R172">INDEX(Benchmarks!P$6:P$244,MATCH(SolverWork!$B172,MutualFunds!$B$6:$B$244,0),0)</f>
        <v>#N/A</v>
      </c>
      <c r="S172" s="14" t="e" cm="1">
        <f t="array" ref="S172">INDEX(Benchmarks!Q$6:Q$244,MATCH(SolverWork!$B172,MutualFunds!$B$6:$B$244,0),0)</f>
        <v>#N/A</v>
      </c>
      <c r="T172" s="14" t="e" cm="1">
        <f t="array" ref="T172">INDEX(Benchmarks!R$6:R$244,MATCH(SolverWork!$B172,MutualFunds!$B$6:$B$244,0),0)</f>
        <v>#N/A</v>
      </c>
    </row>
    <row r="173" spans="1:20" x14ac:dyDescent="0.2">
      <c r="A173">
        <v>163</v>
      </c>
      <c r="B173" s="28" t="str">
        <f>IF(B172="","",IF(EOMONTH(B172,1)&lt;=EOMONTH(Front!$C$4,0),EOMONTH(B172,1),""))</f>
        <v/>
      </c>
      <c r="C173" s="14" t="str">
        <f>IF(B173="","",INDEX(MutualFunds!$C$6:$O$244,MATCH(B173,MutualFunds!$B$6:$B$244,0),MATCH(Front!$C$2,MutualFunds!$C$4:$O$4,0)))</f>
        <v/>
      </c>
      <c r="D173" s="14" t="str">
        <f t="shared" si="2"/>
        <v/>
      </c>
      <c r="E173" s="14" t="e" cm="1">
        <f t="array" ref="E173">INDEX(Benchmarks!C$6:C$244,MATCH(SolverWork!$B173,MutualFunds!$B$6:$B$244,0),0)</f>
        <v>#N/A</v>
      </c>
      <c r="F173" s="14" t="e" cm="1">
        <f t="array" ref="F173">INDEX(Benchmarks!D$6:D$244,MATCH(SolverWork!$B173,MutualFunds!$B$6:$B$244,0),0)</f>
        <v>#N/A</v>
      </c>
      <c r="G173" s="14" t="e" cm="1">
        <f t="array" ref="G173">INDEX(Benchmarks!E$6:E$244,MATCH(SolverWork!$B173,MutualFunds!$B$6:$B$244,0),0)</f>
        <v>#N/A</v>
      </c>
      <c r="H173" s="14" t="e" cm="1">
        <f t="array" ref="H173">INDEX(Benchmarks!F$6:F$244,MATCH(SolverWork!$B173,MutualFunds!$B$6:$B$244,0),0)</f>
        <v>#N/A</v>
      </c>
      <c r="I173" s="14" t="e" cm="1">
        <f t="array" ref="I173">INDEX(Benchmarks!G$6:G$244,MATCH(SolverWork!$B173,MutualFunds!$B$6:$B$244,0),0)</f>
        <v>#N/A</v>
      </c>
      <c r="J173" s="14" t="e" cm="1">
        <f t="array" ref="J173">INDEX(Benchmarks!H$6:H$244,MATCH(SolverWork!$B173,MutualFunds!$B$6:$B$244,0),0)</f>
        <v>#N/A</v>
      </c>
      <c r="K173" s="14" t="e" cm="1">
        <f t="array" ref="K173">INDEX(Benchmarks!I$6:I$244,MATCH(SolverWork!$B173,MutualFunds!$B$6:$B$244,0),0)</f>
        <v>#N/A</v>
      </c>
      <c r="L173" s="14" t="e" cm="1">
        <f t="array" ref="L173">INDEX(Benchmarks!J$6:J$244,MATCH(SolverWork!$B173,MutualFunds!$B$6:$B$244,0),0)</f>
        <v>#N/A</v>
      </c>
      <c r="M173" s="14" t="e" cm="1">
        <f t="array" ref="M173">INDEX(Benchmarks!K$6:K$244,MATCH(SolverWork!$B173,MutualFunds!$B$6:$B$244,0),0)</f>
        <v>#N/A</v>
      </c>
      <c r="N173" s="14" t="e" cm="1">
        <f t="array" ref="N173">INDEX(Benchmarks!L$6:L$244,MATCH(SolverWork!$B173,MutualFunds!$B$6:$B$244,0),0)</f>
        <v>#N/A</v>
      </c>
      <c r="O173" s="14" t="e" cm="1">
        <f t="array" ref="O173">INDEX(Benchmarks!M$6:M$244,MATCH(SolverWork!$B173,MutualFunds!$B$6:$B$244,0),0)</f>
        <v>#N/A</v>
      </c>
      <c r="P173" s="14" t="e" cm="1">
        <f t="array" ref="P173">INDEX(Benchmarks!N$6:N$244,MATCH(SolverWork!$B173,MutualFunds!$B$6:$B$244,0),0)</f>
        <v>#N/A</v>
      </c>
      <c r="Q173" s="14" t="e" cm="1">
        <f t="array" ref="Q173">INDEX(Benchmarks!O$6:O$244,MATCH(SolverWork!$B173,MutualFunds!$B$6:$B$244,0),0)</f>
        <v>#N/A</v>
      </c>
      <c r="R173" s="14" t="e" cm="1">
        <f t="array" ref="R173">INDEX(Benchmarks!P$6:P$244,MATCH(SolverWork!$B173,MutualFunds!$B$6:$B$244,0),0)</f>
        <v>#N/A</v>
      </c>
      <c r="S173" s="14" t="e" cm="1">
        <f t="array" ref="S173">INDEX(Benchmarks!Q$6:Q$244,MATCH(SolverWork!$B173,MutualFunds!$B$6:$B$244,0),0)</f>
        <v>#N/A</v>
      </c>
      <c r="T173" s="14" t="e" cm="1">
        <f t="array" ref="T173">INDEX(Benchmarks!R$6:R$244,MATCH(SolverWork!$B173,MutualFunds!$B$6:$B$244,0),0)</f>
        <v>#N/A</v>
      </c>
    </row>
    <row r="174" spans="1:20" x14ac:dyDescent="0.2">
      <c r="A174">
        <v>164</v>
      </c>
      <c r="B174" s="28" t="str">
        <f>IF(B173="","",IF(EOMONTH(B173,1)&lt;=EOMONTH(Front!$C$4,0),EOMONTH(B173,1),""))</f>
        <v/>
      </c>
      <c r="C174" s="14" t="str">
        <f>IF(B174="","",INDEX(MutualFunds!$C$6:$O$244,MATCH(B174,MutualFunds!$B$6:$B$244,0),MATCH(Front!$C$2,MutualFunds!$C$4:$O$4,0)))</f>
        <v/>
      </c>
      <c r="D174" s="14" t="str">
        <f t="shared" si="2"/>
        <v/>
      </c>
      <c r="E174" s="14" t="e" cm="1">
        <f t="array" ref="E174">INDEX(Benchmarks!C$6:C$244,MATCH(SolverWork!$B174,MutualFunds!$B$6:$B$244,0),0)</f>
        <v>#N/A</v>
      </c>
      <c r="F174" s="14" t="e" cm="1">
        <f t="array" ref="F174">INDEX(Benchmarks!D$6:D$244,MATCH(SolverWork!$B174,MutualFunds!$B$6:$B$244,0),0)</f>
        <v>#N/A</v>
      </c>
      <c r="G174" s="14" t="e" cm="1">
        <f t="array" ref="G174">INDEX(Benchmarks!E$6:E$244,MATCH(SolverWork!$B174,MutualFunds!$B$6:$B$244,0),0)</f>
        <v>#N/A</v>
      </c>
      <c r="H174" s="14" t="e" cm="1">
        <f t="array" ref="H174">INDEX(Benchmarks!F$6:F$244,MATCH(SolverWork!$B174,MutualFunds!$B$6:$B$244,0),0)</f>
        <v>#N/A</v>
      </c>
      <c r="I174" s="14" t="e" cm="1">
        <f t="array" ref="I174">INDEX(Benchmarks!G$6:G$244,MATCH(SolverWork!$B174,MutualFunds!$B$6:$B$244,0),0)</f>
        <v>#N/A</v>
      </c>
      <c r="J174" s="14" t="e" cm="1">
        <f t="array" ref="J174">INDEX(Benchmarks!H$6:H$244,MATCH(SolverWork!$B174,MutualFunds!$B$6:$B$244,0),0)</f>
        <v>#N/A</v>
      </c>
      <c r="K174" s="14" t="e" cm="1">
        <f t="array" ref="K174">INDEX(Benchmarks!I$6:I$244,MATCH(SolverWork!$B174,MutualFunds!$B$6:$B$244,0),0)</f>
        <v>#N/A</v>
      </c>
      <c r="L174" s="14" t="e" cm="1">
        <f t="array" ref="L174">INDEX(Benchmarks!J$6:J$244,MATCH(SolverWork!$B174,MutualFunds!$B$6:$B$244,0),0)</f>
        <v>#N/A</v>
      </c>
      <c r="M174" s="14" t="e" cm="1">
        <f t="array" ref="M174">INDEX(Benchmarks!K$6:K$244,MATCH(SolverWork!$B174,MutualFunds!$B$6:$B$244,0),0)</f>
        <v>#N/A</v>
      </c>
      <c r="N174" s="14" t="e" cm="1">
        <f t="array" ref="N174">INDEX(Benchmarks!L$6:L$244,MATCH(SolverWork!$B174,MutualFunds!$B$6:$B$244,0),0)</f>
        <v>#N/A</v>
      </c>
      <c r="O174" s="14" t="e" cm="1">
        <f t="array" ref="O174">INDEX(Benchmarks!M$6:M$244,MATCH(SolverWork!$B174,MutualFunds!$B$6:$B$244,0),0)</f>
        <v>#N/A</v>
      </c>
      <c r="P174" s="14" t="e" cm="1">
        <f t="array" ref="P174">INDEX(Benchmarks!N$6:N$244,MATCH(SolverWork!$B174,MutualFunds!$B$6:$B$244,0),0)</f>
        <v>#N/A</v>
      </c>
      <c r="Q174" s="14" t="e" cm="1">
        <f t="array" ref="Q174">INDEX(Benchmarks!O$6:O$244,MATCH(SolverWork!$B174,MutualFunds!$B$6:$B$244,0),0)</f>
        <v>#N/A</v>
      </c>
      <c r="R174" s="14" t="e" cm="1">
        <f t="array" ref="R174">INDEX(Benchmarks!P$6:P$244,MATCH(SolverWork!$B174,MutualFunds!$B$6:$B$244,0),0)</f>
        <v>#N/A</v>
      </c>
      <c r="S174" s="14" t="e" cm="1">
        <f t="array" ref="S174">INDEX(Benchmarks!Q$6:Q$244,MATCH(SolverWork!$B174,MutualFunds!$B$6:$B$244,0),0)</f>
        <v>#N/A</v>
      </c>
      <c r="T174" s="14" t="e" cm="1">
        <f t="array" ref="T174">INDEX(Benchmarks!R$6:R$244,MATCH(SolverWork!$B174,MutualFunds!$B$6:$B$244,0),0)</f>
        <v>#N/A</v>
      </c>
    </row>
    <row r="175" spans="1:20" x14ac:dyDescent="0.2">
      <c r="A175">
        <v>165</v>
      </c>
      <c r="B175" s="28" t="str">
        <f>IF(B174="","",IF(EOMONTH(B174,1)&lt;=EOMONTH(Front!$C$4,0),EOMONTH(B174,1),""))</f>
        <v/>
      </c>
      <c r="C175" s="14" t="str">
        <f>IF(B175="","",INDEX(MutualFunds!$C$6:$O$244,MATCH(B175,MutualFunds!$B$6:$B$244,0),MATCH(Front!$C$2,MutualFunds!$C$4:$O$4,0)))</f>
        <v/>
      </c>
      <c r="D175" s="14" t="str">
        <f t="shared" si="2"/>
        <v/>
      </c>
      <c r="E175" s="14" t="e" cm="1">
        <f t="array" ref="E175">INDEX(Benchmarks!C$6:C$244,MATCH(SolverWork!$B175,MutualFunds!$B$6:$B$244,0),0)</f>
        <v>#N/A</v>
      </c>
      <c r="F175" s="14" t="e" cm="1">
        <f t="array" ref="F175">INDEX(Benchmarks!D$6:D$244,MATCH(SolverWork!$B175,MutualFunds!$B$6:$B$244,0),0)</f>
        <v>#N/A</v>
      </c>
      <c r="G175" s="14" t="e" cm="1">
        <f t="array" ref="G175">INDEX(Benchmarks!E$6:E$244,MATCH(SolverWork!$B175,MutualFunds!$B$6:$B$244,0),0)</f>
        <v>#N/A</v>
      </c>
      <c r="H175" s="14" t="e" cm="1">
        <f t="array" ref="H175">INDEX(Benchmarks!F$6:F$244,MATCH(SolverWork!$B175,MutualFunds!$B$6:$B$244,0),0)</f>
        <v>#N/A</v>
      </c>
      <c r="I175" s="14" t="e" cm="1">
        <f t="array" ref="I175">INDEX(Benchmarks!G$6:G$244,MATCH(SolverWork!$B175,MutualFunds!$B$6:$B$244,0),0)</f>
        <v>#N/A</v>
      </c>
      <c r="J175" s="14" t="e" cm="1">
        <f t="array" ref="J175">INDEX(Benchmarks!H$6:H$244,MATCH(SolverWork!$B175,MutualFunds!$B$6:$B$244,0),0)</f>
        <v>#N/A</v>
      </c>
      <c r="K175" s="14" t="e" cm="1">
        <f t="array" ref="K175">INDEX(Benchmarks!I$6:I$244,MATCH(SolverWork!$B175,MutualFunds!$B$6:$B$244,0),0)</f>
        <v>#N/A</v>
      </c>
      <c r="L175" s="14" t="e" cm="1">
        <f t="array" ref="L175">INDEX(Benchmarks!J$6:J$244,MATCH(SolverWork!$B175,MutualFunds!$B$6:$B$244,0),0)</f>
        <v>#N/A</v>
      </c>
      <c r="M175" s="14" t="e" cm="1">
        <f t="array" ref="M175">INDEX(Benchmarks!K$6:K$244,MATCH(SolverWork!$B175,MutualFunds!$B$6:$B$244,0),0)</f>
        <v>#N/A</v>
      </c>
      <c r="N175" s="14" t="e" cm="1">
        <f t="array" ref="N175">INDEX(Benchmarks!L$6:L$244,MATCH(SolverWork!$B175,MutualFunds!$B$6:$B$244,0),0)</f>
        <v>#N/A</v>
      </c>
      <c r="O175" s="14" t="e" cm="1">
        <f t="array" ref="O175">INDEX(Benchmarks!M$6:M$244,MATCH(SolverWork!$B175,MutualFunds!$B$6:$B$244,0),0)</f>
        <v>#N/A</v>
      </c>
      <c r="P175" s="14" t="e" cm="1">
        <f t="array" ref="P175">INDEX(Benchmarks!N$6:N$244,MATCH(SolverWork!$B175,MutualFunds!$B$6:$B$244,0),0)</f>
        <v>#N/A</v>
      </c>
      <c r="Q175" s="14" t="e" cm="1">
        <f t="array" ref="Q175">INDEX(Benchmarks!O$6:O$244,MATCH(SolverWork!$B175,MutualFunds!$B$6:$B$244,0),0)</f>
        <v>#N/A</v>
      </c>
      <c r="R175" s="14" t="e" cm="1">
        <f t="array" ref="R175">INDEX(Benchmarks!P$6:P$244,MATCH(SolverWork!$B175,MutualFunds!$B$6:$B$244,0),0)</f>
        <v>#N/A</v>
      </c>
      <c r="S175" s="14" t="e" cm="1">
        <f t="array" ref="S175">INDEX(Benchmarks!Q$6:Q$244,MATCH(SolverWork!$B175,MutualFunds!$B$6:$B$244,0),0)</f>
        <v>#N/A</v>
      </c>
      <c r="T175" s="14" t="e" cm="1">
        <f t="array" ref="T175">INDEX(Benchmarks!R$6:R$244,MATCH(SolverWork!$B175,MutualFunds!$B$6:$B$244,0),0)</f>
        <v>#N/A</v>
      </c>
    </row>
    <row r="176" spans="1:20" x14ac:dyDescent="0.2">
      <c r="A176">
        <v>166</v>
      </c>
      <c r="B176" s="28" t="str">
        <f>IF(B175="","",IF(EOMONTH(B175,1)&lt;=EOMONTH(Front!$C$4,0),EOMONTH(B175,1),""))</f>
        <v/>
      </c>
      <c r="C176" s="14" t="str">
        <f>IF(B176="","",INDEX(MutualFunds!$C$6:$O$244,MATCH(B176,MutualFunds!$B$6:$B$244,0),MATCH(Front!$C$2,MutualFunds!$C$4:$O$4,0)))</f>
        <v/>
      </c>
      <c r="D176" s="14" t="str">
        <f t="shared" si="2"/>
        <v/>
      </c>
      <c r="E176" s="14" t="e" cm="1">
        <f t="array" ref="E176">INDEX(Benchmarks!C$6:C$244,MATCH(SolverWork!$B176,MutualFunds!$B$6:$B$244,0),0)</f>
        <v>#N/A</v>
      </c>
      <c r="F176" s="14" t="e" cm="1">
        <f t="array" ref="F176">INDEX(Benchmarks!D$6:D$244,MATCH(SolverWork!$B176,MutualFunds!$B$6:$B$244,0),0)</f>
        <v>#N/A</v>
      </c>
      <c r="G176" s="14" t="e" cm="1">
        <f t="array" ref="G176">INDEX(Benchmarks!E$6:E$244,MATCH(SolverWork!$B176,MutualFunds!$B$6:$B$244,0),0)</f>
        <v>#N/A</v>
      </c>
      <c r="H176" s="14" t="e" cm="1">
        <f t="array" ref="H176">INDEX(Benchmarks!F$6:F$244,MATCH(SolverWork!$B176,MutualFunds!$B$6:$B$244,0),0)</f>
        <v>#N/A</v>
      </c>
      <c r="I176" s="14" t="e" cm="1">
        <f t="array" ref="I176">INDEX(Benchmarks!G$6:G$244,MATCH(SolverWork!$B176,MutualFunds!$B$6:$B$244,0),0)</f>
        <v>#N/A</v>
      </c>
      <c r="J176" s="14" t="e" cm="1">
        <f t="array" ref="J176">INDEX(Benchmarks!H$6:H$244,MATCH(SolverWork!$B176,MutualFunds!$B$6:$B$244,0),0)</f>
        <v>#N/A</v>
      </c>
      <c r="K176" s="14" t="e" cm="1">
        <f t="array" ref="K176">INDEX(Benchmarks!I$6:I$244,MATCH(SolverWork!$B176,MutualFunds!$B$6:$B$244,0),0)</f>
        <v>#N/A</v>
      </c>
      <c r="L176" s="14" t="e" cm="1">
        <f t="array" ref="L176">INDEX(Benchmarks!J$6:J$244,MATCH(SolverWork!$B176,MutualFunds!$B$6:$B$244,0),0)</f>
        <v>#N/A</v>
      </c>
      <c r="M176" s="14" t="e" cm="1">
        <f t="array" ref="M176">INDEX(Benchmarks!K$6:K$244,MATCH(SolverWork!$B176,MutualFunds!$B$6:$B$244,0),0)</f>
        <v>#N/A</v>
      </c>
      <c r="N176" s="14" t="e" cm="1">
        <f t="array" ref="N176">INDEX(Benchmarks!L$6:L$244,MATCH(SolverWork!$B176,MutualFunds!$B$6:$B$244,0),0)</f>
        <v>#N/A</v>
      </c>
      <c r="O176" s="14" t="e" cm="1">
        <f t="array" ref="O176">INDEX(Benchmarks!M$6:M$244,MATCH(SolverWork!$B176,MutualFunds!$B$6:$B$244,0),0)</f>
        <v>#N/A</v>
      </c>
      <c r="P176" s="14" t="e" cm="1">
        <f t="array" ref="P176">INDEX(Benchmarks!N$6:N$244,MATCH(SolverWork!$B176,MutualFunds!$B$6:$B$244,0),0)</f>
        <v>#N/A</v>
      </c>
      <c r="Q176" s="14" t="e" cm="1">
        <f t="array" ref="Q176">INDEX(Benchmarks!O$6:O$244,MATCH(SolverWork!$B176,MutualFunds!$B$6:$B$244,0),0)</f>
        <v>#N/A</v>
      </c>
      <c r="R176" s="14" t="e" cm="1">
        <f t="array" ref="R176">INDEX(Benchmarks!P$6:P$244,MATCH(SolverWork!$B176,MutualFunds!$B$6:$B$244,0),0)</f>
        <v>#N/A</v>
      </c>
      <c r="S176" s="14" t="e" cm="1">
        <f t="array" ref="S176">INDEX(Benchmarks!Q$6:Q$244,MATCH(SolverWork!$B176,MutualFunds!$B$6:$B$244,0),0)</f>
        <v>#N/A</v>
      </c>
      <c r="T176" s="14" t="e" cm="1">
        <f t="array" ref="T176">INDEX(Benchmarks!R$6:R$244,MATCH(SolverWork!$B176,MutualFunds!$B$6:$B$244,0),0)</f>
        <v>#N/A</v>
      </c>
    </row>
    <row r="177" spans="1:20" x14ac:dyDescent="0.2">
      <c r="A177">
        <v>167</v>
      </c>
      <c r="B177" s="28" t="str">
        <f>IF(B176="","",IF(EOMONTH(B176,1)&lt;=EOMONTH(Front!$C$4,0),EOMONTH(B176,1),""))</f>
        <v/>
      </c>
      <c r="C177" s="14" t="str">
        <f>IF(B177="","",INDEX(MutualFunds!$C$6:$O$244,MATCH(B177,MutualFunds!$B$6:$B$244,0),MATCH(Front!$C$2,MutualFunds!$C$4:$O$4,0)))</f>
        <v/>
      </c>
      <c r="D177" s="14" t="str">
        <f t="shared" si="2"/>
        <v/>
      </c>
      <c r="E177" s="14" t="e" cm="1">
        <f t="array" ref="E177">INDEX(Benchmarks!C$6:C$244,MATCH(SolverWork!$B177,MutualFunds!$B$6:$B$244,0),0)</f>
        <v>#N/A</v>
      </c>
      <c r="F177" s="14" t="e" cm="1">
        <f t="array" ref="F177">INDEX(Benchmarks!D$6:D$244,MATCH(SolverWork!$B177,MutualFunds!$B$6:$B$244,0),0)</f>
        <v>#N/A</v>
      </c>
      <c r="G177" s="14" t="e" cm="1">
        <f t="array" ref="G177">INDEX(Benchmarks!E$6:E$244,MATCH(SolverWork!$B177,MutualFunds!$B$6:$B$244,0),0)</f>
        <v>#N/A</v>
      </c>
      <c r="H177" s="14" t="e" cm="1">
        <f t="array" ref="H177">INDEX(Benchmarks!F$6:F$244,MATCH(SolverWork!$B177,MutualFunds!$B$6:$B$244,0),0)</f>
        <v>#N/A</v>
      </c>
      <c r="I177" s="14" t="e" cm="1">
        <f t="array" ref="I177">INDEX(Benchmarks!G$6:G$244,MATCH(SolverWork!$B177,MutualFunds!$B$6:$B$244,0),0)</f>
        <v>#N/A</v>
      </c>
      <c r="J177" s="14" t="e" cm="1">
        <f t="array" ref="J177">INDEX(Benchmarks!H$6:H$244,MATCH(SolverWork!$B177,MutualFunds!$B$6:$B$244,0),0)</f>
        <v>#N/A</v>
      </c>
      <c r="K177" s="14" t="e" cm="1">
        <f t="array" ref="K177">INDEX(Benchmarks!I$6:I$244,MATCH(SolverWork!$B177,MutualFunds!$B$6:$B$244,0),0)</f>
        <v>#N/A</v>
      </c>
      <c r="L177" s="14" t="e" cm="1">
        <f t="array" ref="L177">INDEX(Benchmarks!J$6:J$244,MATCH(SolverWork!$B177,MutualFunds!$B$6:$B$244,0),0)</f>
        <v>#N/A</v>
      </c>
      <c r="M177" s="14" t="e" cm="1">
        <f t="array" ref="M177">INDEX(Benchmarks!K$6:K$244,MATCH(SolverWork!$B177,MutualFunds!$B$6:$B$244,0),0)</f>
        <v>#N/A</v>
      </c>
      <c r="N177" s="14" t="e" cm="1">
        <f t="array" ref="N177">INDEX(Benchmarks!L$6:L$244,MATCH(SolverWork!$B177,MutualFunds!$B$6:$B$244,0),0)</f>
        <v>#N/A</v>
      </c>
      <c r="O177" s="14" t="e" cm="1">
        <f t="array" ref="O177">INDEX(Benchmarks!M$6:M$244,MATCH(SolverWork!$B177,MutualFunds!$B$6:$B$244,0),0)</f>
        <v>#N/A</v>
      </c>
      <c r="P177" s="14" t="e" cm="1">
        <f t="array" ref="P177">INDEX(Benchmarks!N$6:N$244,MATCH(SolverWork!$B177,MutualFunds!$B$6:$B$244,0),0)</f>
        <v>#N/A</v>
      </c>
      <c r="Q177" s="14" t="e" cm="1">
        <f t="array" ref="Q177">INDEX(Benchmarks!O$6:O$244,MATCH(SolverWork!$B177,MutualFunds!$B$6:$B$244,0),0)</f>
        <v>#N/A</v>
      </c>
      <c r="R177" s="14" t="e" cm="1">
        <f t="array" ref="R177">INDEX(Benchmarks!P$6:P$244,MATCH(SolverWork!$B177,MutualFunds!$B$6:$B$244,0),0)</f>
        <v>#N/A</v>
      </c>
      <c r="S177" s="14" t="e" cm="1">
        <f t="array" ref="S177">INDEX(Benchmarks!Q$6:Q$244,MATCH(SolverWork!$B177,MutualFunds!$B$6:$B$244,0),0)</f>
        <v>#N/A</v>
      </c>
      <c r="T177" s="14" t="e" cm="1">
        <f t="array" ref="T177">INDEX(Benchmarks!R$6:R$244,MATCH(SolverWork!$B177,MutualFunds!$B$6:$B$244,0),0)</f>
        <v>#N/A</v>
      </c>
    </row>
    <row r="178" spans="1:20" x14ac:dyDescent="0.2">
      <c r="A178">
        <v>168</v>
      </c>
      <c r="B178" s="28" t="str">
        <f>IF(B177="","",IF(EOMONTH(B177,1)&lt;=EOMONTH(Front!$C$4,0),EOMONTH(B177,1),""))</f>
        <v/>
      </c>
      <c r="C178" s="14" t="str">
        <f>IF(B178="","",INDEX(MutualFunds!$C$6:$O$244,MATCH(B178,MutualFunds!$B$6:$B$244,0),MATCH(Front!$C$2,MutualFunds!$C$4:$O$4,0)))</f>
        <v/>
      </c>
      <c r="D178" s="14" t="str">
        <f t="shared" si="2"/>
        <v/>
      </c>
      <c r="E178" s="14" t="e" cm="1">
        <f t="array" ref="E178">INDEX(Benchmarks!C$6:C$244,MATCH(SolverWork!$B178,MutualFunds!$B$6:$B$244,0),0)</f>
        <v>#N/A</v>
      </c>
      <c r="F178" s="14" t="e" cm="1">
        <f t="array" ref="F178">INDEX(Benchmarks!D$6:D$244,MATCH(SolverWork!$B178,MutualFunds!$B$6:$B$244,0),0)</f>
        <v>#N/A</v>
      </c>
      <c r="G178" s="14" t="e" cm="1">
        <f t="array" ref="G178">INDEX(Benchmarks!E$6:E$244,MATCH(SolverWork!$B178,MutualFunds!$B$6:$B$244,0),0)</f>
        <v>#N/A</v>
      </c>
      <c r="H178" s="14" t="e" cm="1">
        <f t="array" ref="H178">INDEX(Benchmarks!F$6:F$244,MATCH(SolverWork!$B178,MutualFunds!$B$6:$B$244,0),0)</f>
        <v>#N/A</v>
      </c>
      <c r="I178" s="14" t="e" cm="1">
        <f t="array" ref="I178">INDEX(Benchmarks!G$6:G$244,MATCH(SolverWork!$B178,MutualFunds!$B$6:$B$244,0),0)</f>
        <v>#N/A</v>
      </c>
      <c r="J178" s="14" t="e" cm="1">
        <f t="array" ref="J178">INDEX(Benchmarks!H$6:H$244,MATCH(SolverWork!$B178,MutualFunds!$B$6:$B$244,0),0)</f>
        <v>#N/A</v>
      </c>
      <c r="K178" s="14" t="e" cm="1">
        <f t="array" ref="K178">INDEX(Benchmarks!I$6:I$244,MATCH(SolverWork!$B178,MutualFunds!$B$6:$B$244,0),0)</f>
        <v>#N/A</v>
      </c>
      <c r="L178" s="14" t="e" cm="1">
        <f t="array" ref="L178">INDEX(Benchmarks!J$6:J$244,MATCH(SolverWork!$B178,MutualFunds!$B$6:$B$244,0),0)</f>
        <v>#N/A</v>
      </c>
      <c r="M178" s="14" t="e" cm="1">
        <f t="array" ref="M178">INDEX(Benchmarks!K$6:K$244,MATCH(SolverWork!$B178,MutualFunds!$B$6:$B$244,0),0)</f>
        <v>#N/A</v>
      </c>
      <c r="N178" s="14" t="e" cm="1">
        <f t="array" ref="N178">INDEX(Benchmarks!L$6:L$244,MATCH(SolverWork!$B178,MutualFunds!$B$6:$B$244,0),0)</f>
        <v>#N/A</v>
      </c>
      <c r="O178" s="14" t="e" cm="1">
        <f t="array" ref="O178">INDEX(Benchmarks!M$6:M$244,MATCH(SolverWork!$B178,MutualFunds!$B$6:$B$244,0),0)</f>
        <v>#N/A</v>
      </c>
      <c r="P178" s="14" t="e" cm="1">
        <f t="array" ref="P178">INDEX(Benchmarks!N$6:N$244,MATCH(SolverWork!$B178,MutualFunds!$B$6:$B$244,0),0)</f>
        <v>#N/A</v>
      </c>
      <c r="Q178" s="14" t="e" cm="1">
        <f t="array" ref="Q178">INDEX(Benchmarks!O$6:O$244,MATCH(SolverWork!$B178,MutualFunds!$B$6:$B$244,0),0)</f>
        <v>#N/A</v>
      </c>
      <c r="R178" s="14" t="e" cm="1">
        <f t="array" ref="R178">INDEX(Benchmarks!P$6:P$244,MATCH(SolverWork!$B178,MutualFunds!$B$6:$B$244,0),0)</f>
        <v>#N/A</v>
      </c>
      <c r="S178" s="14" t="e" cm="1">
        <f t="array" ref="S178">INDEX(Benchmarks!Q$6:Q$244,MATCH(SolverWork!$B178,MutualFunds!$B$6:$B$244,0),0)</f>
        <v>#N/A</v>
      </c>
      <c r="T178" s="14" t="e" cm="1">
        <f t="array" ref="T178">INDEX(Benchmarks!R$6:R$244,MATCH(SolverWork!$B178,MutualFunds!$B$6:$B$244,0),0)</f>
        <v>#N/A</v>
      </c>
    </row>
    <row r="179" spans="1:20" x14ac:dyDescent="0.2">
      <c r="A179">
        <v>169</v>
      </c>
      <c r="B179" s="28" t="str">
        <f>IF(B178="","",IF(EOMONTH(B178,1)&lt;=EOMONTH(Front!$C$4,0),EOMONTH(B178,1),""))</f>
        <v/>
      </c>
      <c r="C179" s="14" t="str">
        <f>IF(B179="","",INDEX(MutualFunds!$C$6:$O$244,MATCH(B179,MutualFunds!$B$6:$B$244,0),MATCH(Front!$C$2,MutualFunds!$C$4:$O$4,0)))</f>
        <v/>
      </c>
      <c r="D179" s="14" t="str">
        <f t="shared" si="2"/>
        <v/>
      </c>
      <c r="E179" s="14" t="e" cm="1">
        <f t="array" ref="E179">INDEX(Benchmarks!C$6:C$244,MATCH(SolverWork!$B179,MutualFunds!$B$6:$B$244,0),0)</f>
        <v>#N/A</v>
      </c>
      <c r="F179" s="14" t="e" cm="1">
        <f t="array" ref="F179">INDEX(Benchmarks!D$6:D$244,MATCH(SolverWork!$B179,MutualFunds!$B$6:$B$244,0),0)</f>
        <v>#N/A</v>
      </c>
      <c r="G179" s="14" t="e" cm="1">
        <f t="array" ref="G179">INDEX(Benchmarks!E$6:E$244,MATCH(SolverWork!$B179,MutualFunds!$B$6:$B$244,0),0)</f>
        <v>#N/A</v>
      </c>
      <c r="H179" s="14" t="e" cm="1">
        <f t="array" ref="H179">INDEX(Benchmarks!F$6:F$244,MATCH(SolverWork!$B179,MutualFunds!$B$6:$B$244,0),0)</f>
        <v>#N/A</v>
      </c>
      <c r="I179" s="14" t="e" cm="1">
        <f t="array" ref="I179">INDEX(Benchmarks!G$6:G$244,MATCH(SolverWork!$B179,MutualFunds!$B$6:$B$244,0),0)</f>
        <v>#N/A</v>
      </c>
      <c r="J179" s="14" t="e" cm="1">
        <f t="array" ref="J179">INDEX(Benchmarks!H$6:H$244,MATCH(SolverWork!$B179,MutualFunds!$B$6:$B$244,0),0)</f>
        <v>#N/A</v>
      </c>
      <c r="K179" s="14" t="e" cm="1">
        <f t="array" ref="K179">INDEX(Benchmarks!I$6:I$244,MATCH(SolverWork!$B179,MutualFunds!$B$6:$B$244,0),0)</f>
        <v>#N/A</v>
      </c>
      <c r="L179" s="14" t="e" cm="1">
        <f t="array" ref="L179">INDEX(Benchmarks!J$6:J$244,MATCH(SolverWork!$B179,MutualFunds!$B$6:$B$244,0),0)</f>
        <v>#N/A</v>
      </c>
      <c r="M179" s="14" t="e" cm="1">
        <f t="array" ref="M179">INDEX(Benchmarks!K$6:K$244,MATCH(SolverWork!$B179,MutualFunds!$B$6:$B$244,0),0)</f>
        <v>#N/A</v>
      </c>
      <c r="N179" s="14" t="e" cm="1">
        <f t="array" ref="N179">INDEX(Benchmarks!L$6:L$244,MATCH(SolverWork!$B179,MutualFunds!$B$6:$B$244,0),0)</f>
        <v>#N/A</v>
      </c>
      <c r="O179" s="14" t="e" cm="1">
        <f t="array" ref="O179">INDEX(Benchmarks!M$6:M$244,MATCH(SolverWork!$B179,MutualFunds!$B$6:$B$244,0),0)</f>
        <v>#N/A</v>
      </c>
      <c r="P179" s="14" t="e" cm="1">
        <f t="array" ref="P179">INDEX(Benchmarks!N$6:N$244,MATCH(SolverWork!$B179,MutualFunds!$B$6:$B$244,0),0)</f>
        <v>#N/A</v>
      </c>
      <c r="Q179" s="14" t="e" cm="1">
        <f t="array" ref="Q179">INDEX(Benchmarks!O$6:O$244,MATCH(SolverWork!$B179,MutualFunds!$B$6:$B$244,0),0)</f>
        <v>#N/A</v>
      </c>
      <c r="R179" s="14" t="e" cm="1">
        <f t="array" ref="R179">INDEX(Benchmarks!P$6:P$244,MATCH(SolverWork!$B179,MutualFunds!$B$6:$B$244,0),0)</f>
        <v>#N/A</v>
      </c>
      <c r="S179" s="14" t="e" cm="1">
        <f t="array" ref="S179">INDEX(Benchmarks!Q$6:Q$244,MATCH(SolverWork!$B179,MutualFunds!$B$6:$B$244,0),0)</f>
        <v>#N/A</v>
      </c>
      <c r="T179" s="14" t="e" cm="1">
        <f t="array" ref="T179">INDEX(Benchmarks!R$6:R$244,MATCH(SolverWork!$B179,MutualFunds!$B$6:$B$244,0),0)</f>
        <v>#N/A</v>
      </c>
    </row>
    <row r="180" spans="1:20" x14ac:dyDescent="0.2">
      <c r="A180">
        <v>170</v>
      </c>
      <c r="B180" s="28" t="str">
        <f>IF(B179="","",IF(EOMONTH(B179,1)&lt;=EOMONTH(Front!$C$4,0),EOMONTH(B179,1),""))</f>
        <v/>
      </c>
      <c r="C180" s="14" t="str">
        <f>IF(B180="","",INDEX(MutualFunds!$C$6:$O$244,MATCH(B180,MutualFunds!$B$6:$B$244,0),MATCH(Front!$C$2,MutualFunds!$C$4:$O$4,0)))</f>
        <v/>
      </c>
      <c r="D180" s="14" t="str">
        <f t="shared" si="2"/>
        <v/>
      </c>
      <c r="E180" s="14" t="e" cm="1">
        <f t="array" ref="E180">INDEX(Benchmarks!C$6:C$244,MATCH(SolverWork!$B180,MutualFunds!$B$6:$B$244,0),0)</f>
        <v>#N/A</v>
      </c>
      <c r="F180" s="14" t="e" cm="1">
        <f t="array" ref="F180">INDEX(Benchmarks!D$6:D$244,MATCH(SolverWork!$B180,MutualFunds!$B$6:$B$244,0),0)</f>
        <v>#N/A</v>
      </c>
      <c r="G180" s="14" t="e" cm="1">
        <f t="array" ref="G180">INDEX(Benchmarks!E$6:E$244,MATCH(SolverWork!$B180,MutualFunds!$B$6:$B$244,0),0)</f>
        <v>#N/A</v>
      </c>
      <c r="H180" s="14" t="e" cm="1">
        <f t="array" ref="H180">INDEX(Benchmarks!F$6:F$244,MATCH(SolverWork!$B180,MutualFunds!$B$6:$B$244,0),0)</f>
        <v>#N/A</v>
      </c>
      <c r="I180" s="14" t="e" cm="1">
        <f t="array" ref="I180">INDEX(Benchmarks!G$6:G$244,MATCH(SolverWork!$B180,MutualFunds!$B$6:$B$244,0),0)</f>
        <v>#N/A</v>
      </c>
      <c r="J180" s="14" t="e" cm="1">
        <f t="array" ref="J180">INDEX(Benchmarks!H$6:H$244,MATCH(SolverWork!$B180,MutualFunds!$B$6:$B$244,0),0)</f>
        <v>#N/A</v>
      </c>
      <c r="K180" s="14" t="e" cm="1">
        <f t="array" ref="K180">INDEX(Benchmarks!I$6:I$244,MATCH(SolverWork!$B180,MutualFunds!$B$6:$B$244,0),0)</f>
        <v>#N/A</v>
      </c>
      <c r="L180" s="14" t="e" cm="1">
        <f t="array" ref="L180">INDEX(Benchmarks!J$6:J$244,MATCH(SolverWork!$B180,MutualFunds!$B$6:$B$244,0),0)</f>
        <v>#N/A</v>
      </c>
      <c r="M180" s="14" t="e" cm="1">
        <f t="array" ref="M180">INDEX(Benchmarks!K$6:K$244,MATCH(SolverWork!$B180,MutualFunds!$B$6:$B$244,0),0)</f>
        <v>#N/A</v>
      </c>
      <c r="N180" s="14" t="e" cm="1">
        <f t="array" ref="N180">INDEX(Benchmarks!L$6:L$244,MATCH(SolverWork!$B180,MutualFunds!$B$6:$B$244,0),0)</f>
        <v>#N/A</v>
      </c>
      <c r="O180" s="14" t="e" cm="1">
        <f t="array" ref="O180">INDEX(Benchmarks!M$6:M$244,MATCH(SolverWork!$B180,MutualFunds!$B$6:$B$244,0),0)</f>
        <v>#N/A</v>
      </c>
      <c r="P180" s="14" t="e" cm="1">
        <f t="array" ref="P180">INDEX(Benchmarks!N$6:N$244,MATCH(SolverWork!$B180,MutualFunds!$B$6:$B$244,0),0)</f>
        <v>#N/A</v>
      </c>
      <c r="Q180" s="14" t="e" cm="1">
        <f t="array" ref="Q180">INDEX(Benchmarks!O$6:O$244,MATCH(SolverWork!$B180,MutualFunds!$B$6:$B$244,0),0)</f>
        <v>#N/A</v>
      </c>
      <c r="R180" s="14" t="e" cm="1">
        <f t="array" ref="R180">INDEX(Benchmarks!P$6:P$244,MATCH(SolverWork!$B180,MutualFunds!$B$6:$B$244,0),0)</f>
        <v>#N/A</v>
      </c>
      <c r="S180" s="14" t="e" cm="1">
        <f t="array" ref="S180">INDEX(Benchmarks!Q$6:Q$244,MATCH(SolverWork!$B180,MutualFunds!$B$6:$B$244,0),0)</f>
        <v>#N/A</v>
      </c>
      <c r="T180" s="14" t="e" cm="1">
        <f t="array" ref="T180">INDEX(Benchmarks!R$6:R$244,MATCH(SolverWork!$B180,MutualFunds!$B$6:$B$244,0),0)</f>
        <v>#N/A</v>
      </c>
    </row>
    <row r="181" spans="1:20" x14ac:dyDescent="0.2">
      <c r="A181">
        <v>171</v>
      </c>
      <c r="B181" s="28" t="str">
        <f>IF(B180="","",IF(EOMONTH(B180,1)&lt;=EOMONTH(Front!$C$4,0),EOMONTH(B180,1),""))</f>
        <v/>
      </c>
      <c r="C181" s="14" t="str">
        <f>IF(B181="","",INDEX(MutualFunds!$C$6:$O$244,MATCH(B181,MutualFunds!$B$6:$B$244,0),MATCH(Front!$C$2,MutualFunds!$C$4:$O$4,0)))</f>
        <v/>
      </c>
      <c r="D181" s="14" t="str">
        <f t="shared" si="2"/>
        <v/>
      </c>
      <c r="E181" s="14" t="e" cm="1">
        <f t="array" ref="E181">INDEX(Benchmarks!C$6:C$244,MATCH(SolverWork!$B181,MutualFunds!$B$6:$B$244,0),0)</f>
        <v>#N/A</v>
      </c>
      <c r="F181" s="14" t="e" cm="1">
        <f t="array" ref="F181">INDEX(Benchmarks!D$6:D$244,MATCH(SolverWork!$B181,MutualFunds!$B$6:$B$244,0),0)</f>
        <v>#N/A</v>
      </c>
      <c r="G181" s="14" t="e" cm="1">
        <f t="array" ref="G181">INDEX(Benchmarks!E$6:E$244,MATCH(SolverWork!$B181,MutualFunds!$B$6:$B$244,0),0)</f>
        <v>#N/A</v>
      </c>
      <c r="H181" s="14" t="e" cm="1">
        <f t="array" ref="H181">INDEX(Benchmarks!F$6:F$244,MATCH(SolverWork!$B181,MutualFunds!$B$6:$B$244,0),0)</f>
        <v>#N/A</v>
      </c>
      <c r="I181" s="14" t="e" cm="1">
        <f t="array" ref="I181">INDEX(Benchmarks!G$6:G$244,MATCH(SolverWork!$B181,MutualFunds!$B$6:$B$244,0),0)</f>
        <v>#N/A</v>
      </c>
      <c r="J181" s="14" t="e" cm="1">
        <f t="array" ref="J181">INDEX(Benchmarks!H$6:H$244,MATCH(SolverWork!$B181,MutualFunds!$B$6:$B$244,0),0)</f>
        <v>#N/A</v>
      </c>
      <c r="K181" s="14" t="e" cm="1">
        <f t="array" ref="K181">INDEX(Benchmarks!I$6:I$244,MATCH(SolverWork!$B181,MutualFunds!$B$6:$B$244,0),0)</f>
        <v>#N/A</v>
      </c>
      <c r="L181" s="14" t="e" cm="1">
        <f t="array" ref="L181">INDEX(Benchmarks!J$6:J$244,MATCH(SolverWork!$B181,MutualFunds!$B$6:$B$244,0),0)</f>
        <v>#N/A</v>
      </c>
      <c r="M181" s="14" t="e" cm="1">
        <f t="array" ref="M181">INDEX(Benchmarks!K$6:K$244,MATCH(SolverWork!$B181,MutualFunds!$B$6:$B$244,0),0)</f>
        <v>#N/A</v>
      </c>
      <c r="N181" s="14" t="e" cm="1">
        <f t="array" ref="N181">INDEX(Benchmarks!L$6:L$244,MATCH(SolverWork!$B181,MutualFunds!$B$6:$B$244,0),0)</f>
        <v>#N/A</v>
      </c>
      <c r="O181" s="14" t="e" cm="1">
        <f t="array" ref="O181">INDEX(Benchmarks!M$6:M$244,MATCH(SolverWork!$B181,MutualFunds!$B$6:$B$244,0),0)</f>
        <v>#N/A</v>
      </c>
      <c r="P181" s="14" t="e" cm="1">
        <f t="array" ref="P181">INDEX(Benchmarks!N$6:N$244,MATCH(SolverWork!$B181,MutualFunds!$B$6:$B$244,0),0)</f>
        <v>#N/A</v>
      </c>
      <c r="Q181" s="14" t="e" cm="1">
        <f t="array" ref="Q181">INDEX(Benchmarks!O$6:O$244,MATCH(SolverWork!$B181,MutualFunds!$B$6:$B$244,0),0)</f>
        <v>#N/A</v>
      </c>
      <c r="R181" s="14" t="e" cm="1">
        <f t="array" ref="R181">INDEX(Benchmarks!P$6:P$244,MATCH(SolverWork!$B181,MutualFunds!$B$6:$B$244,0),0)</f>
        <v>#N/A</v>
      </c>
      <c r="S181" s="14" t="e" cm="1">
        <f t="array" ref="S181">INDEX(Benchmarks!Q$6:Q$244,MATCH(SolverWork!$B181,MutualFunds!$B$6:$B$244,0),0)</f>
        <v>#N/A</v>
      </c>
      <c r="T181" s="14" t="e" cm="1">
        <f t="array" ref="T181">INDEX(Benchmarks!R$6:R$244,MATCH(SolverWork!$B181,MutualFunds!$B$6:$B$244,0),0)</f>
        <v>#N/A</v>
      </c>
    </row>
    <row r="182" spans="1:20" x14ac:dyDescent="0.2">
      <c r="A182">
        <v>172</v>
      </c>
      <c r="B182" s="28" t="str">
        <f>IF(B181="","",IF(EOMONTH(B181,1)&lt;=EOMONTH(Front!$C$4,0),EOMONTH(B181,1),""))</f>
        <v/>
      </c>
      <c r="C182" s="14" t="str">
        <f>IF(B182="","",INDEX(MutualFunds!$C$6:$O$244,MATCH(B182,MutualFunds!$B$6:$B$244,0),MATCH(Front!$C$2,MutualFunds!$C$4:$O$4,0)))</f>
        <v/>
      </c>
      <c r="D182" s="14" t="str">
        <f t="shared" si="2"/>
        <v/>
      </c>
      <c r="E182" s="14" t="e" cm="1">
        <f t="array" ref="E182">INDEX(Benchmarks!C$6:C$244,MATCH(SolverWork!$B182,MutualFunds!$B$6:$B$244,0),0)</f>
        <v>#N/A</v>
      </c>
      <c r="F182" s="14" t="e" cm="1">
        <f t="array" ref="F182">INDEX(Benchmarks!D$6:D$244,MATCH(SolverWork!$B182,MutualFunds!$B$6:$B$244,0),0)</f>
        <v>#N/A</v>
      </c>
      <c r="G182" s="14" t="e" cm="1">
        <f t="array" ref="G182">INDEX(Benchmarks!E$6:E$244,MATCH(SolverWork!$B182,MutualFunds!$B$6:$B$244,0),0)</f>
        <v>#N/A</v>
      </c>
      <c r="H182" s="14" t="e" cm="1">
        <f t="array" ref="H182">INDEX(Benchmarks!F$6:F$244,MATCH(SolverWork!$B182,MutualFunds!$B$6:$B$244,0),0)</f>
        <v>#N/A</v>
      </c>
      <c r="I182" s="14" t="e" cm="1">
        <f t="array" ref="I182">INDEX(Benchmarks!G$6:G$244,MATCH(SolverWork!$B182,MutualFunds!$B$6:$B$244,0),0)</f>
        <v>#N/A</v>
      </c>
      <c r="J182" s="14" t="e" cm="1">
        <f t="array" ref="J182">INDEX(Benchmarks!H$6:H$244,MATCH(SolverWork!$B182,MutualFunds!$B$6:$B$244,0),0)</f>
        <v>#N/A</v>
      </c>
      <c r="K182" s="14" t="e" cm="1">
        <f t="array" ref="K182">INDEX(Benchmarks!I$6:I$244,MATCH(SolverWork!$B182,MutualFunds!$B$6:$B$244,0),0)</f>
        <v>#N/A</v>
      </c>
      <c r="L182" s="14" t="e" cm="1">
        <f t="array" ref="L182">INDEX(Benchmarks!J$6:J$244,MATCH(SolverWork!$B182,MutualFunds!$B$6:$B$244,0),0)</f>
        <v>#N/A</v>
      </c>
      <c r="M182" s="14" t="e" cm="1">
        <f t="array" ref="M182">INDEX(Benchmarks!K$6:K$244,MATCH(SolverWork!$B182,MutualFunds!$B$6:$B$244,0),0)</f>
        <v>#N/A</v>
      </c>
      <c r="N182" s="14" t="e" cm="1">
        <f t="array" ref="N182">INDEX(Benchmarks!L$6:L$244,MATCH(SolverWork!$B182,MutualFunds!$B$6:$B$244,0),0)</f>
        <v>#N/A</v>
      </c>
      <c r="O182" s="14" t="e" cm="1">
        <f t="array" ref="O182">INDEX(Benchmarks!M$6:M$244,MATCH(SolverWork!$B182,MutualFunds!$B$6:$B$244,0),0)</f>
        <v>#N/A</v>
      </c>
      <c r="P182" s="14" t="e" cm="1">
        <f t="array" ref="P182">INDEX(Benchmarks!N$6:N$244,MATCH(SolverWork!$B182,MutualFunds!$B$6:$B$244,0),0)</f>
        <v>#N/A</v>
      </c>
      <c r="Q182" s="14" t="e" cm="1">
        <f t="array" ref="Q182">INDEX(Benchmarks!O$6:O$244,MATCH(SolverWork!$B182,MutualFunds!$B$6:$B$244,0),0)</f>
        <v>#N/A</v>
      </c>
      <c r="R182" s="14" t="e" cm="1">
        <f t="array" ref="R182">INDEX(Benchmarks!P$6:P$244,MATCH(SolverWork!$B182,MutualFunds!$B$6:$B$244,0),0)</f>
        <v>#N/A</v>
      </c>
      <c r="S182" s="14" t="e" cm="1">
        <f t="array" ref="S182">INDEX(Benchmarks!Q$6:Q$244,MATCH(SolverWork!$B182,MutualFunds!$B$6:$B$244,0),0)</f>
        <v>#N/A</v>
      </c>
      <c r="T182" s="14" t="e" cm="1">
        <f t="array" ref="T182">INDEX(Benchmarks!R$6:R$244,MATCH(SolverWork!$B182,MutualFunds!$B$6:$B$244,0),0)</f>
        <v>#N/A</v>
      </c>
    </row>
    <row r="183" spans="1:20" x14ac:dyDescent="0.2">
      <c r="A183">
        <v>173</v>
      </c>
      <c r="B183" s="28" t="str">
        <f>IF(B182="","",IF(EOMONTH(B182,1)&lt;=EOMONTH(Front!$C$4,0),EOMONTH(B182,1),""))</f>
        <v/>
      </c>
      <c r="C183" s="14" t="str">
        <f>IF(B183="","",INDEX(MutualFunds!$C$6:$O$244,MATCH(B183,MutualFunds!$B$6:$B$244,0),MATCH(Front!$C$2,MutualFunds!$C$4:$O$4,0)))</f>
        <v/>
      </c>
      <c r="D183" s="14" t="str">
        <f t="shared" si="2"/>
        <v/>
      </c>
      <c r="E183" s="14" t="e" cm="1">
        <f t="array" ref="E183">INDEX(Benchmarks!C$6:C$244,MATCH(SolverWork!$B183,MutualFunds!$B$6:$B$244,0),0)</f>
        <v>#N/A</v>
      </c>
      <c r="F183" s="14" t="e" cm="1">
        <f t="array" ref="F183">INDEX(Benchmarks!D$6:D$244,MATCH(SolverWork!$B183,MutualFunds!$B$6:$B$244,0),0)</f>
        <v>#N/A</v>
      </c>
      <c r="G183" s="14" t="e" cm="1">
        <f t="array" ref="G183">INDEX(Benchmarks!E$6:E$244,MATCH(SolverWork!$B183,MutualFunds!$B$6:$B$244,0),0)</f>
        <v>#N/A</v>
      </c>
      <c r="H183" s="14" t="e" cm="1">
        <f t="array" ref="H183">INDEX(Benchmarks!F$6:F$244,MATCH(SolverWork!$B183,MutualFunds!$B$6:$B$244,0),0)</f>
        <v>#N/A</v>
      </c>
      <c r="I183" s="14" t="e" cm="1">
        <f t="array" ref="I183">INDEX(Benchmarks!G$6:G$244,MATCH(SolverWork!$B183,MutualFunds!$B$6:$B$244,0),0)</f>
        <v>#N/A</v>
      </c>
      <c r="J183" s="14" t="e" cm="1">
        <f t="array" ref="J183">INDEX(Benchmarks!H$6:H$244,MATCH(SolverWork!$B183,MutualFunds!$B$6:$B$244,0),0)</f>
        <v>#N/A</v>
      </c>
      <c r="K183" s="14" t="e" cm="1">
        <f t="array" ref="K183">INDEX(Benchmarks!I$6:I$244,MATCH(SolverWork!$B183,MutualFunds!$B$6:$B$244,0),0)</f>
        <v>#N/A</v>
      </c>
      <c r="L183" s="14" t="e" cm="1">
        <f t="array" ref="L183">INDEX(Benchmarks!J$6:J$244,MATCH(SolverWork!$B183,MutualFunds!$B$6:$B$244,0),0)</f>
        <v>#N/A</v>
      </c>
      <c r="M183" s="14" t="e" cm="1">
        <f t="array" ref="M183">INDEX(Benchmarks!K$6:K$244,MATCH(SolverWork!$B183,MutualFunds!$B$6:$B$244,0),0)</f>
        <v>#N/A</v>
      </c>
      <c r="N183" s="14" t="e" cm="1">
        <f t="array" ref="N183">INDEX(Benchmarks!L$6:L$244,MATCH(SolverWork!$B183,MutualFunds!$B$6:$B$244,0),0)</f>
        <v>#N/A</v>
      </c>
      <c r="O183" s="14" t="e" cm="1">
        <f t="array" ref="O183">INDEX(Benchmarks!M$6:M$244,MATCH(SolverWork!$B183,MutualFunds!$B$6:$B$244,0),0)</f>
        <v>#N/A</v>
      </c>
      <c r="P183" s="14" t="e" cm="1">
        <f t="array" ref="P183">INDEX(Benchmarks!N$6:N$244,MATCH(SolverWork!$B183,MutualFunds!$B$6:$B$244,0),0)</f>
        <v>#N/A</v>
      </c>
      <c r="Q183" s="14" t="e" cm="1">
        <f t="array" ref="Q183">INDEX(Benchmarks!O$6:O$244,MATCH(SolverWork!$B183,MutualFunds!$B$6:$B$244,0),0)</f>
        <v>#N/A</v>
      </c>
      <c r="R183" s="14" t="e" cm="1">
        <f t="array" ref="R183">INDEX(Benchmarks!P$6:P$244,MATCH(SolverWork!$B183,MutualFunds!$B$6:$B$244,0),0)</f>
        <v>#N/A</v>
      </c>
      <c r="S183" s="14" t="e" cm="1">
        <f t="array" ref="S183">INDEX(Benchmarks!Q$6:Q$244,MATCH(SolverWork!$B183,MutualFunds!$B$6:$B$244,0),0)</f>
        <v>#N/A</v>
      </c>
      <c r="T183" s="14" t="e" cm="1">
        <f t="array" ref="T183">INDEX(Benchmarks!R$6:R$244,MATCH(SolverWork!$B183,MutualFunds!$B$6:$B$244,0),0)</f>
        <v>#N/A</v>
      </c>
    </row>
    <row r="184" spans="1:20" x14ac:dyDescent="0.2">
      <c r="A184">
        <v>174</v>
      </c>
      <c r="B184" s="28" t="str">
        <f>IF(B183="","",IF(EOMONTH(B183,1)&lt;=EOMONTH(Front!$C$4,0),EOMONTH(B183,1),""))</f>
        <v/>
      </c>
      <c r="C184" s="14" t="str">
        <f>IF(B184="","",INDEX(MutualFunds!$C$6:$O$244,MATCH(B184,MutualFunds!$B$6:$B$244,0),MATCH(Front!$C$2,MutualFunds!$C$4:$O$4,0)))</f>
        <v/>
      </c>
      <c r="D184" s="14" t="str">
        <f t="shared" si="2"/>
        <v/>
      </c>
      <c r="E184" s="14" t="e" cm="1">
        <f t="array" ref="E184">INDEX(Benchmarks!C$6:C$244,MATCH(SolverWork!$B184,MutualFunds!$B$6:$B$244,0),0)</f>
        <v>#N/A</v>
      </c>
      <c r="F184" s="14" t="e" cm="1">
        <f t="array" ref="F184">INDEX(Benchmarks!D$6:D$244,MATCH(SolverWork!$B184,MutualFunds!$B$6:$B$244,0),0)</f>
        <v>#N/A</v>
      </c>
      <c r="G184" s="14" t="e" cm="1">
        <f t="array" ref="G184">INDEX(Benchmarks!E$6:E$244,MATCH(SolverWork!$B184,MutualFunds!$B$6:$B$244,0),0)</f>
        <v>#N/A</v>
      </c>
      <c r="H184" s="14" t="e" cm="1">
        <f t="array" ref="H184">INDEX(Benchmarks!F$6:F$244,MATCH(SolverWork!$B184,MutualFunds!$B$6:$B$244,0),0)</f>
        <v>#N/A</v>
      </c>
      <c r="I184" s="14" t="e" cm="1">
        <f t="array" ref="I184">INDEX(Benchmarks!G$6:G$244,MATCH(SolverWork!$B184,MutualFunds!$B$6:$B$244,0),0)</f>
        <v>#N/A</v>
      </c>
      <c r="J184" s="14" t="e" cm="1">
        <f t="array" ref="J184">INDEX(Benchmarks!H$6:H$244,MATCH(SolverWork!$B184,MutualFunds!$B$6:$B$244,0),0)</f>
        <v>#N/A</v>
      </c>
      <c r="K184" s="14" t="e" cm="1">
        <f t="array" ref="K184">INDEX(Benchmarks!I$6:I$244,MATCH(SolverWork!$B184,MutualFunds!$B$6:$B$244,0),0)</f>
        <v>#N/A</v>
      </c>
      <c r="L184" s="14" t="e" cm="1">
        <f t="array" ref="L184">INDEX(Benchmarks!J$6:J$244,MATCH(SolverWork!$B184,MutualFunds!$B$6:$B$244,0),0)</f>
        <v>#N/A</v>
      </c>
      <c r="M184" s="14" t="e" cm="1">
        <f t="array" ref="M184">INDEX(Benchmarks!K$6:K$244,MATCH(SolverWork!$B184,MutualFunds!$B$6:$B$244,0),0)</f>
        <v>#N/A</v>
      </c>
      <c r="N184" s="14" t="e" cm="1">
        <f t="array" ref="N184">INDEX(Benchmarks!L$6:L$244,MATCH(SolverWork!$B184,MutualFunds!$B$6:$B$244,0),0)</f>
        <v>#N/A</v>
      </c>
      <c r="O184" s="14" t="e" cm="1">
        <f t="array" ref="O184">INDEX(Benchmarks!M$6:M$244,MATCH(SolverWork!$B184,MutualFunds!$B$6:$B$244,0),0)</f>
        <v>#N/A</v>
      </c>
      <c r="P184" s="14" t="e" cm="1">
        <f t="array" ref="P184">INDEX(Benchmarks!N$6:N$244,MATCH(SolverWork!$B184,MutualFunds!$B$6:$B$244,0),0)</f>
        <v>#N/A</v>
      </c>
      <c r="Q184" s="14" t="e" cm="1">
        <f t="array" ref="Q184">INDEX(Benchmarks!O$6:O$244,MATCH(SolverWork!$B184,MutualFunds!$B$6:$B$244,0),0)</f>
        <v>#N/A</v>
      </c>
      <c r="R184" s="14" t="e" cm="1">
        <f t="array" ref="R184">INDEX(Benchmarks!P$6:P$244,MATCH(SolverWork!$B184,MutualFunds!$B$6:$B$244,0),0)</f>
        <v>#N/A</v>
      </c>
      <c r="S184" s="14" t="e" cm="1">
        <f t="array" ref="S184">INDEX(Benchmarks!Q$6:Q$244,MATCH(SolverWork!$B184,MutualFunds!$B$6:$B$244,0),0)</f>
        <v>#N/A</v>
      </c>
      <c r="T184" s="14" t="e" cm="1">
        <f t="array" ref="T184">INDEX(Benchmarks!R$6:R$244,MATCH(SolverWork!$B184,MutualFunds!$B$6:$B$244,0),0)</f>
        <v>#N/A</v>
      </c>
    </row>
    <row r="185" spans="1:20" x14ac:dyDescent="0.2">
      <c r="A185">
        <v>175</v>
      </c>
      <c r="B185" s="28" t="str">
        <f>IF(B184="","",IF(EOMONTH(B184,1)&lt;=EOMONTH(Front!$C$4,0),EOMONTH(B184,1),""))</f>
        <v/>
      </c>
      <c r="C185" s="14" t="str">
        <f>IF(B185="","",INDEX(MutualFunds!$C$6:$O$244,MATCH(B185,MutualFunds!$B$6:$B$244,0),MATCH(Front!$C$2,MutualFunds!$C$4:$O$4,0)))</f>
        <v/>
      </c>
      <c r="D185" s="14" t="str">
        <f t="shared" si="2"/>
        <v/>
      </c>
      <c r="E185" s="14" t="e" cm="1">
        <f t="array" ref="E185">INDEX(Benchmarks!C$6:C$244,MATCH(SolverWork!$B185,MutualFunds!$B$6:$B$244,0),0)</f>
        <v>#N/A</v>
      </c>
      <c r="F185" s="14" t="e" cm="1">
        <f t="array" ref="F185">INDEX(Benchmarks!D$6:D$244,MATCH(SolverWork!$B185,MutualFunds!$B$6:$B$244,0),0)</f>
        <v>#N/A</v>
      </c>
      <c r="G185" s="14" t="e" cm="1">
        <f t="array" ref="G185">INDEX(Benchmarks!E$6:E$244,MATCH(SolverWork!$B185,MutualFunds!$B$6:$B$244,0),0)</f>
        <v>#N/A</v>
      </c>
      <c r="H185" s="14" t="e" cm="1">
        <f t="array" ref="H185">INDEX(Benchmarks!F$6:F$244,MATCH(SolverWork!$B185,MutualFunds!$B$6:$B$244,0),0)</f>
        <v>#N/A</v>
      </c>
      <c r="I185" s="14" t="e" cm="1">
        <f t="array" ref="I185">INDEX(Benchmarks!G$6:G$244,MATCH(SolverWork!$B185,MutualFunds!$B$6:$B$244,0),0)</f>
        <v>#N/A</v>
      </c>
      <c r="J185" s="14" t="e" cm="1">
        <f t="array" ref="J185">INDEX(Benchmarks!H$6:H$244,MATCH(SolverWork!$B185,MutualFunds!$B$6:$B$244,0),0)</f>
        <v>#N/A</v>
      </c>
      <c r="K185" s="14" t="e" cm="1">
        <f t="array" ref="K185">INDEX(Benchmarks!I$6:I$244,MATCH(SolverWork!$B185,MutualFunds!$B$6:$B$244,0),0)</f>
        <v>#N/A</v>
      </c>
      <c r="L185" s="14" t="e" cm="1">
        <f t="array" ref="L185">INDEX(Benchmarks!J$6:J$244,MATCH(SolverWork!$B185,MutualFunds!$B$6:$B$244,0),0)</f>
        <v>#N/A</v>
      </c>
      <c r="M185" s="14" t="e" cm="1">
        <f t="array" ref="M185">INDEX(Benchmarks!K$6:K$244,MATCH(SolverWork!$B185,MutualFunds!$B$6:$B$244,0),0)</f>
        <v>#N/A</v>
      </c>
      <c r="N185" s="14" t="e" cm="1">
        <f t="array" ref="N185">INDEX(Benchmarks!L$6:L$244,MATCH(SolverWork!$B185,MutualFunds!$B$6:$B$244,0),0)</f>
        <v>#N/A</v>
      </c>
      <c r="O185" s="14" t="e" cm="1">
        <f t="array" ref="O185">INDEX(Benchmarks!M$6:M$244,MATCH(SolverWork!$B185,MutualFunds!$B$6:$B$244,0),0)</f>
        <v>#N/A</v>
      </c>
      <c r="P185" s="14" t="e" cm="1">
        <f t="array" ref="P185">INDEX(Benchmarks!N$6:N$244,MATCH(SolverWork!$B185,MutualFunds!$B$6:$B$244,0),0)</f>
        <v>#N/A</v>
      </c>
      <c r="Q185" s="14" t="e" cm="1">
        <f t="array" ref="Q185">INDEX(Benchmarks!O$6:O$244,MATCH(SolverWork!$B185,MutualFunds!$B$6:$B$244,0),0)</f>
        <v>#N/A</v>
      </c>
      <c r="R185" s="14" t="e" cm="1">
        <f t="array" ref="R185">INDEX(Benchmarks!P$6:P$244,MATCH(SolverWork!$B185,MutualFunds!$B$6:$B$244,0),0)</f>
        <v>#N/A</v>
      </c>
      <c r="S185" s="14" t="e" cm="1">
        <f t="array" ref="S185">INDEX(Benchmarks!Q$6:Q$244,MATCH(SolverWork!$B185,MutualFunds!$B$6:$B$244,0),0)</f>
        <v>#N/A</v>
      </c>
      <c r="T185" s="14" t="e" cm="1">
        <f t="array" ref="T185">INDEX(Benchmarks!R$6:R$244,MATCH(SolverWork!$B185,MutualFunds!$B$6:$B$244,0),0)</f>
        <v>#N/A</v>
      </c>
    </row>
    <row r="186" spans="1:20" x14ac:dyDescent="0.2">
      <c r="A186">
        <v>176</v>
      </c>
      <c r="B186" s="28" t="str">
        <f>IF(B185="","",IF(EOMONTH(B185,1)&lt;=EOMONTH(Front!$C$4,0),EOMONTH(B185,1),""))</f>
        <v/>
      </c>
      <c r="C186" s="14" t="str">
        <f>IF(B186="","",INDEX(MutualFunds!$C$6:$O$244,MATCH(B186,MutualFunds!$B$6:$B$244,0),MATCH(Front!$C$2,MutualFunds!$C$4:$O$4,0)))</f>
        <v/>
      </c>
      <c r="D186" s="14" t="str">
        <f t="shared" si="2"/>
        <v/>
      </c>
      <c r="E186" s="14" t="e" cm="1">
        <f t="array" ref="E186">INDEX(Benchmarks!C$6:C$244,MATCH(SolverWork!$B186,MutualFunds!$B$6:$B$244,0),0)</f>
        <v>#N/A</v>
      </c>
      <c r="F186" s="14" t="e" cm="1">
        <f t="array" ref="F186">INDEX(Benchmarks!D$6:D$244,MATCH(SolverWork!$B186,MutualFunds!$B$6:$B$244,0),0)</f>
        <v>#N/A</v>
      </c>
      <c r="G186" s="14" t="e" cm="1">
        <f t="array" ref="G186">INDEX(Benchmarks!E$6:E$244,MATCH(SolverWork!$B186,MutualFunds!$B$6:$B$244,0),0)</f>
        <v>#N/A</v>
      </c>
      <c r="H186" s="14" t="e" cm="1">
        <f t="array" ref="H186">INDEX(Benchmarks!F$6:F$244,MATCH(SolverWork!$B186,MutualFunds!$B$6:$B$244,0),0)</f>
        <v>#N/A</v>
      </c>
      <c r="I186" s="14" t="e" cm="1">
        <f t="array" ref="I186">INDEX(Benchmarks!G$6:G$244,MATCH(SolverWork!$B186,MutualFunds!$B$6:$B$244,0),0)</f>
        <v>#N/A</v>
      </c>
      <c r="J186" s="14" t="e" cm="1">
        <f t="array" ref="J186">INDEX(Benchmarks!H$6:H$244,MATCH(SolverWork!$B186,MutualFunds!$B$6:$B$244,0),0)</f>
        <v>#N/A</v>
      </c>
      <c r="K186" s="14" t="e" cm="1">
        <f t="array" ref="K186">INDEX(Benchmarks!I$6:I$244,MATCH(SolverWork!$B186,MutualFunds!$B$6:$B$244,0),0)</f>
        <v>#N/A</v>
      </c>
      <c r="L186" s="14" t="e" cm="1">
        <f t="array" ref="L186">INDEX(Benchmarks!J$6:J$244,MATCH(SolverWork!$B186,MutualFunds!$B$6:$B$244,0),0)</f>
        <v>#N/A</v>
      </c>
      <c r="M186" s="14" t="e" cm="1">
        <f t="array" ref="M186">INDEX(Benchmarks!K$6:K$244,MATCH(SolverWork!$B186,MutualFunds!$B$6:$B$244,0),0)</f>
        <v>#N/A</v>
      </c>
      <c r="N186" s="14" t="e" cm="1">
        <f t="array" ref="N186">INDEX(Benchmarks!L$6:L$244,MATCH(SolverWork!$B186,MutualFunds!$B$6:$B$244,0),0)</f>
        <v>#N/A</v>
      </c>
      <c r="O186" s="14" t="e" cm="1">
        <f t="array" ref="O186">INDEX(Benchmarks!M$6:M$244,MATCH(SolverWork!$B186,MutualFunds!$B$6:$B$244,0),0)</f>
        <v>#N/A</v>
      </c>
      <c r="P186" s="14" t="e" cm="1">
        <f t="array" ref="P186">INDEX(Benchmarks!N$6:N$244,MATCH(SolverWork!$B186,MutualFunds!$B$6:$B$244,0),0)</f>
        <v>#N/A</v>
      </c>
      <c r="Q186" s="14" t="e" cm="1">
        <f t="array" ref="Q186">INDEX(Benchmarks!O$6:O$244,MATCH(SolverWork!$B186,MutualFunds!$B$6:$B$244,0),0)</f>
        <v>#N/A</v>
      </c>
      <c r="R186" s="14" t="e" cm="1">
        <f t="array" ref="R186">INDEX(Benchmarks!P$6:P$244,MATCH(SolverWork!$B186,MutualFunds!$B$6:$B$244,0),0)</f>
        <v>#N/A</v>
      </c>
      <c r="S186" s="14" t="e" cm="1">
        <f t="array" ref="S186">INDEX(Benchmarks!Q$6:Q$244,MATCH(SolverWork!$B186,MutualFunds!$B$6:$B$244,0),0)</f>
        <v>#N/A</v>
      </c>
      <c r="T186" s="14" t="e" cm="1">
        <f t="array" ref="T186">INDEX(Benchmarks!R$6:R$244,MATCH(SolverWork!$B186,MutualFunds!$B$6:$B$244,0),0)</f>
        <v>#N/A</v>
      </c>
    </row>
    <row r="187" spans="1:20" x14ac:dyDescent="0.2">
      <c r="A187">
        <v>177</v>
      </c>
      <c r="B187" s="28" t="str">
        <f>IF(B186="","",IF(EOMONTH(B186,1)&lt;=EOMONTH(Front!$C$4,0),EOMONTH(B186,1),""))</f>
        <v/>
      </c>
      <c r="C187" s="14" t="str">
        <f>IF(B187="","",INDEX(MutualFunds!$C$6:$O$244,MATCH(B187,MutualFunds!$B$6:$B$244,0),MATCH(Front!$C$2,MutualFunds!$C$4:$O$4,0)))</f>
        <v/>
      </c>
      <c r="D187" s="14" t="str">
        <f t="shared" si="2"/>
        <v/>
      </c>
      <c r="E187" s="14" t="e" cm="1">
        <f t="array" ref="E187">INDEX(Benchmarks!C$6:C$244,MATCH(SolverWork!$B187,MutualFunds!$B$6:$B$244,0),0)</f>
        <v>#N/A</v>
      </c>
      <c r="F187" s="14" t="e" cm="1">
        <f t="array" ref="F187">INDEX(Benchmarks!D$6:D$244,MATCH(SolverWork!$B187,MutualFunds!$B$6:$B$244,0),0)</f>
        <v>#N/A</v>
      </c>
      <c r="G187" s="14" t="e" cm="1">
        <f t="array" ref="G187">INDEX(Benchmarks!E$6:E$244,MATCH(SolverWork!$B187,MutualFunds!$B$6:$B$244,0),0)</f>
        <v>#N/A</v>
      </c>
      <c r="H187" s="14" t="e" cm="1">
        <f t="array" ref="H187">INDEX(Benchmarks!F$6:F$244,MATCH(SolverWork!$B187,MutualFunds!$B$6:$B$244,0),0)</f>
        <v>#N/A</v>
      </c>
      <c r="I187" s="14" t="e" cm="1">
        <f t="array" ref="I187">INDEX(Benchmarks!G$6:G$244,MATCH(SolverWork!$B187,MutualFunds!$B$6:$B$244,0),0)</f>
        <v>#N/A</v>
      </c>
      <c r="J187" s="14" t="e" cm="1">
        <f t="array" ref="J187">INDEX(Benchmarks!H$6:H$244,MATCH(SolverWork!$B187,MutualFunds!$B$6:$B$244,0),0)</f>
        <v>#N/A</v>
      </c>
      <c r="K187" s="14" t="e" cm="1">
        <f t="array" ref="K187">INDEX(Benchmarks!I$6:I$244,MATCH(SolverWork!$B187,MutualFunds!$B$6:$B$244,0),0)</f>
        <v>#N/A</v>
      </c>
      <c r="L187" s="14" t="e" cm="1">
        <f t="array" ref="L187">INDEX(Benchmarks!J$6:J$244,MATCH(SolverWork!$B187,MutualFunds!$B$6:$B$244,0),0)</f>
        <v>#N/A</v>
      </c>
      <c r="M187" s="14" t="e" cm="1">
        <f t="array" ref="M187">INDEX(Benchmarks!K$6:K$244,MATCH(SolverWork!$B187,MutualFunds!$B$6:$B$244,0),0)</f>
        <v>#N/A</v>
      </c>
      <c r="N187" s="14" t="e" cm="1">
        <f t="array" ref="N187">INDEX(Benchmarks!L$6:L$244,MATCH(SolverWork!$B187,MutualFunds!$B$6:$B$244,0),0)</f>
        <v>#N/A</v>
      </c>
      <c r="O187" s="14" t="e" cm="1">
        <f t="array" ref="O187">INDEX(Benchmarks!M$6:M$244,MATCH(SolverWork!$B187,MutualFunds!$B$6:$B$244,0),0)</f>
        <v>#N/A</v>
      </c>
      <c r="P187" s="14" t="e" cm="1">
        <f t="array" ref="P187">INDEX(Benchmarks!N$6:N$244,MATCH(SolverWork!$B187,MutualFunds!$B$6:$B$244,0),0)</f>
        <v>#N/A</v>
      </c>
      <c r="Q187" s="14" t="e" cm="1">
        <f t="array" ref="Q187">INDEX(Benchmarks!O$6:O$244,MATCH(SolverWork!$B187,MutualFunds!$B$6:$B$244,0),0)</f>
        <v>#N/A</v>
      </c>
      <c r="R187" s="14" t="e" cm="1">
        <f t="array" ref="R187">INDEX(Benchmarks!P$6:P$244,MATCH(SolverWork!$B187,MutualFunds!$B$6:$B$244,0),0)</f>
        <v>#N/A</v>
      </c>
      <c r="S187" s="14" t="e" cm="1">
        <f t="array" ref="S187">INDEX(Benchmarks!Q$6:Q$244,MATCH(SolverWork!$B187,MutualFunds!$B$6:$B$244,0),0)</f>
        <v>#N/A</v>
      </c>
      <c r="T187" s="14" t="e" cm="1">
        <f t="array" ref="T187">INDEX(Benchmarks!R$6:R$244,MATCH(SolverWork!$B187,MutualFunds!$B$6:$B$244,0),0)</f>
        <v>#N/A</v>
      </c>
    </row>
    <row r="188" spans="1:20" x14ac:dyDescent="0.2">
      <c r="A188">
        <v>178</v>
      </c>
      <c r="B188" s="28" t="str">
        <f>IF(B187="","",IF(EOMONTH(B187,1)&lt;=EOMONTH(Front!$C$4,0),EOMONTH(B187,1),""))</f>
        <v/>
      </c>
      <c r="C188" s="14" t="str">
        <f>IF(B188="","",INDEX(MutualFunds!$C$6:$O$244,MATCH(B188,MutualFunds!$B$6:$B$244,0),MATCH(Front!$C$2,MutualFunds!$C$4:$O$4,0)))</f>
        <v/>
      </c>
      <c r="D188" s="14" t="str">
        <f t="shared" si="2"/>
        <v/>
      </c>
      <c r="E188" s="14" t="e" cm="1">
        <f t="array" ref="E188">INDEX(Benchmarks!C$6:C$244,MATCH(SolverWork!$B188,MutualFunds!$B$6:$B$244,0),0)</f>
        <v>#N/A</v>
      </c>
      <c r="F188" s="14" t="e" cm="1">
        <f t="array" ref="F188">INDEX(Benchmarks!D$6:D$244,MATCH(SolverWork!$B188,MutualFunds!$B$6:$B$244,0),0)</f>
        <v>#N/A</v>
      </c>
      <c r="G188" s="14" t="e" cm="1">
        <f t="array" ref="G188">INDEX(Benchmarks!E$6:E$244,MATCH(SolverWork!$B188,MutualFunds!$B$6:$B$244,0),0)</f>
        <v>#N/A</v>
      </c>
      <c r="H188" s="14" t="e" cm="1">
        <f t="array" ref="H188">INDEX(Benchmarks!F$6:F$244,MATCH(SolverWork!$B188,MutualFunds!$B$6:$B$244,0),0)</f>
        <v>#N/A</v>
      </c>
      <c r="I188" s="14" t="e" cm="1">
        <f t="array" ref="I188">INDEX(Benchmarks!G$6:G$244,MATCH(SolverWork!$B188,MutualFunds!$B$6:$B$244,0),0)</f>
        <v>#N/A</v>
      </c>
      <c r="J188" s="14" t="e" cm="1">
        <f t="array" ref="J188">INDEX(Benchmarks!H$6:H$244,MATCH(SolverWork!$B188,MutualFunds!$B$6:$B$244,0),0)</f>
        <v>#N/A</v>
      </c>
      <c r="K188" s="14" t="e" cm="1">
        <f t="array" ref="K188">INDEX(Benchmarks!I$6:I$244,MATCH(SolverWork!$B188,MutualFunds!$B$6:$B$244,0),0)</f>
        <v>#N/A</v>
      </c>
      <c r="L188" s="14" t="e" cm="1">
        <f t="array" ref="L188">INDEX(Benchmarks!J$6:J$244,MATCH(SolverWork!$B188,MutualFunds!$B$6:$B$244,0),0)</f>
        <v>#N/A</v>
      </c>
      <c r="M188" s="14" t="e" cm="1">
        <f t="array" ref="M188">INDEX(Benchmarks!K$6:K$244,MATCH(SolverWork!$B188,MutualFunds!$B$6:$B$244,0),0)</f>
        <v>#N/A</v>
      </c>
      <c r="N188" s="14" t="e" cm="1">
        <f t="array" ref="N188">INDEX(Benchmarks!L$6:L$244,MATCH(SolverWork!$B188,MutualFunds!$B$6:$B$244,0),0)</f>
        <v>#N/A</v>
      </c>
      <c r="O188" s="14" t="e" cm="1">
        <f t="array" ref="O188">INDEX(Benchmarks!M$6:M$244,MATCH(SolverWork!$B188,MutualFunds!$B$6:$B$244,0),0)</f>
        <v>#N/A</v>
      </c>
      <c r="P188" s="14" t="e" cm="1">
        <f t="array" ref="P188">INDEX(Benchmarks!N$6:N$244,MATCH(SolverWork!$B188,MutualFunds!$B$6:$B$244,0),0)</f>
        <v>#N/A</v>
      </c>
      <c r="Q188" s="14" t="e" cm="1">
        <f t="array" ref="Q188">INDEX(Benchmarks!O$6:O$244,MATCH(SolverWork!$B188,MutualFunds!$B$6:$B$244,0),0)</f>
        <v>#N/A</v>
      </c>
      <c r="R188" s="14" t="e" cm="1">
        <f t="array" ref="R188">INDEX(Benchmarks!P$6:P$244,MATCH(SolverWork!$B188,MutualFunds!$B$6:$B$244,0),0)</f>
        <v>#N/A</v>
      </c>
      <c r="S188" s="14" t="e" cm="1">
        <f t="array" ref="S188">INDEX(Benchmarks!Q$6:Q$244,MATCH(SolverWork!$B188,MutualFunds!$B$6:$B$244,0),0)</f>
        <v>#N/A</v>
      </c>
      <c r="T188" s="14" t="e" cm="1">
        <f t="array" ref="T188">INDEX(Benchmarks!R$6:R$244,MATCH(SolverWork!$B188,MutualFunds!$B$6:$B$244,0),0)</f>
        <v>#N/A</v>
      </c>
    </row>
    <row r="189" spans="1:20" x14ac:dyDescent="0.2">
      <c r="A189">
        <v>179</v>
      </c>
      <c r="B189" s="28" t="str">
        <f>IF(B188="","",IF(EOMONTH(B188,1)&lt;=EOMONTH(Front!$C$4,0),EOMONTH(B188,1),""))</f>
        <v/>
      </c>
      <c r="C189" s="14" t="str">
        <f>IF(B189="","",INDEX(MutualFunds!$C$6:$O$244,MATCH(B189,MutualFunds!$B$6:$B$244,0),MATCH(Front!$C$2,MutualFunds!$C$4:$O$4,0)))</f>
        <v/>
      </c>
      <c r="D189" s="14" t="str">
        <f t="shared" si="2"/>
        <v/>
      </c>
      <c r="E189" s="14" t="e" cm="1">
        <f t="array" ref="E189">INDEX(Benchmarks!C$6:C$244,MATCH(SolverWork!$B189,MutualFunds!$B$6:$B$244,0),0)</f>
        <v>#N/A</v>
      </c>
      <c r="F189" s="14" t="e" cm="1">
        <f t="array" ref="F189">INDEX(Benchmarks!D$6:D$244,MATCH(SolverWork!$B189,MutualFunds!$B$6:$B$244,0),0)</f>
        <v>#N/A</v>
      </c>
      <c r="G189" s="14" t="e" cm="1">
        <f t="array" ref="G189">INDEX(Benchmarks!E$6:E$244,MATCH(SolverWork!$B189,MutualFunds!$B$6:$B$244,0),0)</f>
        <v>#N/A</v>
      </c>
      <c r="H189" s="14" t="e" cm="1">
        <f t="array" ref="H189">INDEX(Benchmarks!F$6:F$244,MATCH(SolverWork!$B189,MutualFunds!$B$6:$B$244,0),0)</f>
        <v>#N/A</v>
      </c>
      <c r="I189" s="14" t="e" cm="1">
        <f t="array" ref="I189">INDEX(Benchmarks!G$6:G$244,MATCH(SolverWork!$B189,MutualFunds!$B$6:$B$244,0),0)</f>
        <v>#N/A</v>
      </c>
      <c r="J189" s="14" t="e" cm="1">
        <f t="array" ref="J189">INDEX(Benchmarks!H$6:H$244,MATCH(SolverWork!$B189,MutualFunds!$B$6:$B$244,0),0)</f>
        <v>#N/A</v>
      </c>
      <c r="K189" s="14" t="e" cm="1">
        <f t="array" ref="K189">INDEX(Benchmarks!I$6:I$244,MATCH(SolverWork!$B189,MutualFunds!$B$6:$B$244,0),0)</f>
        <v>#N/A</v>
      </c>
      <c r="L189" s="14" t="e" cm="1">
        <f t="array" ref="L189">INDEX(Benchmarks!J$6:J$244,MATCH(SolverWork!$B189,MutualFunds!$B$6:$B$244,0),0)</f>
        <v>#N/A</v>
      </c>
      <c r="M189" s="14" t="e" cm="1">
        <f t="array" ref="M189">INDEX(Benchmarks!K$6:K$244,MATCH(SolverWork!$B189,MutualFunds!$B$6:$B$244,0),0)</f>
        <v>#N/A</v>
      </c>
      <c r="N189" s="14" t="e" cm="1">
        <f t="array" ref="N189">INDEX(Benchmarks!L$6:L$244,MATCH(SolverWork!$B189,MutualFunds!$B$6:$B$244,0),0)</f>
        <v>#N/A</v>
      </c>
      <c r="O189" s="14" t="e" cm="1">
        <f t="array" ref="O189">INDEX(Benchmarks!M$6:M$244,MATCH(SolverWork!$B189,MutualFunds!$B$6:$B$244,0),0)</f>
        <v>#N/A</v>
      </c>
      <c r="P189" s="14" t="e" cm="1">
        <f t="array" ref="P189">INDEX(Benchmarks!N$6:N$244,MATCH(SolverWork!$B189,MutualFunds!$B$6:$B$244,0),0)</f>
        <v>#N/A</v>
      </c>
      <c r="Q189" s="14" t="e" cm="1">
        <f t="array" ref="Q189">INDEX(Benchmarks!O$6:O$244,MATCH(SolverWork!$B189,MutualFunds!$B$6:$B$244,0),0)</f>
        <v>#N/A</v>
      </c>
      <c r="R189" s="14" t="e" cm="1">
        <f t="array" ref="R189">INDEX(Benchmarks!P$6:P$244,MATCH(SolverWork!$B189,MutualFunds!$B$6:$B$244,0),0)</f>
        <v>#N/A</v>
      </c>
      <c r="S189" s="14" t="e" cm="1">
        <f t="array" ref="S189">INDEX(Benchmarks!Q$6:Q$244,MATCH(SolverWork!$B189,MutualFunds!$B$6:$B$244,0),0)</f>
        <v>#N/A</v>
      </c>
      <c r="T189" s="14" t="e" cm="1">
        <f t="array" ref="T189">INDEX(Benchmarks!R$6:R$244,MATCH(SolverWork!$B189,MutualFunds!$B$6:$B$244,0),0)</f>
        <v>#N/A</v>
      </c>
    </row>
    <row r="190" spans="1:20" x14ac:dyDescent="0.2">
      <c r="A190">
        <v>180</v>
      </c>
      <c r="B190" s="28" t="str">
        <f>IF(B189="","",IF(EOMONTH(B189,1)&lt;=EOMONTH(Front!$C$4,0),EOMONTH(B189,1),""))</f>
        <v/>
      </c>
      <c r="C190" s="14" t="str">
        <f>IF(B190="","",INDEX(MutualFunds!$C$6:$O$244,MATCH(B190,MutualFunds!$B$6:$B$244,0),MATCH(Front!$C$2,MutualFunds!$C$4:$O$4,0)))</f>
        <v/>
      </c>
      <c r="D190" s="14" t="str">
        <f t="shared" si="2"/>
        <v/>
      </c>
      <c r="E190" s="14" t="e" cm="1">
        <f t="array" ref="E190">INDEX(Benchmarks!C$6:C$244,MATCH(SolverWork!$B190,MutualFunds!$B$6:$B$244,0),0)</f>
        <v>#N/A</v>
      </c>
      <c r="F190" s="14" t="e" cm="1">
        <f t="array" ref="F190">INDEX(Benchmarks!D$6:D$244,MATCH(SolverWork!$B190,MutualFunds!$B$6:$B$244,0),0)</f>
        <v>#N/A</v>
      </c>
      <c r="G190" s="14" t="e" cm="1">
        <f t="array" ref="G190">INDEX(Benchmarks!E$6:E$244,MATCH(SolverWork!$B190,MutualFunds!$B$6:$B$244,0),0)</f>
        <v>#N/A</v>
      </c>
      <c r="H190" s="14" t="e" cm="1">
        <f t="array" ref="H190">INDEX(Benchmarks!F$6:F$244,MATCH(SolverWork!$B190,MutualFunds!$B$6:$B$244,0),0)</f>
        <v>#N/A</v>
      </c>
      <c r="I190" s="14" t="e" cm="1">
        <f t="array" ref="I190">INDEX(Benchmarks!G$6:G$244,MATCH(SolverWork!$B190,MutualFunds!$B$6:$B$244,0),0)</f>
        <v>#N/A</v>
      </c>
      <c r="J190" s="14" t="e" cm="1">
        <f t="array" ref="J190">INDEX(Benchmarks!H$6:H$244,MATCH(SolverWork!$B190,MutualFunds!$B$6:$B$244,0),0)</f>
        <v>#N/A</v>
      </c>
      <c r="K190" s="14" t="e" cm="1">
        <f t="array" ref="K190">INDEX(Benchmarks!I$6:I$244,MATCH(SolverWork!$B190,MutualFunds!$B$6:$B$244,0),0)</f>
        <v>#N/A</v>
      </c>
      <c r="L190" s="14" t="e" cm="1">
        <f t="array" ref="L190">INDEX(Benchmarks!J$6:J$244,MATCH(SolverWork!$B190,MutualFunds!$B$6:$B$244,0),0)</f>
        <v>#N/A</v>
      </c>
      <c r="M190" s="14" t="e" cm="1">
        <f t="array" ref="M190">INDEX(Benchmarks!K$6:K$244,MATCH(SolverWork!$B190,MutualFunds!$B$6:$B$244,0),0)</f>
        <v>#N/A</v>
      </c>
      <c r="N190" s="14" t="e" cm="1">
        <f t="array" ref="N190">INDEX(Benchmarks!L$6:L$244,MATCH(SolverWork!$B190,MutualFunds!$B$6:$B$244,0),0)</f>
        <v>#N/A</v>
      </c>
      <c r="O190" s="14" t="e" cm="1">
        <f t="array" ref="O190">INDEX(Benchmarks!M$6:M$244,MATCH(SolverWork!$B190,MutualFunds!$B$6:$B$244,0),0)</f>
        <v>#N/A</v>
      </c>
      <c r="P190" s="14" t="e" cm="1">
        <f t="array" ref="P190">INDEX(Benchmarks!N$6:N$244,MATCH(SolverWork!$B190,MutualFunds!$B$6:$B$244,0),0)</f>
        <v>#N/A</v>
      </c>
      <c r="Q190" s="14" t="e" cm="1">
        <f t="array" ref="Q190">INDEX(Benchmarks!O$6:O$244,MATCH(SolverWork!$B190,MutualFunds!$B$6:$B$244,0),0)</f>
        <v>#N/A</v>
      </c>
      <c r="R190" s="14" t="e" cm="1">
        <f t="array" ref="R190">INDEX(Benchmarks!P$6:P$244,MATCH(SolverWork!$B190,MutualFunds!$B$6:$B$244,0),0)</f>
        <v>#N/A</v>
      </c>
      <c r="S190" s="14" t="e" cm="1">
        <f t="array" ref="S190">INDEX(Benchmarks!Q$6:Q$244,MATCH(SolverWork!$B190,MutualFunds!$B$6:$B$244,0),0)</f>
        <v>#N/A</v>
      </c>
      <c r="T190" s="14" t="e" cm="1">
        <f t="array" ref="T190">INDEX(Benchmarks!R$6:R$244,MATCH(SolverWork!$B190,MutualFunds!$B$6:$B$244,0),0)</f>
        <v>#N/A</v>
      </c>
    </row>
    <row r="191" spans="1:20" x14ac:dyDescent="0.2">
      <c r="A191">
        <v>181</v>
      </c>
      <c r="B191" s="28" t="str">
        <f>IF(B190="","",IF(EOMONTH(B190,1)&lt;=EOMONTH(Front!$C$4,0),EOMONTH(B190,1),""))</f>
        <v/>
      </c>
      <c r="C191" s="14" t="str">
        <f>IF(B191="","",INDEX(MutualFunds!$C$6:$O$244,MATCH(B191,MutualFunds!$B$6:$B$244,0),MATCH(Front!$C$2,MutualFunds!$C$4:$O$4,0)))</f>
        <v/>
      </c>
      <c r="D191" s="14" t="str">
        <f t="shared" si="2"/>
        <v/>
      </c>
      <c r="E191" s="14" t="e" cm="1">
        <f t="array" ref="E191">INDEX(Benchmarks!C$6:C$244,MATCH(SolverWork!$B191,MutualFunds!$B$6:$B$244,0),0)</f>
        <v>#N/A</v>
      </c>
      <c r="F191" s="14" t="e" cm="1">
        <f t="array" ref="F191">INDEX(Benchmarks!D$6:D$244,MATCH(SolverWork!$B191,MutualFunds!$B$6:$B$244,0),0)</f>
        <v>#N/A</v>
      </c>
      <c r="G191" s="14" t="e" cm="1">
        <f t="array" ref="G191">INDEX(Benchmarks!E$6:E$244,MATCH(SolverWork!$B191,MutualFunds!$B$6:$B$244,0),0)</f>
        <v>#N/A</v>
      </c>
      <c r="H191" s="14" t="e" cm="1">
        <f t="array" ref="H191">INDEX(Benchmarks!F$6:F$244,MATCH(SolverWork!$B191,MutualFunds!$B$6:$B$244,0),0)</f>
        <v>#N/A</v>
      </c>
      <c r="I191" s="14" t="e" cm="1">
        <f t="array" ref="I191">INDEX(Benchmarks!G$6:G$244,MATCH(SolverWork!$B191,MutualFunds!$B$6:$B$244,0),0)</f>
        <v>#N/A</v>
      </c>
      <c r="J191" s="14" t="e" cm="1">
        <f t="array" ref="J191">INDEX(Benchmarks!H$6:H$244,MATCH(SolverWork!$B191,MutualFunds!$B$6:$B$244,0),0)</f>
        <v>#N/A</v>
      </c>
      <c r="K191" s="14" t="e" cm="1">
        <f t="array" ref="K191">INDEX(Benchmarks!I$6:I$244,MATCH(SolverWork!$B191,MutualFunds!$B$6:$B$244,0),0)</f>
        <v>#N/A</v>
      </c>
      <c r="L191" s="14" t="e" cm="1">
        <f t="array" ref="L191">INDEX(Benchmarks!J$6:J$244,MATCH(SolverWork!$B191,MutualFunds!$B$6:$B$244,0),0)</f>
        <v>#N/A</v>
      </c>
      <c r="M191" s="14" t="e" cm="1">
        <f t="array" ref="M191">INDEX(Benchmarks!K$6:K$244,MATCH(SolverWork!$B191,MutualFunds!$B$6:$B$244,0),0)</f>
        <v>#N/A</v>
      </c>
      <c r="N191" s="14" t="e" cm="1">
        <f t="array" ref="N191">INDEX(Benchmarks!L$6:L$244,MATCH(SolverWork!$B191,MutualFunds!$B$6:$B$244,0),0)</f>
        <v>#N/A</v>
      </c>
      <c r="O191" s="14" t="e" cm="1">
        <f t="array" ref="O191">INDEX(Benchmarks!M$6:M$244,MATCH(SolverWork!$B191,MutualFunds!$B$6:$B$244,0),0)</f>
        <v>#N/A</v>
      </c>
      <c r="P191" s="14" t="e" cm="1">
        <f t="array" ref="P191">INDEX(Benchmarks!N$6:N$244,MATCH(SolverWork!$B191,MutualFunds!$B$6:$B$244,0),0)</f>
        <v>#N/A</v>
      </c>
      <c r="Q191" s="14" t="e" cm="1">
        <f t="array" ref="Q191">INDEX(Benchmarks!O$6:O$244,MATCH(SolverWork!$B191,MutualFunds!$B$6:$B$244,0),0)</f>
        <v>#N/A</v>
      </c>
      <c r="R191" s="14" t="e" cm="1">
        <f t="array" ref="R191">INDEX(Benchmarks!P$6:P$244,MATCH(SolverWork!$B191,MutualFunds!$B$6:$B$244,0),0)</f>
        <v>#N/A</v>
      </c>
      <c r="S191" s="14" t="e" cm="1">
        <f t="array" ref="S191">INDEX(Benchmarks!Q$6:Q$244,MATCH(SolverWork!$B191,MutualFunds!$B$6:$B$244,0),0)</f>
        <v>#N/A</v>
      </c>
      <c r="T191" s="14" t="e" cm="1">
        <f t="array" ref="T191">INDEX(Benchmarks!R$6:R$244,MATCH(SolverWork!$B191,MutualFunds!$B$6:$B$244,0),0)</f>
        <v>#N/A</v>
      </c>
    </row>
    <row r="192" spans="1:20" x14ac:dyDescent="0.2">
      <c r="A192">
        <v>182</v>
      </c>
      <c r="B192" s="28" t="str">
        <f>IF(B191="","",IF(EOMONTH(B191,1)&lt;=EOMONTH(Front!$C$4,0),EOMONTH(B191,1),""))</f>
        <v/>
      </c>
      <c r="C192" s="14" t="str">
        <f>IF(B192="","",INDEX(MutualFunds!$C$6:$O$244,MATCH(B192,MutualFunds!$B$6:$B$244,0),MATCH(Front!$C$2,MutualFunds!$C$4:$O$4,0)))</f>
        <v/>
      </c>
      <c r="D192" s="14" t="str">
        <f t="shared" si="2"/>
        <v/>
      </c>
      <c r="E192" s="14" t="e" cm="1">
        <f t="array" ref="E192">INDEX(Benchmarks!C$6:C$244,MATCH(SolverWork!$B192,MutualFunds!$B$6:$B$244,0),0)</f>
        <v>#N/A</v>
      </c>
      <c r="F192" s="14" t="e" cm="1">
        <f t="array" ref="F192">INDEX(Benchmarks!D$6:D$244,MATCH(SolverWork!$B192,MutualFunds!$B$6:$B$244,0),0)</f>
        <v>#N/A</v>
      </c>
      <c r="G192" s="14" t="e" cm="1">
        <f t="array" ref="G192">INDEX(Benchmarks!E$6:E$244,MATCH(SolverWork!$B192,MutualFunds!$B$6:$B$244,0),0)</f>
        <v>#N/A</v>
      </c>
      <c r="H192" s="14" t="e" cm="1">
        <f t="array" ref="H192">INDEX(Benchmarks!F$6:F$244,MATCH(SolverWork!$B192,MutualFunds!$B$6:$B$244,0),0)</f>
        <v>#N/A</v>
      </c>
      <c r="I192" s="14" t="e" cm="1">
        <f t="array" ref="I192">INDEX(Benchmarks!G$6:G$244,MATCH(SolverWork!$B192,MutualFunds!$B$6:$B$244,0),0)</f>
        <v>#N/A</v>
      </c>
      <c r="J192" s="14" t="e" cm="1">
        <f t="array" ref="J192">INDEX(Benchmarks!H$6:H$244,MATCH(SolverWork!$B192,MutualFunds!$B$6:$B$244,0),0)</f>
        <v>#N/A</v>
      </c>
      <c r="K192" s="14" t="e" cm="1">
        <f t="array" ref="K192">INDEX(Benchmarks!I$6:I$244,MATCH(SolverWork!$B192,MutualFunds!$B$6:$B$244,0),0)</f>
        <v>#N/A</v>
      </c>
      <c r="L192" s="14" t="e" cm="1">
        <f t="array" ref="L192">INDEX(Benchmarks!J$6:J$244,MATCH(SolverWork!$B192,MutualFunds!$B$6:$B$244,0),0)</f>
        <v>#N/A</v>
      </c>
      <c r="M192" s="14" t="e" cm="1">
        <f t="array" ref="M192">INDEX(Benchmarks!K$6:K$244,MATCH(SolverWork!$B192,MutualFunds!$B$6:$B$244,0),0)</f>
        <v>#N/A</v>
      </c>
      <c r="N192" s="14" t="e" cm="1">
        <f t="array" ref="N192">INDEX(Benchmarks!L$6:L$244,MATCH(SolverWork!$B192,MutualFunds!$B$6:$B$244,0),0)</f>
        <v>#N/A</v>
      </c>
      <c r="O192" s="14" t="e" cm="1">
        <f t="array" ref="O192">INDEX(Benchmarks!M$6:M$244,MATCH(SolverWork!$B192,MutualFunds!$B$6:$B$244,0),0)</f>
        <v>#N/A</v>
      </c>
      <c r="P192" s="14" t="e" cm="1">
        <f t="array" ref="P192">INDEX(Benchmarks!N$6:N$244,MATCH(SolverWork!$B192,MutualFunds!$B$6:$B$244,0),0)</f>
        <v>#N/A</v>
      </c>
      <c r="Q192" s="14" t="e" cm="1">
        <f t="array" ref="Q192">INDEX(Benchmarks!O$6:O$244,MATCH(SolverWork!$B192,MutualFunds!$B$6:$B$244,0),0)</f>
        <v>#N/A</v>
      </c>
      <c r="R192" s="14" t="e" cm="1">
        <f t="array" ref="R192">INDEX(Benchmarks!P$6:P$244,MATCH(SolverWork!$B192,MutualFunds!$B$6:$B$244,0),0)</f>
        <v>#N/A</v>
      </c>
      <c r="S192" s="14" t="e" cm="1">
        <f t="array" ref="S192">INDEX(Benchmarks!Q$6:Q$244,MATCH(SolverWork!$B192,MutualFunds!$B$6:$B$244,0),0)</f>
        <v>#N/A</v>
      </c>
      <c r="T192" s="14" t="e" cm="1">
        <f t="array" ref="T192">INDEX(Benchmarks!R$6:R$244,MATCH(SolverWork!$B192,MutualFunds!$B$6:$B$244,0),0)</f>
        <v>#N/A</v>
      </c>
    </row>
    <row r="193" spans="1:20" x14ac:dyDescent="0.2">
      <c r="A193">
        <v>183</v>
      </c>
      <c r="B193" s="28" t="str">
        <f>IF(B192="","",IF(EOMONTH(B192,1)&lt;=EOMONTH(Front!$C$4,0),EOMONTH(B192,1),""))</f>
        <v/>
      </c>
      <c r="C193" s="14" t="str">
        <f>IF(B193="","",INDEX(MutualFunds!$C$6:$O$244,MATCH(B193,MutualFunds!$B$6:$B$244,0),MATCH(Front!$C$2,MutualFunds!$C$4:$O$4,0)))</f>
        <v/>
      </c>
      <c r="D193" s="14" t="str">
        <f t="shared" si="2"/>
        <v/>
      </c>
      <c r="E193" s="14" t="e" cm="1">
        <f t="array" ref="E193">INDEX(Benchmarks!C$6:C$244,MATCH(SolverWork!$B193,MutualFunds!$B$6:$B$244,0),0)</f>
        <v>#N/A</v>
      </c>
      <c r="F193" s="14" t="e" cm="1">
        <f t="array" ref="F193">INDEX(Benchmarks!D$6:D$244,MATCH(SolverWork!$B193,MutualFunds!$B$6:$B$244,0),0)</f>
        <v>#N/A</v>
      </c>
      <c r="G193" s="14" t="e" cm="1">
        <f t="array" ref="G193">INDEX(Benchmarks!E$6:E$244,MATCH(SolverWork!$B193,MutualFunds!$B$6:$B$244,0),0)</f>
        <v>#N/A</v>
      </c>
      <c r="H193" s="14" t="e" cm="1">
        <f t="array" ref="H193">INDEX(Benchmarks!F$6:F$244,MATCH(SolverWork!$B193,MutualFunds!$B$6:$B$244,0),0)</f>
        <v>#N/A</v>
      </c>
      <c r="I193" s="14" t="e" cm="1">
        <f t="array" ref="I193">INDEX(Benchmarks!G$6:G$244,MATCH(SolverWork!$B193,MutualFunds!$B$6:$B$244,0),0)</f>
        <v>#N/A</v>
      </c>
      <c r="J193" s="14" t="e" cm="1">
        <f t="array" ref="J193">INDEX(Benchmarks!H$6:H$244,MATCH(SolverWork!$B193,MutualFunds!$B$6:$B$244,0),0)</f>
        <v>#N/A</v>
      </c>
      <c r="K193" s="14" t="e" cm="1">
        <f t="array" ref="K193">INDEX(Benchmarks!I$6:I$244,MATCH(SolverWork!$B193,MutualFunds!$B$6:$B$244,0),0)</f>
        <v>#N/A</v>
      </c>
      <c r="L193" s="14" t="e" cm="1">
        <f t="array" ref="L193">INDEX(Benchmarks!J$6:J$244,MATCH(SolverWork!$B193,MutualFunds!$B$6:$B$244,0),0)</f>
        <v>#N/A</v>
      </c>
      <c r="M193" s="14" t="e" cm="1">
        <f t="array" ref="M193">INDEX(Benchmarks!K$6:K$244,MATCH(SolverWork!$B193,MutualFunds!$B$6:$B$244,0),0)</f>
        <v>#N/A</v>
      </c>
      <c r="N193" s="14" t="e" cm="1">
        <f t="array" ref="N193">INDEX(Benchmarks!L$6:L$244,MATCH(SolverWork!$B193,MutualFunds!$B$6:$B$244,0),0)</f>
        <v>#N/A</v>
      </c>
      <c r="O193" s="14" t="e" cm="1">
        <f t="array" ref="O193">INDEX(Benchmarks!M$6:M$244,MATCH(SolverWork!$B193,MutualFunds!$B$6:$B$244,0),0)</f>
        <v>#N/A</v>
      </c>
      <c r="P193" s="14" t="e" cm="1">
        <f t="array" ref="P193">INDEX(Benchmarks!N$6:N$244,MATCH(SolverWork!$B193,MutualFunds!$B$6:$B$244,0),0)</f>
        <v>#N/A</v>
      </c>
      <c r="Q193" s="14" t="e" cm="1">
        <f t="array" ref="Q193">INDEX(Benchmarks!O$6:O$244,MATCH(SolverWork!$B193,MutualFunds!$B$6:$B$244,0),0)</f>
        <v>#N/A</v>
      </c>
      <c r="R193" s="14" t="e" cm="1">
        <f t="array" ref="R193">INDEX(Benchmarks!P$6:P$244,MATCH(SolverWork!$B193,MutualFunds!$B$6:$B$244,0),0)</f>
        <v>#N/A</v>
      </c>
      <c r="S193" s="14" t="e" cm="1">
        <f t="array" ref="S193">INDEX(Benchmarks!Q$6:Q$244,MATCH(SolverWork!$B193,MutualFunds!$B$6:$B$244,0),0)</f>
        <v>#N/A</v>
      </c>
      <c r="T193" s="14" t="e" cm="1">
        <f t="array" ref="T193">INDEX(Benchmarks!R$6:R$244,MATCH(SolverWork!$B193,MutualFunds!$B$6:$B$244,0),0)</f>
        <v>#N/A</v>
      </c>
    </row>
    <row r="194" spans="1:20" x14ac:dyDescent="0.2">
      <c r="A194">
        <v>184</v>
      </c>
      <c r="B194" s="28" t="str">
        <f>IF(B193="","",IF(EOMONTH(B193,1)&lt;=EOMONTH(Front!$C$4,0),EOMONTH(B193,1),""))</f>
        <v/>
      </c>
      <c r="C194" s="14" t="str">
        <f>IF(B194="","",INDEX(MutualFunds!$C$6:$O$244,MATCH(B194,MutualFunds!$B$6:$B$244,0),MATCH(Front!$C$2,MutualFunds!$C$4:$O$4,0)))</f>
        <v/>
      </c>
      <c r="D194" s="14" t="str">
        <f t="shared" si="2"/>
        <v/>
      </c>
      <c r="E194" s="14" t="e" cm="1">
        <f t="array" ref="E194">INDEX(Benchmarks!C$6:C$244,MATCH(SolverWork!$B194,MutualFunds!$B$6:$B$244,0),0)</f>
        <v>#N/A</v>
      </c>
      <c r="F194" s="14" t="e" cm="1">
        <f t="array" ref="F194">INDEX(Benchmarks!D$6:D$244,MATCH(SolverWork!$B194,MutualFunds!$B$6:$B$244,0),0)</f>
        <v>#N/A</v>
      </c>
      <c r="G194" s="14" t="e" cm="1">
        <f t="array" ref="G194">INDEX(Benchmarks!E$6:E$244,MATCH(SolverWork!$B194,MutualFunds!$B$6:$B$244,0),0)</f>
        <v>#N/A</v>
      </c>
      <c r="H194" s="14" t="e" cm="1">
        <f t="array" ref="H194">INDEX(Benchmarks!F$6:F$244,MATCH(SolverWork!$B194,MutualFunds!$B$6:$B$244,0),0)</f>
        <v>#N/A</v>
      </c>
      <c r="I194" s="14" t="e" cm="1">
        <f t="array" ref="I194">INDEX(Benchmarks!G$6:G$244,MATCH(SolverWork!$B194,MutualFunds!$B$6:$B$244,0),0)</f>
        <v>#N/A</v>
      </c>
      <c r="J194" s="14" t="e" cm="1">
        <f t="array" ref="J194">INDEX(Benchmarks!H$6:H$244,MATCH(SolverWork!$B194,MutualFunds!$B$6:$B$244,0),0)</f>
        <v>#N/A</v>
      </c>
      <c r="K194" s="14" t="e" cm="1">
        <f t="array" ref="K194">INDEX(Benchmarks!I$6:I$244,MATCH(SolverWork!$B194,MutualFunds!$B$6:$B$244,0),0)</f>
        <v>#N/A</v>
      </c>
      <c r="L194" s="14" t="e" cm="1">
        <f t="array" ref="L194">INDEX(Benchmarks!J$6:J$244,MATCH(SolverWork!$B194,MutualFunds!$B$6:$B$244,0),0)</f>
        <v>#N/A</v>
      </c>
      <c r="M194" s="14" t="e" cm="1">
        <f t="array" ref="M194">INDEX(Benchmarks!K$6:K$244,MATCH(SolverWork!$B194,MutualFunds!$B$6:$B$244,0),0)</f>
        <v>#N/A</v>
      </c>
      <c r="N194" s="14" t="e" cm="1">
        <f t="array" ref="N194">INDEX(Benchmarks!L$6:L$244,MATCH(SolverWork!$B194,MutualFunds!$B$6:$B$244,0),0)</f>
        <v>#N/A</v>
      </c>
      <c r="O194" s="14" t="e" cm="1">
        <f t="array" ref="O194">INDEX(Benchmarks!M$6:M$244,MATCH(SolverWork!$B194,MutualFunds!$B$6:$B$244,0),0)</f>
        <v>#N/A</v>
      </c>
      <c r="P194" s="14" t="e" cm="1">
        <f t="array" ref="P194">INDEX(Benchmarks!N$6:N$244,MATCH(SolverWork!$B194,MutualFunds!$B$6:$B$244,0),0)</f>
        <v>#N/A</v>
      </c>
      <c r="Q194" s="14" t="e" cm="1">
        <f t="array" ref="Q194">INDEX(Benchmarks!O$6:O$244,MATCH(SolverWork!$B194,MutualFunds!$B$6:$B$244,0),0)</f>
        <v>#N/A</v>
      </c>
      <c r="R194" s="14" t="e" cm="1">
        <f t="array" ref="R194">INDEX(Benchmarks!P$6:P$244,MATCH(SolverWork!$B194,MutualFunds!$B$6:$B$244,0),0)</f>
        <v>#N/A</v>
      </c>
      <c r="S194" s="14" t="e" cm="1">
        <f t="array" ref="S194">INDEX(Benchmarks!Q$6:Q$244,MATCH(SolverWork!$B194,MutualFunds!$B$6:$B$244,0),0)</f>
        <v>#N/A</v>
      </c>
      <c r="T194" s="14" t="e" cm="1">
        <f t="array" ref="T194">INDEX(Benchmarks!R$6:R$244,MATCH(SolverWork!$B194,MutualFunds!$B$6:$B$244,0),0)</f>
        <v>#N/A</v>
      </c>
    </row>
    <row r="195" spans="1:20" x14ac:dyDescent="0.2">
      <c r="A195">
        <v>185</v>
      </c>
      <c r="B195" s="28" t="str">
        <f>IF(B194="","",IF(EOMONTH(B194,1)&lt;=EOMONTH(Front!$C$4,0),EOMONTH(B194,1),""))</f>
        <v/>
      </c>
      <c r="C195" s="14" t="str">
        <f>IF(B195="","",INDEX(MutualFunds!$C$6:$O$244,MATCH(B195,MutualFunds!$B$6:$B$244,0),MATCH(Front!$C$2,MutualFunds!$C$4:$O$4,0)))</f>
        <v/>
      </c>
      <c r="D195" s="14" t="str">
        <f t="shared" si="2"/>
        <v/>
      </c>
      <c r="E195" s="14" t="e" cm="1">
        <f t="array" ref="E195">INDEX(Benchmarks!C$6:C$244,MATCH(SolverWork!$B195,MutualFunds!$B$6:$B$244,0),0)</f>
        <v>#N/A</v>
      </c>
      <c r="F195" s="14" t="e" cm="1">
        <f t="array" ref="F195">INDEX(Benchmarks!D$6:D$244,MATCH(SolverWork!$B195,MutualFunds!$B$6:$B$244,0),0)</f>
        <v>#N/A</v>
      </c>
      <c r="G195" s="14" t="e" cm="1">
        <f t="array" ref="G195">INDEX(Benchmarks!E$6:E$244,MATCH(SolverWork!$B195,MutualFunds!$B$6:$B$244,0),0)</f>
        <v>#N/A</v>
      </c>
      <c r="H195" s="14" t="e" cm="1">
        <f t="array" ref="H195">INDEX(Benchmarks!F$6:F$244,MATCH(SolverWork!$B195,MutualFunds!$B$6:$B$244,0),0)</f>
        <v>#N/A</v>
      </c>
      <c r="I195" s="14" t="e" cm="1">
        <f t="array" ref="I195">INDEX(Benchmarks!G$6:G$244,MATCH(SolverWork!$B195,MutualFunds!$B$6:$B$244,0),0)</f>
        <v>#N/A</v>
      </c>
      <c r="J195" s="14" t="e" cm="1">
        <f t="array" ref="J195">INDEX(Benchmarks!H$6:H$244,MATCH(SolverWork!$B195,MutualFunds!$B$6:$B$244,0),0)</f>
        <v>#N/A</v>
      </c>
      <c r="K195" s="14" t="e" cm="1">
        <f t="array" ref="K195">INDEX(Benchmarks!I$6:I$244,MATCH(SolverWork!$B195,MutualFunds!$B$6:$B$244,0),0)</f>
        <v>#N/A</v>
      </c>
      <c r="L195" s="14" t="e" cm="1">
        <f t="array" ref="L195">INDEX(Benchmarks!J$6:J$244,MATCH(SolverWork!$B195,MutualFunds!$B$6:$B$244,0),0)</f>
        <v>#N/A</v>
      </c>
      <c r="M195" s="14" t="e" cm="1">
        <f t="array" ref="M195">INDEX(Benchmarks!K$6:K$244,MATCH(SolverWork!$B195,MutualFunds!$B$6:$B$244,0),0)</f>
        <v>#N/A</v>
      </c>
      <c r="N195" s="14" t="e" cm="1">
        <f t="array" ref="N195">INDEX(Benchmarks!L$6:L$244,MATCH(SolverWork!$B195,MutualFunds!$B$6:$B$244,0),0)</f>
        <v>#N/A</v>
      </c>
      <c r="O195" s="14" t="e" cm="1">
        <f t="array" ref="O195">INDEX(Benchmarks!M$6:M$244,MATCH(SolverWork!$B195,MutualFunds!$B$6:$B$244,0),0)</f>
        <v>#N/A</v>
      </c>
      <c r="P195" s="14" t="e" cm="1">
        <f t="array" ref="P195">INDEX(Benchmarks!N$6:N$244,MATCH(SolverWork!$B195,MutualFunds!$B$6:$B$244,0),0)</f>
        <v>#N/A</v>
      </c>
      <c r="Q195" s="14" t="e" cm="1">
        <f t="array" ref="Q195">INDEX(Benchmarks!O$6:O$244,MATCH(SolverWork!$B195,MutualFunds!$B$6:$B$244,0),0)</f>
        <v>#N/A</v>
      </c>
      <c r="R195" s="14" t="e" cm="1">
        <f t="array" ref="R195">INDEX(Benchmarks!P$6:P$244,MATCH(SolverWork!$B195,MutualFunds!$B$6:$B$244,0),0)</f>
        <v>#N/A</v>
      </c>
      <c r="S195" s="14" t="e" cm="1">
        <f t="array" ref="S195">INDEX(Benchmarks!Q$6:Q$244,MATCH(SolverWork!$B195,MutualFunds!$B$6:$B$244,0),0)</f>
        <v>#N/A</v>
      </c>
      <c r="T195" s="14" t="e" cm="1">
        <f t="array" ref="T195">INDEX(Benchmarks!R$6:R$244,MATCH(SolverWork!$B195,MutualFunds!$B$6:$B$244,0),0)</f>
        <v>#N/A</v>
      </c>
    </row>
    <row r="196" spans="1:20" x14ac:dyDescent="0.2">
      <c r="A196">
        <v>186</v>
      </c>
      <c r="B196" s="28" t="str">
        <f>IF(B195="","",IF(EOMONTH(B195,1)&lt;=EOMONTH(Front!$C$4,0),EOMONTH(B195,1),""))</f>
        <v/>
      </c>
      <c r="C196" s="14" t="str">
        <f>IF(B196="","",INDEX(MutualFunds!$C$6:$O$244,MATCH(B196,MutualFunds!$B$6:$B$244,0),MATCH(Front!$C$2,MutualFunds!$C$4:$O$4,0)))</f>
        <v/>
      </c>
      <c r="D196" s="14" t="str">
        <f t="shared" si="2"/>
        <v/>
      </c>
      <c r="E196" s="14" t="e" cm="1">
        <f t="array" ref="E196">INDEX(Benchmarks!C$6:C$244,MATCH(SolverWork!$B196,MutualFunds!$B$6:$B$244,0),0)</f>
        <v>#N/A</v>
      </c>
      <c r="F196" s="14" t="e" cm="1">
        <f t="array" ref="F196">INDEX(Benchmarks!D$6:D$244,MATCH(SolverWork!$B196,MutualFunds!$B$6:$B$244,0),0)</f>
        <v>#N/A</v>
      </c>
      <c r="G196" s="14" t="e" cm="1">
        <f t="array" ref="G196">INDEX(Benchmarks!E$6:E$244,MATCH(SolverWork!$B196,MutualFunds!$B$6:$B$244,0),0)</f>
        <v>#N/A</v>
      </c>
      <c r="H196" s="14" t="e" cm="1">
        <f t="array" ref="H196">INDEX(Benchmarks!F$6:F$244,MATCH(SolverWork!$B196,MutualFunds!$B$6:$B$244,0),0)</f>
        <v>#N/A</v>
      </c>
      <c r="I196" s="14" t="e" cm="1">
        <f t="array" ref="I196">INDEX(Benchmarks!G$6:G$244,MATCH(SolverWork!$B196,MutualFunds!$B$6:$B$244,0),0)</f>
        <v>#N/A</v>
      </c>
      <c r="J196" s="14" t="e" cm="1">
        <f t="array" ref="J196">INDEX(Benchmarks!H$6:H$244,MATCH(SolverWork!$B196,MutualFunds!$B$6:$B$244,0),0)</f>
        <v>#N/A</v>
      </c>
      <c r="K196" s="14" t="e" cm="1">
        <f t="array" ref="K196">INDEX(Benchmarks!I$6:I$244,MATCH(SolverWork!$B196,MutualFunds!$B$6:$B$244,0),0)</f>
        <v>#N/A</v>
      </c>
      <c r="L196" s="14" t="e" cm="1">
        <f t="array" ref="L196">INDEX(Benchmarks!J$6:J$244,MATCH(SolverWork!$B196,MutualFunds!$B$6:$B$244,0),0)</f>
        <v>#N/A</v>
      </c>
      <c r="M196" s="14" t="e" cm="1">
        <f t="array" ref="M196">INDEX(Benchmarks!K$6:K$244,MATCH(SolverWork!$B196,MutualFunds!$B$6:$B$244,0),0)</f>
        <v>#N/A</v>
      </c>
      <c r="N196" s="14" t="e" cm="1">
        <f t="array" ref="N196">INDEX(Benchmarks!L$6:L$244,MATCH(SolverWork!$B196,MutualFunds!$B$6:$B$244,0),0)</f>
        <v>#N/A</v>
      </c>
      <c r="O196" s="14" t="e" cm="1">
        <f t="array" ref="O196">INDEX(Benchmarks!M$6:M$244,MATCH(SolverWork!$B196,MutualFunds!$B$6:$B$244,0),0)</f>
        <v>#N/A</v>
      </c>
      <c r="P196" s="14" t="e" cm="1">
        <f t="array" ref="P196">INDEX(Benchmarks!N$6:N$244,MATCH(SolverWork!$B196,MutualFunds!$B$6:$B$244,0),0)</f>
        <v>#N/A</v>
      </c>
      <c r="Q196" s="14" t="e" cm="1">
        <f t="array" ref="Q196">INDEX(Benchmarks!O$6:O$244,MATCH(SolverWork!$B196,MutualFunds!$B$6:$B$244,0),0)</f>
        <v>#N/A</v>
      </c>
      <c r="R196" s="14" t="e" cm="1">
        <f t="array" ref="R196">INDEX(Benchmarks!P$6:P$244,MATCH(SolverWork!$B196,MutualFunds!$B$6:$B$244,0),0)</f>
        <v>#N/A</v>
      </c>
      <c r="S196" s="14" t="e" cm="1">
        <f t="array" ref="S196">INDEX(Benchmarks!Q$6:Q$244,MATCH(SolverWork!$B196,MutualFunds!$B$6:$B$244,0),0)</f>
        <v>#N/A</v>
      </c>
      <c r="T196" s="14" t="e" cm="1">
        <f t="array" ref="T196">INDEX(Benchmarks!R$6:R$244,MATCH(SolverWork!$B196,MutualFunds!$B$6:$B$244,0),0)</f>
        <v>#N/A</v>
      </c>
    </row>
    <row r="197" spans="1:20" x14ac:dyDescent="0.2">
      <c r="A197">
        <v>187</v>
      </c>
      <c r="B197" s="28" t="str">
        <f>IF(B196="","",IF(EOMONTH(B196,1)&lt;=EOMONTH(Front!$C$4,0),EOMONTH(B196,1),""))</f>
        <v/>
      </c>
      <c r="C197" s="14" t="str">
        <f>IF(B197="","",INDEX(MutualFunds!$C$6:$O$244,MATCH(B197,MutualFunds!$B$6:$B$244,0),MATCH(Front!$C$2,MutualFunds!$C$4:$O$4,0)))</f>
        <v/>
      </c>
      <c r="D197" s="14" t="str">
        <f t="shared" si="2"/>
        <v/>
      </c>
      <c r="E197" s="14" t="e" cm="1">
        <f t="array" ref="E197">INDEX(Benchmarks!C$6:C$244,MATCH(SolverWork!$B197,MutualFunds!$B$6:$B$244,0),0)</f>
        <v>#N/A</v>
      </c>
      <c r="F197" s="14" t="e" cm="1">
        <f t="array" ref="F197">INDEX(Benchmarks!D$6:D$244,MATCH(SolverWork!$B197,MutualFunds!$B$6:$B$244,0),0)</f>
        <v>#N/A</v>
      </c>
      <c r="G197" s="14" t="e" cm="1">
        <f t="array" ref="G197">INDEX(Benchmarks!E$6:E$244,MATCH(SolverWork!$B197,MutualFunds!$B$6:$B$244,0),0)</f>
        <v>#N/A</v>
      </c>
      <c r="H197" s="14" t="e" cm="1">
        <f t="array" ref="H197">INDEX(Benchmarks!F$6:F$244,MATCH(SolverWork!$B197,MutualFunds!$B$6:$B$244,0),0)</f>
        <v>#N/A</v>
      </c>
      <c r="I197" s="14" t="e" cm="1">
        <f t="array" ref="I197">INDEX(Benchmarks!G$6:G$244,MATCH(SolverWork!$B197,MutualFunds!$B$6:$B$244,0),0)</f>
        <v>#N/A</v>
      </c>
      <c r="J197" s="14" t="e" cm="1">
        <f t="array" ref="J197">INDEX(Benchmarks!H$6:H$244,MATCH(SolverWork!$B197,MutualFunds!$B$6:$B$244,0),0)</f>
        <v>#N/A</v>
      </c>
      <c r="K197" s="14" t="e" cm="1">
        <f t="array" ref="K197">INDEX(Benchmarks!I$6:I$244,MATCH(SolverWork!$B197,MutualFunds!$B$6:$B$244,0),0)</f>
        <v>#N/A</v>
      </c>
      <c r="L197" s="14" t="e" cm="1">
        <f t="array" ref="L197">INDEX(Benchmarks!J$6:J$244,MATCH(SolverWork!$B197,MutualFunds!$B$6:$B$244,0),0)</f>
        <v>#N/A</v>
      </c>
      <c r="M197" s="14" t="e" cm="1">
        <f t="array" ref="M197">INDEX(Benchmarks!K$6:K$244,MATCH(SolverWork!$B197,MutualFunds!$B$6:$B$244,0),0)</f>
        <v>#N/A</v>
      </c>
      <c r="N197" s="14" t="e" cm="1">
        <f t="array" ref="N197">INDEX(Benchmarks!L$6:L$244,MATCH(SolverWork!$B197,MutualFunds!$B$6:$B$244,0),0)</f>
        <v>#N/A</v>
      </c>
      <c r="O197" s="14" t="e" cm="1">
        <f t="array" ref="O197">INDEX(Benchmarks!M$6:M$244,MATCH(SolverWork!$B197,MutualFunds!$B$6:$B$244,0),0)</f>
        <v>#N/A</v>
      </c>
      <c r="P197" s="14" t="e" cm="1">
        <f t="array" ref="P197">INDEX(Benchmarks!N$6:N$244,MATCH(SolverWork!$B197,MutualFunds!$B$6:$B$244,0),0)</f>
        <v>#N/A</v>
      </c>
      <c r="Q197" s="14" t="e" cm="1">
        <f t="array" ref="Q197">INDEX(Benchmarks!O$6:O$244,MATCH(SolverWork!$B197,MutualFunds!$B$6:$B$244,0),0)</f>
        <v>#N/A</v>
      </c>
      <c r="R197" s="14" t="e" cm="1">
        <f t="array" ref="R197">INDEX(Benchmarks!P$6:P$244,MATCH(SolverWork!$B197,MutualFunds!$B$6:$B$244,0),0)</f>
        <v>#N/A</v>
      </c>
      <c r="S197" s="14" t="e" cm="1">
        <f t="array" ref="S197">INDEX(Benchmarks!Q$6:Q$244,MATCH(SolverWork!$B197,MutualFunds!$B$6:$B$244,0),0)</f>
        <v>#N/A</v>
      </c>
      <c r="T197" s="14" t="e" cm="1">
        <f t="array" ref="T197">INDEX(Benchmarks!R$6:R$244,MATCH(SolverWork!$B197,MutualFunds!$B$6:$B$244,0),0)</f>
        <v>#N/A</v>
      </c>
    </row>
    <row r="198" spans="1:20" x14ac:dyDescent="0.2">
      <c r="A198">
        <v>188</v>
      </c>
      <c r="B198" s="28" t="str">
        <f>IF(B197="","",IF(EOMONTH(B197,1)&lt;=EOMONTH(Front!$C$4,0),EOMONTH(B197,1),""))</f>
        <v/>
      </c>
      <c r="C198" s="14" t="str">
        <f>IF(B198="","",INDEX(MutualFunds!$C$6:$O$244,MATCH(B198,MutualFunds!$B$6:$B$244,0),MATCH(Front!$C$2,MutualFunds!$C$4:$O$4,0)))</f>
        <v/>
      </c>
      <c r="D198" s="14" t="str">
        <f t="shared" si="2"/>
        <v/>
      </c>
      <c r="E198" s="14" t="e" cm="1">
        <f t="array" ref="E198">INDEX(Benchmarks!C$6:C$244,MATCH(SolverWork!$B198,MutualFunds!$B$6:$B$244,0),0)</f>
        <v>#N/A</v>
      </c>
      <c r="F198" s="14" t="e" cm="1">
        <f t="array" ref="F198">INDEX(Benchmarks!D$6:D$244,MATCH(SolverWork!$B198,MutualFunds!$B$6:$B$244,0),0)</f>
        <v>#N/A</v>
      </c>
      <c r="G198" s="14" t="e" cm="1">
        <f t="array" ref="G198">INDEX(Benchmarks!E$6:E$244,MATCH(SolverWork!$B198,MutualFunds!$B$6:$B$244,0),0)</f>
        <v>#N/A</v>
      </c>
      <c r="H198" s="14" t="e" cm="1">
        <f t="array" ref="H198">INDEX(Benchmarks!F$6:F$244,MATCH(SolverWork!$B198,MutualFunds!$B$6:$B$244,0),0)</f>
        <v>#N/A</v>
      </c>
      <c r="I198" s="14" t="e" cm="1">
        <f t="array" ref="I198">INDEX(Benchmarks!G$6:G$244,MATCH(SolverWork!$B198,MutualFunds!$B$6:$B$244,0),0)</f>
        <v>#N/A</v>
      </c>
      <c r="J198" s="14" t="e" cm="1">
        <f t="array" ref="J198">INDEX(Benchmarks!H$6:H$244,MATCH(SolverWork!$B198,MutualFunds!$B$6:$B$244,0),0)</f>
        <v>#N/A</v>
      </c>
      <c r="K198" s="14" t="e" cm="1">
        <f t="array" ref="K198">INDEX(Benchmarks!I$6:I$244,MATCH(SolverWork!$B198,MutualFunds!$B$6:$B$244,0),0)</f>
        <v>#N/A</v>
      </c>
      <c r="L198" s="14" t="e" cm="1">
        <f t="array" ref="L198">INDEX(Benchmarks!J$6:J$244,MATCH(SolverWork!$B198,MutualFunds!$B$6:$B$244,0),0)</f>
        <v>#N/A</v>
      </c>
      <c r="M198" s="14" t="e" cm="1">
        <f t="array" ref="M198">INDEX(Benchmarks!K$6:K$244,MATCH(SolverWork!$B198,MutualFunds!$B$6:$B$244,0),0)</f>
        <v>#N/A</v>
      </c>
      <c r="N198" s="14" t="e" cm="1">
        <f t="array" ref="N198">INDEX(Benchmarks!L$6:L$244,MATCH(SolverWork!$B198,MutualFunds!$B$6:$B$244,0),0)</f>
        <v>#N/A</v>
      </c>
      <c r="O198" s="14" t="e" cm="1">
        <f t="array" ref="O198">INDEX(Benchmarks!M$6:M$244,MATCH(SolverWork!$B198,MutualFunds!$B$6:$B$244,0),0)</f>
        <v>#N/A</v>
      </c>
      <c r="P198" s="14" t="e" cm="1">
        <f t="array" ref="P198">INDEX(Benchmarks!N$6:N$244,MATCH(SolverWork!$B198,MutualFunds!$B$6:$B$244,0),0)</f>
        <v>#N/A</v>
      </c>
      <c r="Q198" s="14" t="e" cm="1">
        <f t="array" ref="Q198">INDEX(Benchmarks!O$6:O$244,MATCH(SolverWork!$B198,MutualFunds!$B$6:$B$244,0),0)</f>
        <v>#N/A</v>
      </c>
      <c r="R198" s="14" t="e" cm="1">
        <f t="array" ref="R198">INDEX(Benchmarks!P$6:P$244,MATCH(SolverWork!$B198,MutualFunds!$B$6:$B$244,0),0)</f>
        <v>#N/A</v>
      </c>
      <c r="S198" s="14" t="e" cm="1">
        <f t="array" ref="S198">INDEX(Benchmarks!Q$6:Q$244,MATCH(SolverWork!$B198,MutualFunds!$B$6:$B$244,0),0)</f>
        <v>#N/A</v>
      </c>
      <c r="T198" s="14" t="e" cm="1">
        <f t="array" ref="T198">INDEX(Benchmarks!R$6:R$244,MATCH(SolverWork!$B198,MutualFunds!$B$6:$B$244,0),0)</f>
        <v>#N/A</v>
      </c>
    </row>
    <row r="199" spans="1:20" x14ac:dyDescent="0.2">
      <c r="A199">
        <v>189</v>
      </c>
      <c r="B199" s="28" t="str">
        <f>IF(B198="","",IF(EOMONTH(B198,1)&lt;=EOMONTH(Front!$C$4,0),EOMONTH(B198,1),""))</f>
        <v/>
      </c>
      <c r="C199" s="14" t="str">
        <f>IF(B199="","",INDEX(MutualFunds!$C$6:$O$244,MATCH(B199,MutualFunds!$B$6:$B$244,0),MATCH(Front!$C$2,MutualFunds!$C$4:$O$4,0)))</f>
        <v/>
      </c>
      <c r="D199" s="14" t="str">
        <f t="shared" si="2"/>
        <v/>
      </c>
      <c r="E199" s="14" t="e" cm="1">
        <f t="array" ref="E199">INDEX(Benchmarks!C$6:C$244,MATCH(SolverWork!$B199,MutualFunds!$B$6:$B$244,0),0)</f>
        <v>#N/A</v>
      </c>
      <c r="F199" s="14" t="e" cm="1">
        <f t="array" ref="F199">INDEX(Benchmarks!D$6:D$244,MATCH(SolverWork!$B199,MutualFunds!$B$6:$B$244,0),0)</f>
        <v>#N/A</v>
      </c>
      <c r="G199" s="14" t="e" cm="1">
        <f t="array" ref="G199">INDEX(Benchmarks!E$6:E$244,MATCH(SolverWork!$B199,MutualFunds!$B$6:$B$244,0),0)</f>
        <v>#N/A</v>
      </c>
      <c r="H199" s="14" t="e" cm="1">
        <f t="array" ref="H199">INDEX(Benchmarks!F$6:F$244,MATCH(SolverWork!$B199,MutualFunds!$B$6:$B$244,0),0)</f>
        <v>#N/A</v>
      </c>
      <c r="I199" s="14" t="e" cm="1">
        <f t="array" ref="I199">INDEX(Benchmarks!G$6:G$244,MATCH(SolverWork!$B199,MutualFunds!$B$6:$B$244,0),0)</f>
        <v>#N/A</v>
      </c>
      <c r="J199" s="14" t="e" cm="1">
        <f t="array" ref="J199">INDEX(Benchmarks!H$6:H$244,MATCH(SolverWork!$B199,MutualFunds!$B$6:$B$244,0),0)</f>
        <v>#N/A</v>
      </c>
      <c r="K199" s="14" t="e" cm="1">
        <f t="array" ref="K199">INDEX(Benchmarks!I$6:I$244,MATCH(SolverWork!$B199,MutualFunds!$B$6:$B$244,0),0)</f>
        <v>#N/A</v>
      </c>
      <c r="L199" s="14" t="e" cm="1">
        <f t="array" ref="L199">INDEX(Benchmarks!J$6:J$244,MATCH(SolverWork!$B199,MutualFunds!$B$6:$B$244,0),0)</f>
        <v>#N/A</v>
      </c>
      <c r="M199" s="14" t="e" cm="1">
        <f t="array" ref="M199">INDEX(Benchmarks!K$6:K$244,MATCH(SolverWork!$B199,MutualFunds!$B$6:$B$244,0),0)</f>
        <v>#N/A</v>
      </c>
      <c r="N199" s="14" t="e" cm="1">
        <f t="array" ref="N199">INDEX(Benchmarks!L$6:L$244,MATCH(SolverWork!$B199,MutualFunds!$B$6:$B$244,0),0)</f>
        <v>#N/A</v>
      </c>
      <c r="O199" s="14" t="e" cm="1">
        <f t="array" ref="O199">INDEX(Benchmarks!M$6:M$244,MATCH(SolverWork!$B199,MutualFunds!$B$6:$B$244,0),0)</f>
        <v>#N/A</v>
      </c>
      <c r="P199" s="14" t="e" cm="1">
        <f t="array" ref="P199">INDEX(Benchmarks!N$6:N$244,MATCH(SolverWork!$B199,MutualFunds!$B$6:$B$244,0),0)</f>
        <v>#N/A</v>
      </c>
      <c r="Q199" s="14" t="e" cm="1">
        <f t="array" ref="Q199">INDEX(Benchmarks!O$6:O$244,MATCH(SolverWork!$B199,MutualFunds!$B$6:$B$244,0),0)</f>
        <v>#N/A</v>
      </c>
      <c r="R199" s="14" t="e" cm="1">
        <f t="array" ref="R199">INDEX(Benchmarks!P$6:P$244,MATCH(SolverWork!$B199,MutualFunds!$B$6:$B$244,0),0)</f>
        <v>#N/A</v>
      </c>
      <c r="S199" s="14" t="e" cm="1">
        <f t="array" ref="S199">INDEX(Benchmarks!Q$6:Q$244,MATCH(SolverWork!$B199,MutualFunds!$B$6:$B$244,0),0)</f>
        <v>#N/A</v>
      </c>
      <c r="T199" s="14" t="e" cm="1">
        <f t="array" ref="T199">INDEX(Benchmarks!R$6:R$244,MATCH(SolverWork!$B199,MutualFunds!$B$6:$B$244,0),0)</f>
        <v>#N/A</v>
      </c>
    </row>
    <row r="200" spans="1:20" x14ac:dyDescent="0.2">
      <c r="A200">
        <v>190</v>
      </c>
      <c r="B200" s="28" t="str">
        <f>IF(B199="","",IF(EOMONTH(B199,1)&lt;=EOMONTH(Front!$C$4,0),EOMONTH(B199,1),""))</f>
        <v/>
      </c>
      <c r="C200" s="14" t="str">
        <f>IF(B200="","",INDEX(MutualFunds!$C$6:$O$244,MATCH(B200,MutualFunds!$B$6:$B$244,0),MATCH(Front!$C$2,MutualFunds!$C$4:$O$4,0)))</f>
        <v/>
      </c>
      <c r="D200" s="14" t="str">
        <f t="shared" si="2"/>
        <v/>
      </c>
      <c r="E200" s="14" t="e" cm="1">
        <f t="array" ref="E200">INDEX(Benchmarks!C$6:C$244,MATCH(SolverWork!$B200,MutualFunds!$B$6:$B$244,0),0)</f>
        <v>#N/A</v>
      </c>
      <c r="F200" s="14" t="e" cm="1">
        <f t="array" ref="F200">INDEX(Benchmarks!D$6:D$244,MATCH(SolverWork!$B200,MutualFunds!$B$6:$B$244,0),0)</f>
        <v>#N/A</v>
      </c>
      <c r="G200" s="14" t="e" cm="1">
        <f t="array" ref="G200">INDEX(Benchmarks!E$6:E$244,MATCH(SolverWork!$B200,MutualFunds!$B$6:$B$244,0),0)</f>
        <v>#N/A</v>
      </c>
      <c r="H200" s="14" t="e" cm="1">
        <f t="array" ref="H200">INDEX(Benchmarks!F$6:F$244,MATCH(SolverWork!$B200,MutualFunds!$B$6:$B$244,0),0)</f>
        <v>#N/A</v>
      </c>
      <c r="I200" s="14" t="e" cm="1">
        <f t="array" ref="I200">INDEX(Benchmarks!G$6:G$244,MATCH(SolverWork!$B200,MutualFunds!$B$6:$B$244,0),0)</f>
        <v>#N/A</v>
      </c>
      <c r="J200" s="14" t="e" cm="1">
        <f t="array" ref="J200">INDEX(Benchmarks!H$6:H$244,MATCH(SolverWork!$B200,MutualFunds!$B$6:$B$244,0),0)</f>
        <v>#N/A</v>
      </c>
      <c r="K200" s="14" t="e" cm="1">
        <f t="array" ref="K200">INDEX(Benchmarks!I$6:I$244,MATCH(SolverWork!$B200,MutualFunds!$B$6:$B$244,0),0)</f>
        <v>#N/A</v>
      </c>
      <c r="L200" s="14" t="e" cm="1">
        <f t="array" ref="L200">INDEX(Benchmarks!J$6:J$244,MATCH(SolverWork!$B200,MutualFunds!$B$6:$B$244,0),0)</f>
        <v>#N/A</v>
      </c>
      <c r="M200" s="14" t="e" cm="1">
        <f t="array" ref="M200">INDEX(Benchmarks!K$6:K$244,MATCH(SolverWork!$B200,MutualFunds!$B$6:$B$244,0),0)</f>
        <v>#N/A</v>
      </c>
      <c r="N200" s="14" t="e" cm="1">
        <f t="array" ref="N200">INDEX(Benchmarks!L$6:L$244,MATCH(SolverWork!$B200,MutualFunds!$B$6:$B$244,0),0)</f>
        <v>#N/A</v>
      </c>
      <c r="O200" s="14" t="e" cm="1">
        <f t="array" ref="O200">INDEX(Benchmarks!M$6:M$244,MATCH(SolverWork!$B200,MutualFunds!$B$6:$B$244,0),0)</f>
        <v>#N/A</v>
      </c>
      <c r="P200" s="14" t="e" cm="1">
        <f t="array" ref="P200">INDEX(Benchmarks!N$6:N$244,MATCH(SolverWork!$B200,MutualFunds!$B$6:$B$244,0),0)</f>
        <v>#N/A</v>
      </c>
      <c r="Q200" s="14" t="e" cm="1">
        <f t="array" ref="Q200">INDEX(Benchmarks!O$6:O$244,MATCH(SolverWork!$B200,MutualFunds!$B$6:$B$244,0),0)</f>
        <v>#N/A</v>
      </c>
      <c r="R200" s="14" t="e" cm="1">
        <f t="array" ref="R200">INDEX(Benchmarks!P$6:P$244,MATCH(SolverWork!$B200,MutualFunds!$B$6:$B$244,0),0)</f>
        <v>#N/A</v>
      </c>
      <c r="S200" s="14" t="e" cm="1">
        <f t="array" ref="S200">INDEX(Benchmarks!Q$6:Q$244,MATCH(SolverWork!$B200,MutualFunds!$B$6:$B$244,0),0)</f>
        <v>#N/A</v>
      </c>
      <c r="T200" s="14" t="e" cm="1">
        <f t="array" ref="T200">INDEX(Benchmarks!R$6:R$244,MATCH(SolverWork!$B200,MutualFunds!$B$6:$B$244,0),0)</f>
        <v>#N/A</v>
      </c>
    </row>
    <row r="201" spans="1:20" x14ac:dyDescent="0.2">
      <c r="A201">
        <v>191</v>
      </c>
      <c r="B201" s="28" t="str">
        <f>IF(B200="","",IF(EOMONTH(B200,1)&lt;=EOMONTH(Front!$C$4,0),EOMONTH(B200,1),""))</f>
        <v/>
      </c>
      <c r="C201" s="14" t="str">
        <f>IF(B201="","",INDEX(MutualFunds!$C$6:$O$244,MATCH(B201,MutualFunds!$B$6:$B$244,0),MATCH(Front!$C$2,MutualFunds!$C$4:$O$4,0)))</f>
        <v/>
      </c>
      <c r="D201" s="14" t="str">
        <f t="shared" si="2"/>
        <v/>
      </c>
      <c r="E201" s="14" t="e" cm="1">
        <f t="array" ref="E201">INDEX(Benchmarks!C$6:C$244,MATCH(SolverWork!$B201,MutualFunds!$B$6:$B$244,0),0)</f>
        <v>#N/A</v>
      </c>
      <c r="F201" s="14" t="e" cm="1">
        <f t="array" ref="F201">INDEX(Benchmarks!D$6:D$244,MATCH(SolverWork!$B201,MutualFunds!$B$6:$B$244,0),0)</f>
        <v>#N/A</v>
      </c>
      <c r="G201" s="14" t="e" cm="1">
        <f t="array" ref="G201">INDEX(Benchmarks!E$6:E$244,MATCH(SolverWork!$B201,MutualFunds!$B$6:$B$244,0),0)</f>
        <v>#N/A</v>
      </c>
      <c r="H201" s="14" t="e" cm="1">
        <f t="array" ref="H201">INDEX(Benchmarks!F$6:F$244,MATCH(SolverWork!$B201,MutualFunds!$B$6:$B$244,0),0)</f>
        <v>#N/A</v>
      </c>
      <c r="I201" s="14" t="e" cm="1">
        <f t="array" ref="I201">INDEX(Benchmarks!G$6:G$244,MATCH(SolverWork!$B201,MutualFunds!$B$6:$B$244,0),0)</f>
        <v>#N/A</v>
      </c>
      <c r="J201" s="14" t="e" cm="1">
        <f t="array" ref="J201">INDEX(Benchmarks!H$6:H$244,MATCH(SolverWork!$B201,MutualFunds!$B$6:$B$244,0),0)</f>
        <v>#N/A</v>
      </c>
      <c r="K201" s="14" t="e" cm="1">
        <f t="array" ref="K201">INDEX(Benchmarks!I$6:I$244,MATCH(SolverWork!$B201,MutualFunds!$B$6:$B$244,0),0)</f>
        <v>#N/A</v>
      </c>
      <c r="L201" s="14" t="e" cm="1">
        <f t="array" ref="L201">INDEX(Benchmarks!J$6:J$244,MATCH(SolverWork!$B201,MutualFunds!$B$6:$B$244,0),0)</f>
        <v>#N/A</v>
      </c>
      <c r="M201" s="14" t="e" cm="1">
        <f t="array" ref="M201">INDEX(Benchmarks!K$6:K$244,MATCH(SolverWork!$B201,MutualFunds!$B$6:$B$244,0),0)</f>
        <v>#N/A</v>
      </c>
      <c r="N201" s="14" t="e" cm="1">
        <f t="array" ref="N201">INDEX(Benchmarks!L$6:L$244,MATCH(SolverWork!$B201,MutualFunds!$B$6:$B$244,0),0)</f>
        <v>#N/A</v>
      </c>
      <c r="O201" s="14" t="e" cm="1">
        <f t="array" ref="O201">INDEX(Benchmarks!M$6:M$244,MATCH(SolverWork!$B201,MutualFunds!$B$6:$B$244,0),0)</f>
        <v>#N/A</v>
      </c>
      <c r="P201" s="14" t="e" cm="1">
        <f t="array" ref="P201">INDEX(Benchmarks!N$6:N$244,MATCH(SolverWork!$B201,MutualFunds!$B$6:$B$244,0),0)</f>
        <v>#N/A</v>
      </c>
      <c r="Q201" s="14" t="e" cm="1">
        <f t="array" ref="Q201">INDEX(Benchmarks!O$6:O$244,MATCH(SolverWork!$B201,MutualFunds!$B$6:$B$244,0),0)</f>
        <v>#N/A</v>
      </c>
      <c r="R201" s="14" t="e" cm="1">
        <f t="array" ref="R201">INDEX(Benchmarks!P$6:P$244,MATCH(SolverWork!$B201,MutualFunds!$B$6:$B$244,0),0)</f>
        <v>#N/A</v>
      </c>
      <c r="S201" s="14" t="e" cm="1">
        <f t="array" ref="S201">INDEX(Benchmarks!Q$6:Q$244,MATCH(SolverWork!$B201,MutualFunds!$B$6:$B$244,0),0)</f>
        <v>#N/A</v>
      </c>
      <c r="T201" s="14" t="e" cm="1">
        <f t="array" ref="T201">INDEX(Benchmarks!R$6:R$244,MATCH(SolverWork!$B201,MutualFunds!$B$6:$B$244,0),0)</f>
        <v>#N/A</v>
      </c>
    </row>
    <row r="202" spans="1:20" x14ac:dyDescent="0.2">
      <c r="A202">
        <v>192</v>
      </c>
      <c r="B202" s="28" t="str">
        <f>IF(B201="","",IF(EOMONTH(B201,1)&lt;=EOMONTH(Front!$C$4,0),EOMONTH(B201,1),""))</f>
        <v/>
      </c>
      <c r="C202" s="14" t="str">
        <f>IF(B202="","",INDEX(MutualFunds!$C$6:$O$244,MATCH(B202,MutualFunds!$B$6:$B$244,0),MATCH(Front!$C$2,MutualFunds!$C$4:$O$4,0)))</f>
        <v/>
      </c>
      <c r="D202" s="14" t="str">
        <f t="shared" si="2"/>
        <v/>
      </c>
      <c r="E202" s="14" t="e" cm="1">
        <f t="array" ref="E202">INDEX(Benchmarks!C$6:C$244,MATCH(SolverWork!$B202,MutualFunds!$B$6:$B$244,0),0)</f>
        <v>#N/A</v>
      </c>
      <c r="F202" s="14" t="e" cm="1">
        <f t="array" ref="F202">INDEX(Benchmarks!D$6:D$244,MATCH(SolverWork!$B202,MutualFunds!$B$6:$B$244,0),0)</f>
        <v>#N/A</v>
      </c>
      <c r="G202" s="14" t="e" cm="1">
        <f t="array" ref="G202">INDEX(Benchmarks!E$6:E$244,MATCH(SolverWork!$B202,MutualFunds!$B$6:$B$244,0),0)</f>
        <v>#N/A</v>
      </c>
      <c r="H202" s="14" t="e" cm="1">
        <f t="array" ref="H202">INDEX(Benchmarks!F$6:F$244,MATCH(SolverWork!$B202,MutualFunds!$B$6:$B$244,0),0)</f>
        <v>#N/A</v>
      </c>
      <c r="I202" s="14" t="e" cm="1">
        <f t="array" ref="I202">INDEX(Benchmarks!G$6:G$244,MATCH(SolverWork!$B202,MutualFunds!$B$6:$B$244,0),0)</f>
        <v>#N/A</v>
      </c>
      <c r="J202" s="14" t="e" cm="1">
        <f t="array" ref="J202">INDEX(Benchmarks!H$6:H$244,MATCH(SolverWork!$B202,MutualFunds!$B$6:$B$244,0),0)</f>
        <v>#N/A</v>
      </c>
      <c r="K202" s="14" t="e" cm="1">
        <f t="array" ref="K202">INDEX(Benchmarks!I$6:I$244,MATCH(SolverWork!$B202,MutualFunds!$B$6:$B$244,0),0)</f>
        <v>#N/A</v>
      </c>
      <c r="L202" s="14" t="e" cm="1">
        <f t="array" ref="L202">INDEX(Benchmarks!J$6:J$244,MATCH(SolverWork!$B202,MutualFunds!$B$6:$B$244,0),0)</f>
        <v>#N/A</v>
      </c>
      <c r="M202" s="14" t="e" cm="1">
        <f t="array" ref="M202">INDEX(Benchmarks!K$6:K$244,MATCH(SolverWork!$B202,MutualFunds!$B$6:$B$244,0),0)</f>
        <v>#N/A</v>
      </c>
      <c r="N202" s="14" t="e" cm="1">
        <f t="array" ref="N202">INDEX(Benchmarks!L$6:L$244,MATCH(SolverWork!$B202,MutualFunds!$B$6:$B$244,0),0)</f>
        <v>#N/A</v>
      </c>
      <c r="O202" s="14" t="e" cm="1">
        <f t="array" ref="O202">INDEX(Benchmarks!M$6:M$244,MATCH(SolverWork!$B202,MutualFunds!$B$6:$B$244,0),0)</f>
        <v>#N/A</v>
      </c>
      <c r="P202" s="14" t="e" cm="1">
        <f t="array" ref="P202">INDEX(Benchmarks!N$6:N$244,MATCH(SolverWork!$B202,MutualFunds!$B$6:$B$244,0),0)</f>
        <v>#N/A</v>
      </c>
      <c r="Q202" s="14" t="e" cm="1">
        <f t="array" ref="Q202">INDEX(Benchmarks!O$6:O$244,MATCH(SolverWork!$B202,MutualFunds!$B$6:$B$244,0),0)</f>
        <v>#N/A</v>
      </c>
      <c r="R202" s="14" t="e" cm="1">
        <f t="array" ref="R202">INDEX(Benchmarks!P$6:P$244,MATCH(SolverWork!$B202,MutualFunds!$B$6:$B$244,0),0)</f>
        <v>#N/A</v>
      </c>
      <c r="S202" s="14" t="e" cm="1">
        <f t="array" ref="S202">INDEX(Benchmarks!Q$6:Q$244,MATCH(SolverWork!$B202,MutualFunds!$B$6:$B$244,0),0)</f>
        <v>#N/A</v>
      </c>
      <c r="T202" s="14" t="e" cm="1">
        <f t="array" ref="T202">INDEX(Benchmarks!R$6:R$244,MATCH(SolverWork!$B202,MutualFunds!$B$6:$B$244,0),0)</f>
        <v>#N/A</v>
      </c>
    </row>
    <row r="203" spans="1:20" x14ac:dyDescent="0.2">
      <c r="A203">
        <v>193</v>
      </c>
      <c r="B203" s="28" t="str">
        <f>IF(B202="","",IF(EOMONTH(B202,1)&lt;=EOMONTH(Front!$C$4,0),EOMONTH(B202,1),""))</f>
        <v/>
      </c>
      <c r="C203" s="14" t="str">
        <f>IF(B203="","",INDEX(MutualFunds!$C$6:$O$244,MATCH(B203,MutualFunds!$B$6:$B$244,0),MATCH(Front!$C$2,MutualFunds!$C$4:$O$4,0)))</f>
        <v/>
      </c>
      <c r="D203" s="14" t="str">
        <f t="shared" ref="D203:D249" si="3">IF(B203="","",C203-SUMPRODUCT($E$7:$T$7,E203:T203))</f>
        <v/>
      </c>
      <c r="E203" s="14" t="e" cm="1">
        <f t="array" ref="E203">INDEX(Benchmarks!C$6:C$244,MATCH(SolverWork!$B203,MutualFunds!$B$6:$B$244,0),0)</f>
        <v>#N/A</v>
      </c>
      <c r="F203" s="14" t="e" cm="1">
        <f t="array" ref="F203">INDEX(Benchmarks!D$6:D$244,MATCH(SolverWork!$B203,MutualFunds!$B$6:$B$244,0),0)</f>
        <v>#N/A</v>
      </c>
      <c r="G203" s="14" t="e" cm="1">
        <f t="array" ref="G203">INDEX(Benchmarks!E$6:E$244,MATCH(SolverWork!$B203,MutualFunds!$B$6:$B$244,0),0)</f>
        <v>#N/A</v>
      </c>
      <c r="H203" s="14" t="e" cm="1">
        <f t="array" ref="H203">INDEX(Benchmarks!F$6:F$244,MATCH(SolverWork!$B203,MutualFunds!$B$6:$B$244,0),0)</f>
        <v>#N/A</v>
      </c>
      <c r="I203" s="14" t="e" cm="1">
        <f t="array" ref="I203">INDEX(Benchmarks!G$6:G$244,MATCH(SolverWork!$B203,MutualFunds!$B$6:$B$244,0),0)</f>
        <v>#N/A</v>
      </c>
      <c r="J203" s="14" t="e" cm="1">
        <f t="array" ref="J203">INDEX(Benchmarks!H$6:H$244,MATCH(SolverWork!$B203,MutualFunds!$B$6:$B$244,0),0)</f>
        <v>#N/A</v>
      </c>
      <c r="K203" s="14" t="e" cm="1">
        <f t="array" ref="K203">INDEX(Benchmarks!I$6:I$244,MATCH(SolverWork!$B203,MutualFunds!$B$6:$B$244,0),0)</f>
        <v>#N/A</v>
      </c>
      <c r="L203" s="14" t="e" cm="1">
        <f t="array" ref="L203">INDEX(Benchmarks!J$6:J$244,MATCH(SolverWork!$B203,MutualFunds!$B$6:$B$244,0),0)</f>
        <v>#N/A</v>
      </c>
      <c r="M203" s="14" t="e" cm="1">
        <f t="array" ref="M203">INDEX(Benchmarks!K$6:K$244,MATCH(SolverWork!$B203,MutualFunds!$B$6:$B$244,0),0)</f>
        <v>#N/A</v>
      </c>
      <c r="N203" s="14" t="e" cm="1">
        <f t="array" ref="N203">INDEX(Benchmarks!L$6:L$244,MATCH(SolverWork!$B203,MutualFunds!$B$6:$B$244,0),0)</f>
        <v>#N/A</v>
      </c>
      <c r="O203" s="14" t="e" cm="1">
        <f t="array" ref="O203">INDEX(Benchmarks!M$6:M$244,MATCH(SolverWork!$B203,MutualFunds!$B$6:$B$244,0),0)</f>
        <v>#N/A</v>
      </c>
      <c r="P203" s="14" t="e" cm="1">
        <f t="array" ref="P203">INDEX(Benchmarks!N$6:N$244,MATCH(SolverWork!$B203,MutualFunds!$B$6:$B$244,0),0)</f>
        <v>#N/A</v>
      </c>
      <c r="Q203" s="14" t="e" cm="1">
        <f t="array" ref="Q203">INDEX(Benchmarks!O$6:O$244,MATCH(SolverWork!$B203,MutualFunds!$B$6:$B$244,0),0)</f>
        <v>#N/A</v>
      </c>
      <c r="R203" s="14" t="e" cm="1">
        <f t="array" ref="R203">INDEX(Benchmarks!P$6:P$244,MATCH(SolverWork!$B203,MutualFunds!$B$6:$B$244,0),0)</f>
        <v>#N/A</v>
      </c>
      <c r="S203" s="14" t="e" cm="1">
        <f t="array" ref="S203">INDEX(Benchmarks!Q$6:Q$244,MATCH(SolverWork!$B203,MutualFunds!$B$6:$B$244,0),0)</f>
        <v>#N/A</v>
      </c>
      <c r="T203" s="14" t="e" cm="1">
        <f t="array" ref="T203">INDEX(Benchmarks!R$6:R$244,MATCH(SolverWork!$B203,MutualFunds!$B$6:$B$244,0),0)</f>
        <v>#N/A</v>
      </c>
    </row>
    <row r="204" spans="1:20" x14ac:dyDescent="0.2">
      <c r="A204">
        <v>194</v>
      </c>
      <c r="B204" s="28" t="str">
        <f>IF(B203="","",IF(EOMONTH(B203,1)&lt;=EOMONTH(Front!$C$4,0),EOMONTH(B203,1),""))</f>
        <v/>
      </c>
      <c r="C204" s="14" t="str">
        <f>IF(B204="","",INDEX(MutualFunds!$C$6:$O$244,MATCH(B204,MutualFunds!$B$6:$B$244,0),MATCH(Front!$C$2,MutualFunds!$C$4:$O$4,0)))</f>
        <v/>
      </c>
      <c r="D204" s="14" t="str">
        <f t="shared" si="3"/>
        <v/>
      </c>
      <c r="E204" s="14" t="e" cm="1">
        <f t="array" ref="E204">INDEX(Benchmarks!C$6:C$244,MATCH(SolverWork!$B204,MutualFunds!$B$6:$B$244,0),0)</f>
        <v>#N/A</v>
      </c>
      <c r="F204" s="14" t="e" cm="1">
        <f t="array" ref="F204">INDEX(Benchmarks!D$6:D$244,MATCH(SolverWork!$B204,MutualFunds!$B$6:$B$244,0),0)</f>
        <v>#N/A</v>
      </c>
      <c r="G204" s="14" t="e" cm="1">
        <f t="array" ref="G204">INDEX(Benchmarks!E$6:E$244,MATCH(SolverWork!$B204,MutualFunds!$B$6:$B$244,0),0)</f>
        <v>#N/A</v>
      </c>
      <c r="H204" s="14" t="e" cm="1">
        <f t="array" ref="H204">INDEX(Benchmarks!F$6:F$244,MATCH(SolverWork!$B204,MutualFunds!$B$6:$B$244,0),0)</f>
        <v>#N/A</v>
      </c>
      <c r="I204" s="14" t="e" cm="1">
        <f t="array" ref="I204">INDEX(Benchmarks!G$6:G$244,MATCH(SolverWork!$B204,MutualFunds!$B$6:$B$244,0),0)</f>
        <v>#N/A</v>
      </c>
      <c r="J204" s="14" t="e" cm="1">
        <f t="array" ref="J204">INDEX(Benchmarks!H$6:H$244,MATCH(SolverWork!$B204,MutualFunds!$B$6:$B$244,0),0)</f>
        <v>#N/A</v>
      </c>
      <c r="K204" s="14" t="e" cm="1">
        <f t="array" ref="K204">INDEX(Benchmarks!I$6:I$244,MATCH(SolverWork!$B204,MutualFunds!$B$6:$B$244,0),0)</f>
        <v>#N/A</v>
      </c>
      <c r="L204" s="14" t="e" cm="1">
        <f t="array" ref="L204">INDEX(Benchmarks!J$6:J$244,MATCH(SolverWork!$B204,MutualFunds!$B$6:$B$244,0),0)</f>
        <v>#N/A</v>
      </c>
      <c r="M204" s="14" t="e" cm="1">
        <f t="array" ref="M204">INDEX(Benchmarks!K$6:K$244,MATCH(SolverWork!$B204,MutualFunds!$B$6:$B$244,0),0)</f>
        <v>#N/A</v>
      </c>
      <c r="N204" s="14" t="e" cm="1">
        <f t="array" ref="N204">INDEX(Benchmarks!L$6:L$244,MATCH(SolverWork!$B204,MutualFunds!$B$6:$B$244,0),0)</f>
        <v>#N/A</v>
      </c>
      <c r="O204" s="14" t="e" cm="1">
        <f t="array" ref="O204">INDEX(Benchmarks!M$6:M$244,MATCH(SolverWork!$B204,MutualFunds!$B$6:$B$244,0),0)</f>
        <v>#N/A</v>
      </c>
      <c r="P204" s="14" t="e" cm="1">
        <f t="array" ref="P204">INDEX(Benchmarks!N$6:N$244,MATCH(SolverWork!$B204,MutualFunds!$B$6:$B$244,0),0)</f>
        <v>#N/A</v>
      </c>
      <c r="Q204" s="14" t="e" cm="1">
        <f t="array" ref="Q204">INDEX(Benchmarks!O$6:O$244,MATCH(SolverWork!$B204,MutualFunds!$B$6:$B$244,0),0)</f>
        <v>#N/A</v>
      </c>
      <c r="R204" s="14" t="e" cm="1">
        <f t="array" ref="R204">INDEX(Benchmarks!P$6:P$244,MATCH(SolverWork!$B204,MutualFunds!$B$6:$B$244,0),0)</f>
        <v>#N/A</v>
      </c>
      <c r="S204" s="14" t="e" cm="1">
        <f t="array" ref="S204">INDEX(Benchmarks!Q$6:Q$244,MATCH(SolverWork!$B204,MutualFunds!$B$6:$B$244,0),0)</f>
        <v>#N/A</v>
      </c>
      <c r="T204" s="14" t="e" cm="1">
        <f t="array" ref="T204">INDEX(Benchmarks!R$6:R$244,MATCH(SolverWork!$B204,MutualFunds!$B$6:$B$244,0),0)</f>
        <v>#N/A</v>
      </c>
    </row>
    <row r="205" spans="1:20" x14ac:dyDescent="0.2">
      <c r="A205">
        <v>195</v>
      </c>
      <c r="B205" s="28" t="str">
        <f>IF(B204="","",IF(EOMONTH(B204,1)&lt;=EOMONTH(Front!$C$4,0),EOMONTH(B204,1),""))</f>
        <v/>
      </c>
      <c r="C205" s="14" t="str">
        <f>IF(B205="","",INDEX(MutualFunds!$C$6:$O$244,MATCH(B205,MutualFunds!$B$6:$B$244,0),MATCH(Front!$C$2,MutualFunds!$C$4:$O$4,0)))</f>
        <v/>
      </c>
      <c r="D205" s="14" t="str">
        <f t="shared" si="3"/>
        <v/>
      </c>
      <c r="E205" s="14" t="e" cm="1">
        <f t="array" ref="E205">INDEX(Benchmarks!C$6:C$244,MATCH(SolverWork!$B205,MutualFunds!$B$6:$B$244,0),0)</f>
        <v>#N/A</v>
      </c>
      <c r="F205" s="14" t="e" cm="1">
        <f t="array" ref="F205">INDEX(Benchmarks!D$6:D$244,MATCH(SolverWork!$B205,MutualFunds!$B$6:$B$244,0),0)</f>
        <v>#N/A</v>
      </c>
      <c r="G205" s="14" t="e" cm="1">
        <f t="array" ref="G205">INDEX(Benchmarks!E$6:E$244,MATCH(SolverWork!$B205,MutualFunds!$B$6:$B$244,0),0)</f>
        <v>#N/A</v>
      </c>
      <c r="H205" s="14" t="e" cm="1">
        <f t="array" ref="H205">INDEX(Benchmarks!F$6:F$244,MATCH(SolverWork!$B205,MutualFunds!$B$6:$B$244,0),0)</f>
        <v>#N/A</v>
      </c>
      <c r="I205" s="14" t="e" cm="1">
        <f t="array" ref="I205">INDEX(Benchmarks!G$6:G$244,MATCH(SolverWork!$B205,MutualFunds!$B$6:$B$244,0),0)</f>
        <v>#N/A</v>
      </c>
      <c r="J205" s="14" t="e" cm="1">
        <f t="array" ref="J205">INDEX(Benchmarks!H$6:H$244,MATCH(SolverWork!$B205,MutualFunds!$B$6:$B$244,0),0)</f>
        <v>#N/A</v>
      </c>
      <c r="K205" s="14" t="e" cm="1">
        <f t="array" ref="K205">INDEX(Benchmarks!I$6:I$244,MATCH(SolverWork!$B205,MutualFunds!$B$6:$B$244,0),0)</f>
        <v>#N/A</v>
      </c>
      <c r="L205" s="14" t="e" cm="1">
        <f t="array" ref="L205">INDEX(Benchmarks!J$6:J$244,MATCH(SolverWork!$B205,MutualFunds!$B$6:$B$244,0),0)</f>
        <v>#N/A</v>
      </c>
      <c r="M205" s="14" t="e" cm="1">
        <f t="array" ref="M205">INDEX(Benchmarks!K$6:K$244,MATCH(SolverWork!$B205,MutualFunds!$B$6:$B$244,0),0)</f>
        <v>#N/A</v>
      </c>
      <c r="N205" s="14" t="e" cm="1">
        <f t="array" ref="N205">INDEX(Benchmarks!L$6:L$244,MATCH(SolverWork!$B205,MutualFunds!$B$6:$B$244,0),0)</f>
        <v>#N/A</v>
      </c>
      <c r="O205" s="14" t="e" cm="1">
        <f t="array" ref="O205">INDEX(Benchmarks!M$6:M$244,MATCH(SolverWork!$B205,MutualFunds!$B$6:$B$244,0),0)</f>
        <v>#N/A</v>
      </c>
      <c r="P205" s="14" t="e" cm="1">
        <f t="array" ref="P205">INDEX(Benchmarks!N$6:N$244,MATCH(SolverWork!$B205,MutualFunds!$B$6:$B$244,0),0)</f>
        <v>#N/A</v>
      </c>
      <c r="Q205" s="14" t="e" cm="1">
        <f t="array" ref="Q205">INDEX(Benchmarks!O$6:O$244,MATCH(SolverWork!$B205,MutualFunds!$B$6:$B$244,0),0)</f>
        <v>#N/A</v>
      </c>
      <c r="R205" s="14" t="e" cm="1">
        <f t="array" ref="R205">INDEX(Benchmarks!P$6:P$244,MATCH(SolverWork!$B205,MutualFunds!$B$6:$B$244,0),0)</f>
        <v>#N/A</v>
      </c>
      <c r="S205" s="14" t="e" cm="1">
        <f t="array" ref="S205">INDEX(Benchmarks!Q$6:Q$244,MATCH(SolverWork!$B205,MutualFunds!$B$6:$B$244,0),0)</f>
        <v>#N/A</v>
      </c>
      <c r="T205" s="14" t="e" cm="1">
        <f t="array" ref="T205">INDEX(Benchmarks!R$6:R$244,MATCH(SolverWork!$B205,MutualFunds!$B$6:$B$244,0),0)</f>
        <v>#N/A</v>
      </c>
    </row>
    <row r="206" spans="1:20" x14ac:dyDescent="0.2">
      <c r="A206">
        <v>196</v>
      </c>
      <c r="B206" s="28" t="str">
        <f>IF(B205="","",IF(EOMONTH(B205,1)&lt;=EOMONTH(Front!$C$4,0),EOMONTH(B205,1),""))</f>
        <v/>
      </c>
      <c r="C206" s="14" t="str">
        <f>IF(B206="","",INDEX(MutualFunds!$C$6:$O$244,MATCH(B206,MutualFunds!$B$6:$B$244,0),MATCH(Front!$C$2,MutualFunds!$C$4:$O$4,0)))</f>
        <v/>
      </c>
      <c r="D206" s="14" t="str">
        <f t="shared" si="3"/>
        <v/>
      </c>
      <c r="E206" s="14" t="e" cm="1">
        <f t="array" ref="E206">INDEX(Benchmarks!C$6:C$244,MATCH(SolverWork!$B206,MutualFunds!$B$6:$B$244,0),0)</f>
        <v>#N/A</v>
      </c>
      <c r="F206" s="14" t="e" cm="1">
        <f t="array" ref="F206">INDEX(Benchmarks!D$6:D$244,MATCH(SolverWork!$B206,MutualFunds!$B$6:$B$244,0),0)</f>
        <v>#N/A</v>
      </c>
      <c r="G206" s="14" t="e" cm="1">
        <f t="array" ref="G206">INDEX(Benchmarks!E$6:E$244,MATCH(SolverWork!$B206,MutualFunds!$B$6:$B$244,0),0)</f>
        <v>#N/A</v>
      </c>
      <c r="H206" s="14" t="e" cm="1">
        <f t="array" ref="H206">INDEX(Benchmarks!F$6:F$244,MATCH(SolverWork!$B206,MutualFunds!$B$6:$B$244,0),0)</f>
        <v>#N/A</v>
      </c>
      <c r="I206" s="14" t="e" cm="1">
        <f t="array" ref="I206">INDEX(Benchmarks!G$6:G$244,MATCH(SolverWork!$B206,MutualFunds!$B$6:$B$244,0),0)</f>
        <v>#N/A</v>
      </c>
      <c r="J206" s="14" t="e" cm="1">
        <f t="array" ref="J206">INDEX(Benchmarks!H$6:H$244,MATCH(SolverWork!$B206,MutualFunds!$B$6:$B$244,0),0)</f>
        <v>#N/A</v>
      </c>
      <c r="K206" s="14" t="e" cm="1">
        <f t="array" ref="K206">INDEX(Benchmarks!I$6:I$244,MATCH(SolverWork!$B206,MutualFunds!$B$6:$B$244,0),0)</f>
        <v>#N/A</v>
      </c>
      <c r="L206" s="14" t="e" cm="1">
        <f t="array" ref="L206">INDEX(Benchmarks!J$6:J$244,MATCH(SolverWork!$B206,MutualFunds!$B$6:$B$244,0),0)</f>
        <v>#N/A</v>
      </c>
      <c r="M206" s="14" t="e" cm="1">
        <f t="array" ref="M206">INDEX(Benchmarks!K$6:K$244,MATCH(SolverWork!$B206,MutualFunds!$B$6:$B$244,0),0)</f>
        <v>#N/A</v>
      </c>
      <c r="N206" s="14" t="e" cm="1">
        <f t="array" ref="N206">INDEX(Benchmarks!L$6:L$244,MATCH(SolverWork!$B206,MutualFunds!$B$6:$B$244,0),0)</f>
        <v>#N/A</v>
      </c>
      <c r="O206" s="14" t="e" cm="1">
        <f t="array" ref="O206">INDEX(Benchmarks!M$6:M$244,MATCH(SolverWork!$B206,MutualFunds!$B$6:$B$244,0),0)</f>
        <v>#N/A</v>
      </c>
      <c r="P206" s="14" t="e" cm="1">
        <f t="array" ref="P206">INDEX(Benchmarks!N$6:N$244,MATCH(SolverWork!$B206,MutualFunds!$B$6:$B$244,0),0)</f>
        <v>#N/A</v>
      </c>
      <c r="Q206" s="14" t="e" cm="1">
        <f t="array" ref="Q206">INDEX(Benchmarks!O$6:O$244,MATCH(SolverWork!$B206,MutualFunds!$B$6:$B$244,0),0)</f>
        <v>#N/A</v>
      </c>
      <c r="R206" s="14" t="e" cm="1">
        <f t="array" ref="R206">INDEX(Benchmarks!P$6:P$244,MATCH(SolverWork!$B206,MutualFunds!$B$6:$B$244,0),0)</f>
        <v>#N/A</v>
      </c>
      <c r="S206" s="14" t="e" cm="1">
        <f t="array" ref="S206">INDEX(Benchmarks!Q$6:Q$244,MATCH(SolverWork!$B206,MutualFunds!$B$6:$B$244,0),0)</f>
        <v>#N/A</v>
      </c>
      <c r="T206" s="14" t="e" cm="1">
        <f t="array" ref="T206">INDEX(Benchmarks!R$6:R$244,MATCH(SolverWork!$B206,MutualFunds!$B$6:$B$244,0),0)</f>
        <v>#N/A</v>
      </c>
    </row>
    <row r="207" spans="1:20" x14ac:dyDescent="0.2">
      <c r="A207">
        <v>197</v>
      </c>
      <c r="B207" s="28" t="str">
        <f>IF(B206="","",IF(EOMONTH(B206,1)&lt;=EOMONTH(Front!$C$4,0),EOMONTH(B206,1),""))</f>
        <v/>
      </c>
      <c r="C207" s="14" t="str">
        <f>IF(B207="","",INDEX(MutualFunds!$C$6:$O$244,MATCH(B207,MutualFunds!$B$6:$B$244,0),MATCH(Front!$C$2,MutualFunds!$C$4:$O$4,0)))</f>
        <v/>
      </c>
      <c r="D207" s="14" t="str">
        <f t="shared" si="3"/>
        <v/>
      </c>
      <c r="E207" s="14" t="e" cm="1">
        <f t="array" ref="E207">INDEX(Benchmarks!C$6:C$244,MATCH(SolverWork!$B207,MutualFunds!$B$6:$B$244,0),0)</f>
        <v>#N/A</v>
      </c>
      <c r="F207" s="14" t="e" cm="1">
        <f t="array" ref="F207">INDEX(Benchmarks!D$6:D$244,MATCH(SolverWork!$B207,MutualFunds!$B$6:$B$244,0),0)</f>
        <v>#N/A</v>
      </c>
      <c r="G207" s="14" t="e" cm="1">
        <f t="array" ref="G207">INDEX(Benchmarks!E$6:E$244,MATCH(SolverWork!$B207,MutualFunds!$B$6:$B$244,0),0)</f>
        <v>#N/A</v>
      </c>
      <c r="H207" s="14" t="e" cm="1">
        <f t="array" ref="H207">INDEX(Benchmarks!F$6:F$244,MATCH(SolverWork!$B207,MutualFunds!$B$6:$B$244,0),0)</f>
        <v>#N/A</v>
      </c>
      <c r="I207" s="14" t="e" cm="1">
        <f t="array" ref="I207">INDEX(Benchmarks!G$6:G$244,MATCH(SolverWork!$B207,MutualFunds!$B$6:$B$244,0),0)</f>
        <v>#N/A</v>
      </c>
      <c r="J207" s="14" t="e" cm="1">
        <f t="array" ref="J207">INDEX(Benchmarks!H$6:H$244,MATCH(SolverWork!$B207,MutualFunds!$B$6:$B$244,0),0)</f>
        <v>#N/A</v>
      </c>
      <c r="K207" s="14" t="e" cm="1">
        <f t="array" ref="K207">INDEX(Benchmarks!I$6:I$244,MATCH(SolverWork!$B207,MutualFunds!$B$6:$B$244,0),0)</f>
        <v>#N/A</v>
      </c>
      <c r="L207" s="14" t="e" cm="1">
        <f t="array" ref="L207">INDEX(Benchmarks!J$6:J$244,MATCH(SolverWork!$B207,MutualFunds!$B$6:$B$244,0),0)</f>
        <v>#N/A</v>
      </c>
      <c r="M207" s="14" t="e" cm="1">
        <f t="array" ref="M207">INDEX(Benchmarks!K$6:K$244,MATCH(SolverWork!$B207,MutualFunds!$B$6:$B$244,0),0)</f>
        <v>#N/A</v>
      </c>
      <c r="N207" s="14" t="e" cm="1">
        <f t="array" ref="N207">INDEX(Benchmarks!L$6:L$244,MATCH(SolverWork!$B207,MutualFunds!$B$6:$B$244,0),0)</f>
        <v>#N/A</v>
      </c>
      <c r="O207" s="14" t="e" cm="1">
        <f t="array" ref="O207">INDEX(Benchmarks!M$6:M$244,MATCH(SolverWork!$B207,MutualFunds!$B$6:$B$244,0),0)</f>
        <v>#N/A</v>
      </c>
      <c r="P207" s="14" t="e" cm="1">
        <f t="array" ref="P207">INDEX(Benchmarks!N$6:N$244,MATCH(SolverWork!$B207,MutualFunds!$B$6:$B$244,0),0)</f>
        <v>#N/A</v>
      </c>
      <c r="Q207" s="14" t="e" cm="1">
        <f t="array" ref="Q207">INDEX(Benchmarks!O$6:O$244,MATCH(SolverWork!$B207,MutualFunds!$B$6:$B$244,0),0)</f>
        <v>#N/A</v>
      </c>
      <c r="R207" s="14" t="e" cm="1">
        <f t="array" ref="R207">INDEX(Benchmarks!P$6:P$244,MATCH(SolverWork!$B207,MutualFunds!$B$6:$B$244,0),0)</f>
        <v>#N/A</v>
      </c>
      <c r="S207" s="14" t="e" cm="1">
        <f t="array" ref="S207">INDEX(Benchmarks!Q$6:Q$244,MATCH(SolverWork!$B207,MutualFunds!$B$6:$B$244,0),0)</f>
        <v>#N/A</v>
      </c>
      <c r="T207" s="14" t="e" cm="1">
        <f t="array" ref="T207">INDEX(Benchmarks!R$6:R$244,MATCH(SolverWork!$B207,MutualFunds!$B$6:$B$244,0),0)</f>
        <v>#N/A</v>
      </c>
    </row>
    <row r="208" spans="1:20" x14ac:dyDescent="0.2">
      <c r="A208">
        <v>198</v>
      </c>
      <c r="B208" s="28" t="str">
        <f>IF(B207="","",IF(EOMONTH(B207,1)&lt;=EOMONTH(Front!$C$4,0),EOMONTH(B207,1),""))</f>
        <v/>
      </c>
      <c r="C208" s="14" t="str">
        <f>IF(B208="","",INDEX(MutualFunds!$C$6:$O$244,MATCH(B208,MutualFunds!$B$6:$B$244,0),MATCH(Front!$C$2,MutualFunds!$C$4:$O$4,0)))</f>
        <v/>
      </c>
      <c r="D208" s="14" t="str">
        <f t="shared" si="3"/>
        <v/>
      </c>
      <c r="E208" s="14" t="e" cm="1">
        <f t="array" ref="E208">INDEX(Benchmarks!C$6:C$244,MATCH(SolverWork!$B208,MutualFunds!$B$6:$B$244,0),0)</f>
        <v>#N/A</v>
      </c>
      <c r="F208" s="14" t="e" cm="1">
        <f t="array" ref="F208">INDEX(Benchmarks!D$6:D$244,MATCH(SolverWork!$B208,MutualFunds!$B$6:$B$244,0),0)</f>
        <v>#N/A</v>
      </c>
      <c r="G208" s="14" t="e" cm="1">
        <f t="array" ref="G208">INDEX(Benchmarks!E$6:E$244,MATCH(SolverWork!$B208,MutualFunds!$B$6:$B$244,0),0)</f>
        <v>#N/A</v>
      </c>
      <c r="H208" s="14" t="e" cm="1">
        <f t="array" ref="H208">INDEX(Benchmarks!F$6:F$244,MATCH(SolverWork!$B208,MutualFunds!$B$6:$B$244,0),0)</f>
        <v>#N/A</v>
      </c>
      <c r="I208" s="14" t="e" cm="1">
        <f t="array" ref="I208">INDEX(Benchmarks!G$6:G$244,MATCH(SolverWork!$B208,MutualFunds!$B$6:$B$244,0),0)</f>
        <v>#N/A</v>
      </c>
      <c r="J208" s="14" t="e" cm="1">
        <f t="array" ref="J208">INDEX(Benchmarks!H$6:H$244,MATCH(SolverWork!$B208,MutualFunds!$B$6:$B$244,0),0)</f>
        <v>#N/A</v>
      </c>
      <c r="K208" s="14" t="e" cm="1">
        <f t="array" ref="K208">INDEX(Benchmarks!I$6:I$244,MATCH(SolverWork!$B208,MutualFunds!$B$6:$B$244,0),0)</f>
        <v>#N/A</v>
      </c>
      <c r="L208" s="14" t="e" cm="1">
        <f t="array" ref="L208">INDEX(Benchmarks!J$6:J$244,MATCH(SolverWork!$B208,MutualFunds!$B$6:$B$244,0),0)</f>
        <v>#N/A</v>
      </c>
      <c r="M208" s="14" t="e" cm="1">
        <f t="array" ref="M208">INDEX(Benchmarks!K$6:K$244,MATCH(SolverWork!$B208,MutualFunds!$B$6:$B$244,0),0)</f>
        <v>#N/A</v>
      </c>
      <c r="N208" s="14" t="e" cm="1">
        <f t="array" ref="N208">INDEX(Benchmarks!L$6:L$244,MATCH(SolverWork!$B208,MutualFunds!$B$6:$B$244,0),0)</f>
        <v>#N/A</v>
      </c>
      <c r="O208" s="14" t="e" cm="1">
        <f t="array" ref="O208">INDEX(Benchmarks!M$6:M$244,MATCH(SolverWork!$B208,MutualFunds!$B$6:$B$244,0),0)</f>
        <v>#N/A</v>
      </c>
      <c r="P208" s="14" t="e" cm="1">
        <f t="array" ref="P208">INDEX(Benchmarks!N$6:N$244,MATCH(SolverWork!$B208,MutualFunds!$B$6:$B$244,0),0)</f>
        <v>#N/A</v>
      </c>
      <c r="Q208" s="14" t="e" cm="1">
        <f t="array" ref="Q208">INDEX(Benchmarks!O$6:O$244,MATCH(SolverWork!$B208,MutualFunds!$B$6:$B$244,0),0)</f>
        <v>#N/A</v>
      </c>
      <c r="R208" s="14" t="e" cm="1">
        <f t="array" ref="R208">INDEX(Benchmarks!P$6:P$244,MATCH(SolverWork!$B208,MutualFunds!$B$6:$B$244,0),0)</f>
        <v>#N/A</v>
      </c>
      <c r="S208" s="14" t="e" cm="1">
        <f t="array" ref="S208">INDEX(Benchmarks!Q$6:Q$244,MATCH(SolverWork!$B208,MutualFunds!$B$6:$B$244,0),0)</f>
        <v>#N/A</v>
      </c>
      <c r="T208" s="14" t="e" cm="1">
        <f t="array" ref="T208">INDEX(Benchmarks!R$6:R$244,MATCH(SolverWork!$B208,MutualFunds!$B$6:$B$244,0),0)</f>
        <v>#N/A</v>
      </c>
    </row>
    <row r="209" spans="1:20" x14ac:dyDescent="0.2">
      <c r="A209">
        <v>199</v>
      </c>
      <c r="B209" s="28" t="str">
        <f>IF(B208="","",IF(EOMONTH(B208,1)&lt;=EOMONTH(Front!$C$4,0),EOMONTH(B208,1),""))</f>
        <v/>
      </c>
      <c r="C209" s="14" t="str">
        <f>IF(B209="","",INDEX(MutualFunds!$C$6:$O$244,MATCH(B209,MutualFunds!$B$6:$B$244,0),MATCH(Front!$C$2,MutualFunds!$C$4:$O$4,0)))</f>
        <v/>
      </c>
      <c r="D209" s="14" t="str">
        <f t="shared" si="3"/>
        <v/>
      </c>
      <c r="E209" s="14" t="e" cm="1">
        <f t="array" ref="E209">INDEX(Benchmarks!C$6:C$244,MATCH(SolverWork!$B209,MutualFunds!$B$6:$B$244,0),0)</f>
        <v>#N/A</v>
      </c>
      <c r="F209" s="14" t="e" cm="1">
        <f t="array" ref="F209">INDEX(Benchmarks!D$6:D$244,MATCH(SolverWork!$B209,MutualFunds!$B$6:$B$244,0),0)</f>
        <v>#N/A</v>
      </c>
      <c r="G209" s="14" t="e" cm="1">
        <f t="array" ref="G209">INDEX(Benchmarks!E$6:E$244,MATCH(SolverWork!$B209,MutualFunds!$B$6:$B$244,0),0)</f>
        <v>#N/A</v>
      </c>
      <c r="H209" s="14" t="e" cm="1">
        <f t="array" ref="H209">INDEX(Benchmarks!F$6:F$244,MATCH(SolverWork!$B209,MutualFunds!$B$6:$B$244,0),0)</f>
        <v>#N/A</v>
      </c>
      <c r="I209" s="14" t="e" cm="1">
        <f t="array" ref="I209">INDEX(Benchmarks!G$6:G$244,MATCH(SolverWork!$B209,MutualFunds!$B$6:$B$244,0),0)</f>
        <v>#N/A</v>
      </c>
      <c r="J209" s="14" t="e" cm="1">
        <f t="array" ref="J209">INDEX(Benchmarks!H$6:H$244,MATCH(SolverWork!$B209,MutualFunds!$B$6:$B$244,0),0)</f>
        <v>#N/A</v>
      </c>
      <c r="K209" s="14" t="e" cm="1">
        <f t="array" ref="K209">INDEX(Benchmarks!I$6:I$244,MATCH(SolverWork!$B209,MutualFunds!$B$6:$B$244,0),0)</f>
        <v>#N/A</v>
      </c>
      <c r="L209" s="14" t="e" cm="1">
        <f t="array" ref="L209">INDEX(Benchmarks!J$6:J$244,MATCH(SolverWork!$B209,MutualFunds!$B$6:$B$244,0),0)</f>
        <v>#N/A</v>
      </c>
      <c r="M209" s="14" t="e" cm="1">
        <f t="array" ref="M209">INDEX(Benchmarks!K$6:K$244,MATCH(SolverWork!$B209,MutualFunds!$B$6:$B$244,0),0)</f>
        <v>#N/A</v>
      </c>
      <c r="N209" s="14" t="e" cm="1">
        <f t="array" ref="N209">INDEX(Benchmarks!L$6:L$244,MATCH(SolverWork!$B209,MutualFunds!$B$6:$B$244,0),0)</f>
        <v>#N/A</v>
      </c>
      <c r="O209" s="14" t="e" cm="1">
        <f t="array" ref="O209">INDEX(Benchmarks!M$6:M$244,MATCH(SolverWork!$B209,MutualFunds!$B$6:$B$244,0),0)</f>
        <v>#N/A</v>
      </c>
      <c r="P209" s="14" t="e" cm="1">
        <f t="array" ref="P209">INDEX(Benchmarks!N$6:N$244,MATCH(SolverWork!$B209,MutualFunds!$B$6:$B$244,0),0)</f>
        <v>#N/A</v>
      </c>
      <c r="Q209" s="14" t="e" cm="1">
        <f t="array" ref="Q209">INDEX(Benchmarks!O$6:O$244,MATCH(SolverWork!$B209,MutualFunds!$B$6:$B$244,0),0)</f>
        <v>#N/A</v>
      </c>
      <c r="R209" s="14" t="e" cm="1">
        <f t="array" ref="R209">INDEX(Benchmarks!P$6:P$244,MATCH(SolverWork!$B209,MutualFunds!$B$6:$B$244,0),0)</f>
        <v>#N/A</v>
      </c>
      <c r="S209" s="14" t="e" cm="1">
        <f t="array" ref="S209">INDEX(Benchmarks!Q$6:Q$244,MATCH(SolverWork!$B209,MutualFunds!$B$6:$B$244,0),0)</f>
        <v>#N/A</v>
      </c>
      <c r="T209" s="14" t="e" cm="1">
        <f t="array" ref="T209">INDEX(Benchmarks!R$6:R$244,MATCH(SolverWork!$B209,MutualFunds!$B$6:$B$244,0),0)</f>
        <v>#N/A</v>
      </c>
    </row>
    <row r="210" spans="1:20" x14ac:dyDescent="0.2">
      <c r="A210">
        <v>200</v>
      </c>
      <c r="B210" s="28" t="str">
        <f>IF(B209="","",IF(EOMONTH(B209,1)&lt;=EOMONTH(Front!$C$4,0),EOMONTH(B209,1),""))</f>
        <v/>
      </c>
      <c r="C210" s="14" t="str">
        <f>IF(B210="","",INDEX(MutualFunds!$C$6:$O$244,MATCH(B210,MutualFunds!$B$6:$B$244,0),MATCH(Front!$C$2,MutualFunds!$C$4:$O$4,0)))</f>
        <v/>
      </c>
      <c r="D210" s="14" t="str">
        <f t="shared" si="3"/>
        <v/>
      </c>
      <c r="E210" s="14" t="e" cm="1">
        <f t="array" ref="E210">INDEX(Benchmarks!C$6:C$244,MATCH(SolverWork!$B210,MutualFunds!$B$6:$B$244,0),0)</f>
        <v>#N/A</v>
      </c>
      <c r="F210" s="14" t="e" cm="1">
        <f t="array" ref="F210">INDEX(Benchmarks!D$6:D$244,MATCH(SolverWork!$B210,MutualFunds!$B$6:$B$244,0),0)</f>
        <v>#N/A</v>
      </c>
      <c r="G210" s="14" t="e" cm="1">
        <f t="array" ref="G210">INDEX(Benchmarks!E$6:E$244,MATCH(SolverWork!$B210,MutualFunds!$B$6:$B$244,0),0)</f>
        <v>#N/A</v>
      </c>
      <c r="H210" s="14" t="e" cm="1">
        <f t="array" ref="H210">INDEX(Benchmarks!F$6:F$244,MATCH(SolverWork!$B210,MutualFunds!$B$6:$B$244,0),0)</f>
        <v>#N/A</v>
      </c>
      <c r="I210" s="14" t="e" cm="1">
        <f t="array" ref="I210">INDEX(Benchmarks!G$6:G$244,MATCH(SolverWork!$B210,MutualFunds!$B$6:$B$244,0),0)</f>
        <v>#N/A</v>
      </c>
      <c r="J210" s="14" t="e" cm="1">
        <f t="array" ref="J210">INDEX(Benchmarks!H$6:H$244,MATCH(SolverWork!$B210,MutualFunds!$B$6:$B$244,0),0)</f>
        <v>#N/A</v>
      </c>
      <c r="K210" s="14" t="e" cm="1">
        <f t="array" ref="K210">INDEX(Benchmarks!I$6:I$244,MATCH(SolverWork!$B210,MutualFunds!$B$6:$B$244,0),0)</f>
        <v>#N/A</v>
      </c>
      <c r="L210" s="14" t="e" cm="1">
        <f t="array" ref="L210">INDEX(Benchmarks!J$6:J$244,MATCH(SolverWork!$B210,MutualFunds!$B$6:$B$244,0),0)</f>
        <v>#N/A</v>
      </c>
      <c r="M210" s="14" t="e" cm="1">
        <f t="array" ref="M210">INDEX(Benchmarks!K$6:K$244,MATCH(SolverWork!$B210,MutualFunds!$B$6:$B$244,0),0)</f>
        <v>#N/A</v>
      </c>
      <c r="N210" s="14" t="e" cm="1">
        <f t="array" ref="N210">INDEX(Benchmarks!L$6:L$244,MATCH(SolverWork!$B210,MutualFunds!$B$6:$B$244,0),0)</f>
        <v>#N/A</v>
      </c>
      <c r="O210" s="14" t="e" cm="1">
        <f t="array" ref="O210">INDEX(Benchmarks!M$6:M$244,MATCH(SolverWork!$B210,MutualFunds!$B$6:$B$244,0),0)</f>
        <v>#N/A</v>
      </c>
      <c r="P210" s="14" t="e" cm="1">
        <f t="array" ref="P210">INDEX(Benchmarks!N$6:N$244,MATCH(SolverWork!$B210,MutualFunds!$B$6:$B$244,0),0)</f>
        <v>#N/A</v>
      </c>
      <c r="Q210" s="14" t="e" cm="1">
        <f t="array" ref="Q210">INDEX(Benchmarks!O$6:O$244,MATCH(SolverWork!$B210,MutualFunds!$B$6:$B$244,0),0)</f>
        <v>#N/A</v>
      </c>
      <c r="R210" s="14" t="e" cm="1">
        <f t="array" ref="R210">INDEX(Benchmarks!P$6:P$244,MATCH(SolverWork!$B210,MutualFunds!$B$6:$B$244,0),0)</f>
        <v>#N/A</v>
      </c>
      <c r="S210" s="14" t="e" cm="1">
        <f t="array" ref="S210">INDEX(Benchmarks!Q$6:Q$244,MATCH(SolverWork!$B210,MutualFunds!$B$6:$B$244,0),0)</f>
        <v>#N/A</v>
      </c>
      <c r="T210" s="14" t="e" cm="1">
        <f t="array" ref="T210">INDEX(Benchmarks!R$6:R$244,MATCH(SolverWork!$B210,MutualFunds!$B$6:$B$244,0),0)</f>
        <v>#N/A</v>
      </c>
    </row>
    <row r="211" spans="1:20" x14ac:dyDescent="0.2">
      <c r="A211">
        <v>201</v>
      </c>
      <c r="B211" s="28" t="str">
        <f>IF(B210="","",IF(EOMONTH(B210,1)&lt;=EOMONTH(Front!$C$4,0),EOMONTH(B210,1),""))</f>
        <v/>
      </c>
      <c r="C211" s="14" t="str">
        <f>IF(B211="","",INDEX(MutualFunds!$C$6:$O$244,MATCH(B211,MutualFunds!$B$6:$B$244,0),MATCH(Front!$C$2,MutualFunds!$C$4:$O$4,0)))</f>
        <v/>
      </c>
      <c r="D211" s="14" t="str">
        <f t="shared" si="3"/>
        <v/>
      </c>
      <c r="E211" s="14" t="e" cm="1">
        <f t="array" ref="E211">INDEX(Benchmarks!C$6:C$244,MATCH(SolverWork!$B211,MutualFunds!$B$6:$B$244,0),0)</f>
        <v>#N/A</v>
      </c>
      <c r="F211" s="14" t="e" cm="1">
        <f t="array" ref="F211">INDEX(Benchmarks!D$6:D$244,MATCH(SolverWork!$B211,MutualFunds!$B$6:$B$244,0),0)</f>
        <v>#N/A</v>
      </c>
      <c r="G211" s="14" t="e" cm="1">
        <f t="array" ref="G211">INDEX(Benchmarks!E$6:E$244,MATCH(SolverWork!$B211,MutualFunds!$B$6:$B$244,0),0)</f>
        <v>#N/A</v>
      </c>
      <c r="H211" s="14" t="e" cm="1">
        <f t="array" ref="H211">INDEX(Benchmarks!F$6:F$244,MATCH(SolverWork!$B211,MutualFunds!$B$6:$B$244,0),0)</f>
        <v>#N/A</v>
      </c>
      <c r="I211" s="14" t="e" cm="1">
        <f t="array" ref="I211">INDEX(Benchmarks!G$6:G$244,MATCH(SolverWork!$B211,MutualFunds!$B$6:$B$244,0),0)</f>
        <v>#N/A</v>
      </c>
      <c r="J211" s="14" t="e" cm="1">
        <f t="array" ref="J211">INDEX(Benchmarks!H$6:H$244,MATCH(SolverWork!$B211,MutualFunds!$B$6:$B$244,0),0)</f>
        <v>#N/A</v>
      </c>
      <c r="K211" s="14" t="e" cm="1">
        <f t="array" ref="K211">INDEX(Benchmarks!I$6:I$244,MATCH(SolverWork!$B211,MutualFunds!$B$6:$B$244,0),0)</f>
        <v>#N/A</v>
      </c>
      <c r="L211" s="14" t="e" cm="1">
        <f t="array" ref="L211">INDEX(Benchmarks!J$6:J$244,MATCH(SolverWork!$B211,MutualFunds!$B$6:$B$244,0),0)</f>
        <v>#N/A</v>
      </c>
      <c r="M211" s="14" t="e" cm="1">
        <f t="array" ref="M211">INDEX(Benchmarks!K$6:K$244,MATCH(SolverWork!$B211,MutualFunds!$B$6:$B$244,0),0)</f>
        <v>#N/A</v>
      </c>
      <c r="N211" s="14" t="e" cm="1">
        <f t="array" ref="N211">INDEX(Benchmarks!L$6:L$244,MATCH(SolverWork!$B211,MutualFunds!$B$6:$B$244,0),0)</f>
        <v>#N/A</v>
      </c>
      <c r="O211" s="14" t="e" cm="1">
        <f t="array" ref="O211">INDEX(Benchmarks!M$6:M$244,MATCH(SolverWork!$B211,MutualFunds!$B$6:$B$244,0),0)</f>
        <v>#N/A</v>
      </c>
      <c r="P211" s="14" t="e" cm="1">
        <f t="array" ref="P211">INDEX(Benchmarks!N$6:N$244,MATCH(SolverWork!$B211,MutualFunds!$B$6:$B$244,0),0)</f>
        <v>#N/A</v>
      </c>
      <c r="Q211" s="14" t="e" cm="1">
        <f t="array" ref="Q211">INDEX(Benchmarks!O$6:O$244,MATCH(SolverWork!$B211,MutualFunds!$B$6:$B$244,0),0)</f>
        <v>#N/A</v>
      </c>
      <c r="R211" s="14" t="e" cm="1">
        <f t="array" ref="R211">INDEX(Benchmarks!P$6:P$244,MATCH(SolverWork!$B211,MutualFunds!$B$6:$B$244,0),0)</f>
        <v>#N/A</v>
      </c>
      <c r="S211" s="14" t="e" cm="1">
        <f t="array" ref="S211">INDEX(Benchmarks!Q$6:Q$244,MATCH(SolverWork!$B211,MutualFunds!$B$6:$B$244,0),0)</f>
        <v>#N/A</v>
      </c>
      <c r="T211" s="14" t="e" cm="1">
        <f t="array" ref="T211">INDEX(Benchmarks!R$6:R$244,MATCH(SolverWork!$B211,MutualFunds!$B$6:$B$244,0),0)</f>
        <v>#N/A</v>
      </c>
    </row>
    <row r="212" spans="1:20" x14ac:dyDescent="0.2">
      <c r="A212">
        <v>202</v>
      </c>
      <c r="B212" s="28" t="str">
        <f>IF(B211="","",IF(EOMONTH(B211,1)&lt;=EOMONTH(Front!$C$4,0),EOMONTH(B211,1),""))</f>
        <v/>
      </c>
      <c r="C212" s="14" t="str">
        <f>IF(B212="","",INDEX(MutualFunds!$C$6:$O$244,MATCH(B212,MutualFunds!$B$6:$B$244,0),MATCH(Front!$C$2,MutualFunds!$C$4:$O$4,0)))</f>
        <v/>
      </c>
      <c r="D212" s="14" t="str">
        <f t="shared" si="3"/>
        <v/>
      </c>
      <c r="E212" s="14" t="e" cm="1">
        <f t="array" ref="E212">INDEX(Benchmarks!C$6:C$244,MATCH(SolverWork!$B212,MutualFunds!$B$6:$B$244,0),0)</f>
        <v>#N/A</v>
      </c>
      <c r="F212" s="14" t="e" cm="1">
        <f t="array" ref="F212">INDEX(Benchmarks!D$6:D$244,MATCH(SolverWork!$B212,MutualFunds!$B$6:$B$244,0),0)</f>
        <v>#N/A</v>
      </c>
      <c r="G212" s="14" t="e" cm="1">
        <f t="array" ref="G212">INDEX(Benchmarks!E$6:E$244,MATCH(SolverWork!$B212,MutualFunds!$B$6:$B$244,0),0)</f>
        <v>#N/A</v>
      </c>
      <c r="H212" s="14" t="e" cm="1">
        <f t="array" ref="H212">INDEX(Benchmarks!F$6:F$244,MATCH(SolverWork!$B212,MutualFunds!$B$6:$B$244,0),0)</f>
        <v>#N/A</v>
      </c>
      <c r="I212" s="14" t="e" cm="1">
        <f t="array" ref="I212">INDEX(Benchmarks!G$6:G$244,MATCH(SolverWork!$B212,MutualFunds!$B$6:$B$244,0),0)</f>
        <v>#N/A</v>
      </c>
      <c r="J212" s="14" t="e" cm="1">
        <f t="array" ref="J212">INDEX(Benchmarks!H$6:H$244,MATCH(SolverWork!$B212,MutualFunds!$B$6:$B$244,0),0)</f>
        <v>#N/A</v>
      </c>
      <c r="K212" s="14" t="e" cm="1">
        <f t="array" ref="K212">INDEX(Benchmarks!I$6:I$244,MATCH(SolverWork!$B212,MutualFunds!$B$6:$B$244,0),0)</f>
        <v>#N/A</v>
      </c>
      <c r="L212" s="14" t="e" cm="1">
        <f t="array" ref="L212">INDEX(Benchmarks!J$6:J$244,MATCH(SolverWork!$B212,MutualFunds!$B$6:$B$244,0),0)</f>
        <v>#N/A</v>
      </c>
      <c r="M212" s="14" t="e" cm="1">
        <f t="array" ref="M212">INDEX(Benchmarks!K$6:K$244,MATCH(SolverWork!$B212,MutualFunds!$B$6:$B$244,0),0)</f>
        <v>#N/A</v>
      </c>
      <c r="N212" s="14" t="e" cm="1">
        <f t="array" ref="N212">INDEX(Benchmarks!L$6:L$244,MATCH(SolverWork!$B212,MutualFunds!$B$6:$B$244,0),0)</f>
        <v>#N/A</v>
      </c>
      <c r="O212" s="14" t="e" cm="1">
        <f t="array" ref="O212">INDEX(Benchmarks!M$6:M$244,MATCH(SolverWork!$B212,MutualFunds!$B$6:$B$244,0),0)</f>
        <v>#N/A</v>
      </c>
      <c r="P212" s="14" t="e" cm="1">
        <f t="array" ref="P212">INDEX(Benchmarks!N$6:N$244,MATCH(SolverWork!$B212,MutualFunds!$B$6:$B$244,0),0)</f>
        <v>#N/A</v>
      </c>
      <c r="Q212" s="14" t="e" cm="1">
        <f t="array" ref="Q212">INDEX(Benchmarks!O$6:O$244,MATCH(SolverWork!$B212,MutualFunds!$B$6:$B$244,0),0)</f>
        <v>#N/A</v>
      </c>
      <c r="R212" s="14" t="e" cm="1">
        <f t="array" ref="R212">INDEX(Benchmarks!P$6:P$244,MATCH(SolverWork!$B212,MutualFunds!$B$6:$B$244,0),0)</f>
        <v>#N/A</v>
      </c>
      <c r="S212" s="14" t="e" cm="1">
        <f t="array" ref="S212">INDEX(Benchmarks!Q$6:Q$244,MATCH(SolverWork!$B212,MutualFunds!$B$6:$B$244,0),0)</f>
        <v>#N/A</v>
      </c>
      <c r="T212" s="14" t="e" cm="1">
        <f t="array" ref="T212">INDEX(Benchmarks!R$6:R$244,MATCH(SolverWork!$B212,MutualFunds!$B$6:$B$244,0),0)</f>
        <v>#N/A</v>
      </c>
    </row>
    <row r="213" spans="1:20" x14ac:dyDescent="0.2">
      <c r="A213">
        <v>203</v>
      </c>
      <c r="B213" s="28" t="str">
        <f>IF(B212="","",IF(EOMONTH(B212,1)&lt;=EOMONTH(Front!$C$4,0),EOMONTH(B212,1),""))</f>
        <v/>
      </c>
      <c r="C213" s="14" t="str">
        <f>IF(B213="","",INDEX(MutualFunds!$C$6:$O$244,MATCH(B213,MutualFunds!$B$6:$B$244,0),MATCH(Front!$C$2,MutualFunds!$C$4:$O$4,0)))</f>
        <v/>
      </c>
      <c r="D213" s="14" t="str">
        <f t="shared" si="3"/>
        <v/>
      </c>
      <c r="E213" s="14" t="e" cm="1">
        <f t="array" ref="E213">INDEX(Benchmarks!C$6:C$244,MATCH(SolverWork!$B213,MutualFunds!$B$6:$B$244,0),0)</f>
        <v>#N/A</v>
      </c>
      <c r="F213" s="14" t="e" cm="1">
        <f t="array" ref="F213">INDEX(Benchmarks!D$6:D$244,MATCH(SolverWork!$B213,MutualFunds!$B$6:$B$244,0),0)</f>
        <v>#N/A</v>
      </c>
      <c r="G213" s="14" t="e" cm="1">
        <f t="array" ref="G213">INDEX(Benchmarks!E$6:E$244,MATCH(SolverWork!$B213,MutualFunds!$B$6:$B$244,0),0)</f>
        <v>#N/A</v>
      </c>
      <c r="H213" s="14" t="e" cm="1">
        <f t="array" ref="H213">INDEX(Benchmarks!F$6:F$244,MATCH(SolverWork!$B213,MutualFunds!$B$6:$B$244,0),0)</f>
        <v>#N/A</v>
      </c>
      <c r="I213" s="14" t="e" cm="1">
        <f t="array" ref="I213">INDEX(Benchmarks!G$6:G$244,MATCH(SolverWork!$B213,MutualFunds!$B$6:$B$244,0),0)</f>
        <v>#N/A</v>
      </c>
      <c r="J213" s="14" t="e" cm="1">
        <f t="array" ref="J213">INDEX(Benchmarks!H$6:H$244,MATCH(SolverWork!$B213,MutualFunds!$B$6:$B$244,0),0)</f>
        <v>#N/A</v>
      </c>
      <c r="K213" s="14" t="e" cm="1">
        <f t="array" ref="K213">INDEX(Benchmarks!I$6:I$244,MATCH(SolverWork!$B213,MutualFunds!$B$6:$B$244,0),0)</f>
        <v>#N/A</v>
      </c>
      <c r="L213" s="14" t="e" cm="1">
        <f t="array" ref="L213">INDEX(Benchmarks!J$6:J$244,MATCH(SolverWork!$B213,MutualFunds!$B$6:$B$244,0),0)</f>
        <v>#N/A</v>
      </c>
      <c r="M213" s="14" t="e" cm="1">
        <f t="array" ref="M213">INDEX(Benchmarks!K$6:K$244,MATCH(SolverWork!$B213,MutualFunds!$B$6:$B$244,0),0)</f>
        <v>#N/A</v>
      </c>
      <c r="N213" s="14" t="e" cm="1">
        <f t="array" ref="N213">INDEX(Benchmarks!L$6:L$244,MATCH(SolverWork!$B213,MutualFunds!$B$6:$B$244,0),0)</f>
        <v>#N/A</v>
      </c>
      <c r="O213" s="14" t="e" cm="1">
        <f t="array" ref="O213">INDEX(Benchmarks!M$6:M$244,MATCH(SolverWork!$B213,MutualFunds!$B$6:$B$244,0),0)</f>
        <v>#N/A</v>
      </c>
      <c r="P213" s="14" t="e" cm="1">
        <f t="array" ref="P213">INDEX(Benchmarks!N$6:N$244,MATCH(SolverWork!$B213,MutualFunds!$B$6:$B$244,0),0)</f>
        <v>#N/A</v>
      </c>
      <c r="Q213" s="14" t="e" cm="1">
        <f t="array" ref="Q213">INDEX(Benchmarks!O$6:O$244,MATCH(SolverWork!$B213,MutualFunds!$B$6:$B$244,0),0)</f>
        <v>#N/A</v>
      </c>
      <c r="R213" s="14" t="e" cm="1">
        <f t="array" ref="R213">INDEX(Benchmarks!P$6:P$244,MATCH(SolverWork!$B213,MutualFunds!$B$6:$B$244,0),0)</f>
        <v>#N/A</v>
      </c>
      <c r="S213" s="14" t="e" cm="1">
        <f t="array" ref="S213">INDEX(Benchmarks!Q$6:Q$244,MATCH(SolverWork!$B213,MutualFunds!$B$6:$B$244,0),0)</f>
        <v>#N/A</v>
      </c>
      <c r="T213" s="14" t="e" cm="1">
        <f t="array" ref="T213">INDEX(Benchmarks!R$6:R$244,MATCH(SolverWork!$B213,MutualFunds!$B$6:$B$244,0),0)</f>
        <v>#N/A</v>
      </c>
    </row>
    <row r="214" spans="1:20" x14ac:dyDescent="0.2">
      <c r="A214">
        <v>204</v>
      </c>
      <c r="B214" s="28" t="str">
        <f>IF(B213="","",IF(EOMONTH(B213,1)&lt;=EOMONTH(Front!$C$4,0),EOMONTH(B213,1),""))</f>
        <v/>
      </c>
      <c r="C214" s="14" t="str">
        <f>IF(B214="","",INDEX(MutualFunds!$C$6:$O$244,MATCH(B214,MutualFunds!$B$6:$B$244,0),MATCH(Front!$C$2,MutualFunds!$C$4:$O$4,0)))</f>
        <v/>
      </c>
      <c r="D214" s="14" t="str">
        <f t="shared" si="3"/>
        <v/>
      </c>
      <c r="E214" s="14" t="e" cm="1">
        <f t="array" ref="E214">INDEX(Benchmarks!C$6:C$244,MATCH(SolverWork!$B214,MutualFunds!$B$6:$B$244,0),0)</f>
        <v>#N/A</v>
      </c>
      <c r="F214" s="14" t="e" cm="1">
        <f t="array" ref="F214">INDEX(Benchmarks!D$6:D$244,MATCH(SolverWork!$B214,MutualFunds!$B$6:$B$244,0),0)</f>
        <v>#N/A</v>
      </c>
      <c r="G214" s="14" t="e" cm="1">
        <f t="array" ref="G214">INDEX(Benchmarks!E$6:E$244,MATCH(SolverWork!$B214,MutualFunds!$B$6:$B$244,0),0)</f>
        <v>#N/A</v>
      </c>
      <c r="H214" s="14" t="e" cm="1">
        <f t="array" ref="H214">INDEX(Benchmarks!F$6:F$244,MATCH(SolverWork!$B214,MutualFunds!$B$6:$B$244,0),0)</f>
        <v>#N/A</v>
      </c>
      <c r="I214" s="14" t="e" cm="1">
        <f t="array" ref="I214">INDEX(Benchmarks!G$6:G$244,MATCH(SolverWork!$B214,MutualFunds!$B$6:$B$244,0),0)</f>
        <v>#N/A</v>
      </c>
      <c r="J214" s="14" t="e" cm="1">
        <f t="array" ref="J214">INDEX(Benchmarks!H$6:H$244,MATCH(SolverWork!$B214,MutualFunds!$B$6:$B$244,0),0)</f>
        <v>#N/A</v>
      </c>
      <c r="K214" s="14" t="e" cm="1">
        <f t="array" ref="K214">INDEX(Benchmarks!I$6:I$244,MATCH(SolverWork!$B214,MutualFunds!$B$6:$B$244,0),0)</f>
        <v>#N/A</v>
      </c>
      <c r="L214" s="14" t="e" cm="1">
        <f t="array" ref="L214">INDEX(Benchmarks!J$6:J$244,MATCH(SolverWork!$B214,MutualFunds!$B$6:$B$244,0),0)</f>
        <v>#N/A</v>
      </c>
      <c r="M214" s="14" t="e" cm="1">
        <f t="array" ref="M214">INDEX(Benchmarks!K$6:K$244,MATCH(SolverWork!$B214,MutualFunds!$B$6:$B$244,0),0)</f>
        <v>#N/A</v>
      </c>
      <c r="N214" s="14" t="e" cm="1">
        <f t="array" ref="N214">INDEX(Benchmarks!L$6:L$244,MATCH(SolverWork!$B214,MutualFunds!$B$6:$B$244,0),0)</f>
        <v>#N/A</v>
      </c>
      <c r="O214" s="14" t="e" cm="1">
        <f t="array" ref="O214">INDEX(Benchmarks!M$6:M$244,MATCH(SolverWork!$B214,MutualFunds!$B$6:$B$244,0),0)</f>
        <v>#N/A</v>
      </c>
      <c r="P214" s="14" t="e" cm="1">
        <f t="array" ref="P214">INDEX(Benchmarks!N$6:N$244,MATCH(SolverWork!$B214,MutualFunds!$B$6:$B$244,0),0)</f>
        <v>#N/A</v>
      </c>
      <c r="Q214" s="14" t="e" cm="1">
        <f t="array" ref="Q214">INDEX(Benchmarks!O$6:O$244,MATCH(SolverWork!$B214,MutualFunds!$B$6:$B$244,0),0)</f>
        <v>#N/A</v>
      </c>
      <c r="R214" s="14" t="e" cm="1">
        <f t="array" ref="R214">INDEX(Benchmarks!P$6:P$244,MATCH(SolverWork!$B214,MutualFunds!$B$6:$B$244,0),0)</f>
        <v>#N/A</v>
      </c>
      <c r="S214" s="14" t="e" cm="1">
        <f t="array" ref="S214">INDEX(Benchmarks!Q$6:Q$244,MATCH(SolverWork!$B214,MutualFunds!$B$6:$B$244,0),0)</f>
        <v>#N/A</v>
      </c>
      <c r="T214" s="14" t="e" cm="1">
        <f t="array" ref="T214">INDEX(Benchmarks!R$6:R$244,MATCH(SolverWork!$B214,MutualFunds!$B$6:$B$244,0),0)</f>
        <v>#N/A</v>
      </c>
    </row>
    <row r="215" spans="1:20" x14ac:dyDescent="0.2">
      <c r="A215">
        <v>205</v>
      </c>
      <c r="B215" s="28" t="str">
        <f>IF(B214="","",IF(EOMONTH(B214,1)&lt;=EOMONTH(Front!$C$4,0),EOMONTH(B214,1),""))</f>
        <v/>
      </c>
      <c r="C215" s="14" t="str">
        <f>IF(B215="","",INDEX(MutualFunds!$C$6:$O$244,MATCH(B215,MutualFunds!$B$6:$B$244,0),MATCH(Front!$C$2,MutualFunds!$C$4:$O$4,0)))</f>
        <v/>
      </c>
      <c r="D215" s="14" t="str">
        <f t="shared" si="3"/>
        <v/>
      </c>
      <c r="E215" s="14" t="e" cm="1">
        <f t="array" ref="E215">INDEX(Benchmarks!C$6:C$244,MATCH(SolverWork!$B215,MutualFunds!$B$6:$B$244,0),0)</f>
        <v>#N/A</v>
      </c>
      <c r="F215" s="14" t="e" cm="1">
        <f t="array" ref="F215">INDEX(Benchmarks!D$6:D$244,MATCH(SolverWork!$B215,MutualFunds!$B$6:$B$244,0),0)</f>
        <v>#N/A</v>
      </c>
      <c r="G215" s="14" t="e" cm="1">
        <f t="array" ref="G215">INDEX(Benchmarks!E$6:E$244,MATCH(SolverWork!$B215,MutualFunds!$B$6:$B$244,0),0)</f>
        <v>#N/A</v>
      </c>
      <c r="H215" s="14" t="e" cm="1">
        <f t="array" ref="H215">INDEX(Benchmarks!F$6:F$244,MATCH(SolverWork!$B215,MutualFunds!$B$6:$B$244,0),0)</f>
        <v>#N/A</v>
      </c>
      <c r="I215" s="14" t="e" cm="1">
        <f t="array" ref="I215">INDEX(Benchmarks!G$6:G$244,MATCH(SolverWork!$B215,MutualFunds!$B$6:$B$244,0),0)</f>
        <v>#N/A</v>
      </c>
      <c r="J215" s="14" t="e" cm="1">
        <f t="array" ref="J215">INDEX(Benchmarks!H$6:H$244,MATCH(SolverWork!$B215,MutualFunds!$B$6:$B$244,0),0)</f>
        <v>#N/A</v>
      </c>
      <c r="K215" s="14" t="e" cm="1">
        <f t="array" ref="K215">INDEX(Benchmarks!I$6:I$244,MATCH(SolverWork!$B215,MutualFunds!$B$6:$B$244,0),0)</f>
        <v>#N/A</v>
      </c>
      <c r="L215" s="14" t="e" cm="1">
        <f t="array" ref="L215">INDEX(Benchmarks!J$6:J$244,MATCH(SolverWork!$B215,MutualFunds!$B$6:$B$244,0),0)</f>
        <v>#N/A</v>
      </c>
      <c r="M215" s="14" t="e" cm="1">
        <f t="array" ref="M215">INDEX(Benchmarks!K$6:K$244,MATCH(SolverWork!$B215,MutualFunds!$B$6:$B$244,0),0)</f>
        <v>#N/A</v>
      </c>
      <c r="N215" s="14" t="e" cm="1">
        <f t="array" ref="N215">INDEX(Benchmarks!L$6:L$244,MATCH(SolverWork!$B215,MutualFunds!$B$6:$B$244,0),0)</f>
        <v>#N/A</v>
      </c>
      <c r="O215" s="14" t="e" cm="1">
        <f t="array" ref="O215">INDEX(Benchmarks!M$6:M$244,MATCH(SolverWork!$B215,MutualFunds!$B$6:$B$244,0),0)</f>
        <v>#N/A</v>
      </c>
      <c r="P215" s="14" t="e" cm="1">
        <f t="array" ref="P215">INDEX(Benchmarks!N$6:N$244,MATCH(SolverWork!$B215,MutualFunds!$B$6:$B$244,0),0)</f>
        <v>#N/A</v>
      </c>
      <c r="Q215" s="14" t="e" cm="1">
        <f t="array" ref="Q215">INDEX(Benchmarks!O$6:O$244,MATCH(SolverWork!$B215,MutualFunds!$B$6:$B$244,0),0)</f>
        <v>#N/A</v>
      </c>
      <c r="R215" s="14" t="e" cm="1">
        <f t="array" ref="R215">INDEX(Benchmarks!P$6:P$244,MATCH(SolverWork!$B215,MutualFunds!$B$6:$B$244,0),0)</f>
        <v>#N/A</v>
      </c>
      <c r="S215" s="14" t="e" cm="1">
        <f t="array" ref="S215">INDEX(Benchmarks!Q$6:Q$244,MATCH(SolverWork!$B215,MutualFunds!$B$6:$B$244,0),0)</f>
        <v>#N/A</v>
      </c>
      <c r="T215" s="14" t="e" cm="1">
        <f t="array" ref="T215">INDEX(Benchmarks!R$6:R$244,MATCH(SolverWork!$B215,MutualFunds!$B$6:$B$244,0),0)</f>
        <v>#N/A</v>
      </c>
    </row>
    <row r="216" spans="1:20" x14ac:dyDescent="0.2">
      <c r="A216">
        <v>206</v>
      </c>
      <c r="B216" s="28" t="str">
        <f>IF(B215="","",IF(EOMONTH(B215,1)&lt;=EOMONTH(Front!$C$4,0),EOMONTH(B215,1),""))</f>
        <v/>
      </c>
      <c r="C216" s="14" t="str">
        <f>IF(B216="","",INDEX(MutualFunds!$C$6:$O$244,MATCH(B216,MutualFunds!$B$6:$B$244,0),MATCH(Front!$C$2,MutualFunds!$C$4:$O$4,0)))</f>
        <v/>
      </c>
      <c r="D216" s="14" t="str">
        <f t="shared" si="3"/>
        <v/>
      </c>
      <c r="E216" s="14" t="e" cm="1">
        <f t="array" ref="E216">INDEX(Benchmarks!C$6:C$244,MATCH(SolverWork!$B216,MutualFunds!$B$6:$B$244,0),0)</f>
        <v>#N/A</v>
      </c>
      <c r="F216" s="14" t="e" cm="1">
        <f t="array" ref="F216">INDEX(Benchmarks!D$6:D$244,MATCH(SolverWork!$B216,MutualFunds!$B$6:$B$244,0),0)</f>
        <v>#N/A</v>
      </c>
      <c r="G216" s="14" t="e" cm="1">
        <f t="array" ref="G216">INDEX(Benchmarks!E$6:E$244,MATCH(SolverWork!$B216,MutualFunds!$B$6:$B$244,0),0)</f>
        <v>#N/A</v>
      </c>
      <c r="H216" s="14" t="e" cm="1">
        <f t="array" ref="H216">INDEX(Benchmarks!F$6:F$244,MATCH(SolverWork!$B216,MutualFunds!$B$6:$B$244,0),0)</f>
        <v>#N/A</v>
      </c>
      <c r="I216" s="14" t="e" cm="1">
        <f t="array" ref="I216">INDEX(Benchmarks!G$6:G$244,MATCH(SolverWork!$B216,MutualFunds!$B$6:$B$244,0),0)</f>
        <v>#N/A</v>
      </c>
      <c r="J216" s="14" t="e" cm="1">
        <f t="array" ref="J216">INDEX(Benchmarks!H$6:H$244,MATCH(SolverWork!$B216,MutualFunds!$B$6:$B$244,0),0)</f>
        <v>#N/A</v>
      </c>
      <c r="K216" s="14" t="e" cm="1">
        <f t="array" ref="K216">INDEX(Benchmarks!I$6:I$244,MATCH(SolverWork!$B216,MutualFunds!$B$6:$B$244,0),0)</f>
        <v>#N/A</v>
      </c>
      <c r="L216" s="14" t="e" cm="1">
        <f t="array" ref="L216">INDEX(Benchmarks!J$6:J$244,MATCH(SolverWork!$B216,MutualFunds!$B$6:$B$244,0),0)</f>
        <v>#N/A</v>
      </c>
      <c r="M216" s="14" t="e" cm="1">
        <f t="array" ref="M216">INDEX(Benchmarks!K$6:K$244,MATCH(SolverWork!$B216,MutualFunds!$B$6:$B$244,0),0)</f>
        <v>#N/A</v>
      </c>
      <c r="N216" s="14" t="e" cm="1">
        <f t="array" ref="N216">INDEX(Benchmarks!L$6:L$244,MATCH(SolverWork!$B216,MutualFunds!$B$6:$B$244,0),0)</f>
        <v>#N/A</v>
      </c>
      <c r="O216" s="14" t="e" cm="1">
        <f t="array" ref="O216">INDEX(Benchmarks!M$6:M$244,MATCH(SolverWork!$B216,MutualFunds!$B$6:$B$244,0),0)</f>
        <v>#N/A</v>
      </c>
      <c r="P216" s="14" t="e" cm="1">
        <f t="array" ref="P216">INDEX(Benchmarks!N$6:N$244,MATCH(SolverWork!$B216,MutualFunds!$B$6:$B$244,0),0)</f>
        <v>#N/A</v>
      </c>
      <c r="Q216" s="14" t="e" cm="1">
        <f t="array" ref="Q216">INDEX(Benchmarks!O$6:O$244,MATCH(SolverWork!$B216,MutualFunds!$B$6:$B$244,0),0)</f>
        <v>#N/A</v>
      </c>
      <c r="R216" s="14" t="e" cm="1">
        <f t="array" ref="R216">INDEX(Benchmarks!P$6:P$244,MATCH(SolverWork!$B216,MutualFunds!$B$6:$B$244,0),0)</f>
        <v>#N/A</v>
      </c>
      <c r="S216" s="14" t="e" cm="1">
        <f t="array" ref="S216">INDEX(Benchmarks!Q$6:Q$244,MATCH(SolverWork!$B216,MutualFunds!$B$6:$B$244,0),0)</f>
        <v>#N/A</v>
      </c>
      <c r="T216" s="14" t="e" cm="1">
        <f t="array" ref="T216">INDEX(Benchmarks!R$6:R$244,MATCH(SolverWork!$B216,MutualFunds!$B$6:$B$244,0),0)</f>
        <v>#N/A</v>
      </c>
    </row>
    <row r="217" spans="1:20" x14ac:dyDescent="0.2">
      <c r="A217">
        <v>207</v>
      </c>
      <c r="B217" s="28" t="str">
        <f>IF(B216="","",IF(EOMONTH(B216,1)&lt;=EOMONTH(Front!$C$4,0),EOMONTH(B216,1),""))</f>
        <v/>
      </c>
      <c r="C217" s="14" t="str">
        <f>IF(B217="","",INDEX(MutualFunds!$C$6:$O$244,MATCH(B217,MutualFunds!$B$6:$B$244,0),MATCH(Front!$C$2,MutualFunds!$C$4:$O$4,0)))</f>
        <v/>
      </c>
      <c r="D217" s="14" t="str">
        <f t="shared" si="3"/>
        <v/>
      </c>
      <c r="E217" s="14" t="e" cm="1">
        <f t="array" ref="E217">INDEX(Benchmarks!C$6:C$244,MATCH(SolverWork!$B217,MutualFunds!$B$6:$B$244,0),0)</f>
        <v>#N/A</v>
      </c>
      <c r="F217" s="14" t="e" cm="1">
        <f t="array" ref="F217">INDEX(Benchmarks!D$6:D$244,MATCH(SolverWork!$B217,MutualFunds!$B$6:$B$244,0),0)</f>
        <v>#N/A</v>
      </c>
      <c r="G217" s="14" t="e" cm="1">
        <f t="array" ref="G217">INDEX(Benchmarks!E$6:E$244,MATCH(SolverWork!$B217,MutualFunds!$B$6:$B$244,0),0)</f>
        <v>#N/A</v>
      </c>
      <c r="H217" s="14" t="e" cm="1">
        <f t="array" ref="H217">INDEX(Benchmarks!F$6:F$244,MATCH(SolverWork!$B217,MutualFunds!$B$6:$B$244,0),0)</f>
        <v>#N/A</v>
      </c>
      <c r="I217" s="14" t="e" cm="1">
        <f t="array" ref="I217">INDEX(Benchmarks!G$6:G$244,MATCH(SolverWork!$B217,MutualFunds!$B$6:$B$244,0),0)</f>
        <v>#N/A</v>
      </c>
      <c r="J217" s="14" t="e" cm="1">
        <f t="array" ref="J217">INDEX(Benchmarks!H$6:H$244,MATCH(SolverWork!$B217,MutualFunds!$B$6:$B$244,0),0)</f>
        <v>#N/A</v>
      </c>
      <c r="K217" s="14" t="e" cm="1">
        <f t="array" ref="K217">INDEX(Benchmarks!I$6:I$244,MATCH(SolverWork!$B217,MutualFunds!$B$6:$B$244,0),0)</f>
        <v>#N/A</v>
      </c>
      <c r="L217" s="14" t="e" cm="1">
        <f t="array" ref="L217">INDEX(Benchmarks!J$6:J$244,MATCH(SolverWork!$B217,MutualFunds!$B$6:$B$244,0),0)</f>
        <v>#N/A</v>
      </c>
      <c r="M217" s="14" t="e" cm="1">
        <f t="array" ref="M217">INDEX(Benchmarks!K$6:K$244,MATCH(SolverWork!$B217,MutualFunds!$B$6:$B$244,0),0)</f>
        <v>#N/A</v>
      </c>
      <c r="N217" s="14" t="e" cm="1">
        <f t="array" ref="N217">INDEX(Benchmarks!L$6:L$244,MATCH(SolverWork!$B217,MutualFunds!$B$6:$B$244,0),0)</f>
        <v>#N/A</v>
      </c>
      <c r="O217" s="14" t="e" cm="1">
        <f t="array" ref="O217">INDEX(Benchmarks!M$6:M$244,MATCH(SolverWork!$B217,MutualFunds!$B$6:$B$244,0),0)</f>
        <v>#N/A</v>
      </c>
      <c r="P217" s="14" t="e" cm="1">
        <f t="array" ref="P217">INDEX(Benchmarks!N$6:N$244,MATCH(SolverWork!$B217,MutualFunds!$B$6:$B$244,0),0)</f>
        <v>#N/A</v>
      </c>
      <c r="Q217" s="14" t="e" cm="1">
        <f t="array" ref="Q217">INDEX(Benchmarks!O$6:O$244,MATCH(SolverWork!$B217,MutualFunds!$B$6:$B$244,0),0)</f>
        <v>#N/A</v>
      </c>
      <c r="R217" s="14" t="e" cm="1">
        <f t="array" ref="R217">INDEX(Benchmarks!P$6:P$244,MATCH(SolverWork!$B217,MutualFunds!$B$6:$B$244,0),0)</f>
        <v>#N/A</v>
      </c>
      <c r="S217" s="14" t="e" cm="1">
        <f t="array" ref="S217">INDEX(Benchmarks!Q$6:Q$244,MATCH(SolverWork!$B217,MutualFunds!$B$6:$B$244,0),0)</f>
        <v>#N/A</v>
      </c>
      <c r="T217" s="14" t="e" cm="1">
        <f t="array" ref="T217">INDEX(Benchmarks!R$6:R$244,MATCH(SolverWork!$B217,MutualFunds!$B$6:$B$244,0),0)</f>
        <v>#N/A</v>
      </c>
    </row>
    <row r="218" spans="1:20" x14ac:dyDescent="0.2">
      <c r="A218">
        <v>208</v>
      </c>
      <c r="B218" s="28" t="str">
        <f>IF(B217="","",IF(EOMONTH(B217,1)&lt;=EOMONTH(Front!$C$4,0),EOMONTH(B217,1),""))</f>
        <v/>
      </c>
      <c r="C218" s="14" t="str">
        <f>IF(B218="","",INDEX(MutualFunds!$C$6:$O$244,MATCH(B218,MutualFunds!$B$6:$B$244,0),MATCH(Front!$C$2,MutualFunds!$C$4:$O$4,0)))</f>
        <v/>
      </c>
      <c r="D218" s="14" t="str">
        <f t="shared" si="3"/>
        <v/>
      </c>
      <c r="E218" s="14" t="e" cm="1">
        <f t="array" ref="E218">INDEX(Benchmarks!C$6:C$244,MATCH(SolverWork!$B218,MutualFunds!$B$6:$B$244,0),0)</f>
        <v>#N/A</v>
      </c>
      <c r="F218" s="14" t="e" cm="1">
        <f t="array" ref="F218">INDEX(Benchmarks!D$6:D$244,MATCH(SolverWork!$B218,MutualFunds!$B$6:$B$244,0),0)</f>
        <v>#N/A</v>
      </c>
      <c r="G218" s="14" t="e" cm="1">
        <f t="array" ref="G218">INDEX(Benchmarks!E$6:E$244,MATCH(SolverWork!$B218,MutualFunds!$B$6:$B$244,0),0)</f>
        <v>#N/A</v>
      </c>
      <c r="H218" s="14" t="e" cm="1">
        <f t="array" ref="H218">INDEX(Benchmarks!F$6:F$244,MATCH(SolverWork!$B218,MutualFunds!$B$6:$B$244,0),0)</f>
        <v>#N/A</v>
      </c>
      <c r="I218" s="14" t="e" cm="1">
        <f t="array" ref="I218">INDEX(Benchmarks!G$6:G$244,MATCH(SolverWork!$B218,MutualFunds!$B$6:$B$244,0),0)</f>
        <v>#N/A</v>
      </c>
      <c r="J218" s="14" t="e" cm="1">
        <f t="array" ref="J218">INDEX(Benchmarks!H$6:H$244,MATCH(SolverWork!$B218,MutualFunds!$B$6:$B$244,0),0)</f>
        <v>#N/A</v>
      </c>
      <c r="K218" s="14" t="e" cm="1">
        <f t="array" ref="K218">INDEX(Benchmarks!I$6:I$244,MATCH(SolverWork!$B218,MutualFunds!$B$6:$B$244,0),0)</f>
        <v>#N/A</v>
      </c>
      <c r="L218" s="14" t="e" cm="1">
        <f t="array" ref="L218">INDEX(Benchmarks!J$6:J$244,MATCH(SolverWork!$B218,MutualFunds!$B$6:$B$244,0),0)</f>
        <v>#N/A</v>
      </c>
      <c r="M218" s="14" t="e" cm="1">
        <f t="array" ref="M218">INDEX(Benchmarks!K$6:K$244,MATCH(SolverWork!$B218,MutualFunds!$B$6:$B$244,0),0)</f>
        <v>#N/A</v>
      </c>
      <c r="N218" s="14" t="e" cm="1">
        <f t="array" ref="N218">INDEX(Benchmarks!L$6:L$244,MATCH(SolverWork!$B218,MutualFunds!$B$6:$B$244,0),0)</f>
        <v>#N/A</v>
      </c>
      <c r="O218" s="14" t="e" cm="1">
        <f t="array" ref="O218">INDEX(Benchmarks!M$6:M$244,MATCH(SolverWork!$B218,MutualFunds!$B$6:$B$244,0),0)</f>
        <v>#N/A</v>
      </c>
      <c r="P218" s="14" t="e" cm="1">
        <f t="array" ref="P218">INDEX(Benchmarks!N$6:N$244,MATCH(SolverWork!$B218,MutualFunds!$B$6:$B$244,0),0)</f>
        <v>#N/A</v>
      </c>
      <c r="Q218" s="14" t="e" cm="1">
        <f t="array" ref="Q218">INDEX(Benchmarks!O$6:O$244,MATCH(SolverWork!$B218,MutualFunds!$B$6:$B$244,0),0)</f>
        <v>#N/A</v>
      </c>
      <c r="R218" s="14" t="e" cm="1">
        <f t="array" ref="R218">INDEX(Benchmarks!P$6:P$244,MATCH(SolverWork!$B218,MutualFunds!$B$6:$B$244,0),0)</f>
        <v>#N/A</v>
      </c>
      <c r="S218" s="14" t="e" cm="1">
        <f t="array" ref="S218">INDEX(Benchmarks!Q$6:Q$244,MATCH(SolverWork!$B218,MutualFunds!$B$6:$B$244,0),0)</f>
        <v>#N/A</v>
      </c>
      <c r="T218" s="14" t="e" cm="1">
        <f t="array" ref="T218">INDEX(Benchmarks!R$6:R$244,MATCH(SolverWork!$B218,MutualFunds!$B$6:$B$244,0),0)</f>
        <v>#N/A</v>
      </c>
    </row>
    <row r="219" spans="1:20" x14ac:dyDescent="0.2">
      <c r="A219">
        <v>209</v>
      </c>
      <c r="B219" s="28" t="str">
        <f>IF(B218="","",IF(EOMONTH(B218,1)&lt;=EOMONTH(Front!$C$4,0),EOMONTH(B218,1),""))</f>
        <v/>
      </c>
      <c r="C219" s="14" t="str">
        <f>IF(B219="","",INDEX(MutualFunds!$C$6:$O$244,MATCH(B219,MutualFunds!$B$6:$B$244,0),MATCH(Front!$C$2,MutualFunds!$C$4:$O$4,0)))</f>
        <v/>
      </c>
      <c r="D219" s="14" t="str">
        <f t="shared" si="3"/>
        <v/>
      </c>
      <c r="E219" s="14" t="e" cm="1">
        <f t="array" ref="E219">INDEX(Benchmarks!C$6:C$244,MATCH(SolverWork!$B219,MutualFunds!$B$6:$B$244,0),0)</f>
        <v>#N/A</v>
      </c>
      <c r="F219" s="14" t="e" cm="1">
        <f t="array" ref="F219">INDEX(Benchmarks!D$6:D$244,MATCH(SolverWork!$B219,MutualFunds!$B$6:$B$244,0),0)</f>
        <v>#N/A</v>
      </c>
      <c r="G219" s="14" t="e" cm="1">
        <f t="array" ref="G219">INDEX(Benchmarks!E$6:E$244,MATCH(SolverWork!$B219,MutualFunds!$B$6:$B$244,0),0)</f>
        <v>#N/A</v>
      </c>
      <c r="H219" s="14" t="e" cm="1">
        <f t="array" ref="H219">INDEX(Benchmarks!F$6:F$244,MATCH(SolverWork!$B219,MutualFunds!$B$6:$B$244,0),0)</f>
        <v>#N/A</v>
      </c>
      <c r="I219" s="14" t="e" cm="1">
        <f t="array" ref="I219">INDEX(Benchmarks!G$6:G$244,MATCH(SolverWork!$B219,MutualFunds!$B$6:$B$244,0),0)</f>
        <v>#N/A</v>
      </c>
      <c r="J219" s="14" t="e" cm="1">
        <f t="array" ref="J219">INDEX(Benchmarks!H$6:H$244,MATCH(SolverWork!$B219,MutualFunds!$B$6:$B$244,0),0)</f>
        <v>#N/A</v>
      </c>
      <c r="K219" s="14" t="e" cm="1">
        <f t="array" ref="K219">INDEX(Benchmarks!I$6:I$244,MATCH(SolverWork!$B219,MutualFunds!$B$6:$B$244,0),0)</f>
        <v>#N/A</v>
      </c>
      <c r="L219" s="14" t="e" cm="1">
        <f t="array" ref="L219">INDEX(Benchmarks!J$6:J$244,MATCH(SolverWork!$B219,MutualFunds!$B$6:$B$244,0),0)</f>
        <v>#N/A</v>
      </c>
      <c r="M219" s="14" t="e" cm="1">
        <f t="array" ref="M219">INDEX(Benchmarks!K$6:K$244,MATCH(SolverWork!$B219,MutualFunds!$B$6:$B$244,0),0)</f>
        <v>#N/A</v>
      </c>
      <c r="N219" s="14" t="e" cm="1">
        <f t="array" ref="N219">INDEX(Benchmarks!L$6:L$244,MATCH(SolverWork!$B219,MutualFunds!$B$6:$B$244,0),0)</f>
        <v>#N/A</v>
      </c>
      <c r="O219" s="14" t="e" cm="1">
        <f t="array" ref="O219">INDEX(Benchmarks!M$6:M$244,MATCH(SolverWork!$B219,MutualFunds!$B$6:$B$244,0),0)</f>
        <v>#N/A</v>
      </c>
      <c r="P219" s="14" t="e" cm="1">
        <f t="array" ref="P219">INDEX(Benchmarks!N$6:N$244,MATCH(SolverWork!$B219,MutualFunds!$B$6:$B$244,0),0)</f>
        <v>#N/A</v>
      </c>
      <c r="Q219" s="14" t="e" cm="1">
        <f t="array" ref="Q219">INDEX(Benchmarks!O$6:O$244,MATCH(SolverWork!$B219,MutualFunds!$B$6:$B$244,0),0)</f>
        <v>#N/A</v>
      </c>
      <c r="R219" s="14" t="e" cm="1">
        <f t="array" ref="R219">INDEX(Benchmarks!P$6:P$244,MATCH(SolverWork!$B219,MutualFunds!$B$6:$B$244,0),0)</f>
        <v>#N/A</v>
      </c>
      <c r="S219" s="14" t="e" cm="1">
        <f t="array" ref="S219">INDEX(Benchmarks!Q$6:Q$244,MATCH(SolverWork!$B219,MutualFunds!$B$6:$B$244,0),0)</f>
        <v>#N/A</v>
      </c>
      <c r="T219" s="14" t="e" cm="1">
        <f t="array" ref="T219">INDEX(Benchmarks!R$6:R$244,MATCH(SolverWork!$B219,MutualFunds!$B$6:$B$244,0),0)</f>
        <v>#N/A</v>
      </c>
    </row>
    <row r="220" spans="1:20" x14ac:dyDescent="0.2">
      <c r="A220">
        <v>210</v>
      </c>
      <c r="B220" s="28" t="str">
        <f>IF(B219="","",IF(EOMONTH(B219,1)&lt;=EOMONTH(Front!$C$4,0),EOMONTH(B219,1),""))</f>
        <v/>
      </c>
      <c r="C220" s="14" t="str">
        <f>IF(B220="","",INDEX(MutualFunds!$C$6:$O$244,MATCH(B220,MutualFunds!$B$6:$B$244,0),MATCH(Front!$C$2,MutualFunds!$C$4:$O$4,0)))</f>
        <v/>
      </c>
      <c r="D220" s="14" t="str">
        <f t="shared" si="3"/>
        <v/>
      </c>
      <c r="E220" s="14" t="e" cm="1">
        <f t="array" ref="E220">INDEX(Benchmarks!C$6:C$244,MATCH(SolverWork!$B220,MutualFunds!$B$6:$B$244,0),0)</f>
        <v>#N/A</v>
      </c>
      <c r="F220" s="14" t="e" cm="1">
        <f t="array" ref="F220">INDEX(Benchmarks!D$6:D$244,MATCH(SolverWork!$B220,MutualFunds!$B$6:$B$244,0),0)</f>
        <v>#N/A</v>
      </c>
      <c r="G220" s="14" t="e" cm="1">
        <f t="array" ref="G220">INDEX(Benchmarks!E$6:E$244,MATCH(SolverWork!$B220,MutualFunds!$B$6:$B$244,0),0)</f>
        <v>#N/A</v>
      </c>
      <c r="H220" s="14" t="e" cm="1">
        <f t="array" ref="H220">INDEX(Benchmarks!F$6:F$244,MATCH(SolverWork!$B220,MutualFunds!$B$6:$B$244,0),0)</f>
        <v>#N/A</v>
      </c>
      <c r="I220" s="14" t="e" cm="1">
        <f t="array" ref="I220">INDEX(Benchmarks!G$6:G$244,MATCH(SolverWork!$B220,MutualFunds!$B$6:$B$244,0),0)</f>
        <v>#N/A</v>
      </c>
      <c r="J220" s="14" t="e" cm="1">
        <f t="array" ref="J220">INDEX(Benchmarks!H$6:H$244,MATCH(SolverWork!$B220,MutualFunds!$B$6:$B$244,0),0)</f>
        <v>#N/A</v>
      </c>
      <c r="K220" s="14" t="e" cm="1">
        <f t="array" ref="K220">INDEX(Benchmarks!I$6:I$244,MATCH(SolverWork!$B220,MutualFunds!$B$6:$B$244,0),0)</f>
        <v>#N/A</v>
      </c>
      <c r="L220" s="14" t="e" cm="1">
        <f t="array" ref="L220">INDEX(Benchmarks!J$6:J$244,MATCH(SolverWork!$B220,MutualFunds!$B$6:$B$244,0),0)</f>
        <v>#N/A</v>
      </c>
      <c r="M220" s="14" t="e" cm="1">
        <f t="array" ref="M220">INDEX(Benchmarks!K$6:K$244,MATCH(SolverWork!$B220,MutualFunds!$B$6:$B$244,0),0)</f>
        <v>#N/A</v>
      </c>
      <c r="N220" s="14" t="e" cm="1">
        <f t="array" ref="N220">INDEX(Benchmarks!L$6:L$244,MATCH(SolverWork!$B220,MutualFunds!$B$6:$B$244,0),0)</f>
        <v>#N/A</v>
      </c>
      <c r="O220" s="14" t="e" cm="1">
        <f t="array" ref="O220">INDEX(Benchmarks!M$6:M$244,MATCH(SolverWork!$B220,MutualFunds!$B$6:$B$244,0),0)</f>
        <v>#N/A</v>
      </c>
      <c r="P220" s="14" t="e" cm="1">
        <f t="array" ref="P220">INDEX(Benchmarks!N$6:N$244,MATCH(SolverWork!$B220,MutualFunds!$B$6:$B$244,0),0)</f>
        <v>#N/A</v>
      </c>
      <c r="Q220" s="14" t="e" cm="1">
        <f t="array" ref="Q220">INDEX(Benchmarks!O$6:O$244,MATCH(SolverWork!$B220,MutualFunds!$B$6:$B$244,0),0)</f>
        <v>#N/A</v>
      </c>
      <c r="R220" s="14" t="e" cm="1">
        <f t="array" ref="R220">INDEX(Benchmarks!P$6:P$244,MATCH(SolverWork!$B220,MutualFunds!$B$6:$B$244,0),0)</f>
        <v>#N/A</v>
      </c>
      <c r="S220" s="14" t="e" cm="1">
        <f t="array" ref="S220">INDEX(Benchmarks!Q$6:Q$244,MATCH(SolverWork!$B220,MutualFunds!$B$6:$B$244,0),0)</f>
        <v>#N/A</v>
      </c>
      <c r="T220" s="14" t="e" cm="1">
        <f t="array" ref="T220">INDEX(Benchmarks!R$6:R$244,MATCH(SolverWork!$B220,MutualFunds!$B$6:$B$244,0),0)</f>
        <v>#N/A</v>
      </c>
    </row>
    <row r="221" spans="1:20" x14ac:dyDescent="0.2">
      <c r="A221">
        <v>211</v>
      </c>
      <c r="B221" s="28" t="str">
        <f>IF(B220="","",IF(EOMONTH(B220,1)&lt;=EOMONTH(Front!$C$4,0),EOMONTH(B220,1),""))</f>
        <v/>
      </c>
      <c r="C221" s="14" t="str">
        <f>IF(B221="","",INDEX(MutualFunds!$C$6:$O$244,MATCH(B221,MutualFunds!$B$6:$B$244,0),MATCH(Front!$C$2,MutualFunds!$C$4:$O$4,0)))</f>
        <v/>
      </c>
      <c r="D221" s="14" t="str">
        <f t="shared" si="3"/>
        <v/>
      </c>
      <c r="E221" s="14" t="e" cm="1">
        <f t="array" ref="E221">INDEX(Benchmarks!C$6:C$244,MATCH(SolverWork!$B221,MutualFunds!$B$6:$B$244,0),0)</f>
        <v>#N/A</v>
      </c>
      <c r="F221" s="14" t="e" cm="1">
        <f t="array" ref="F221">INDEX(Benchmarks!D$6:D$244,MATCH(SolverWork!$B221,MutualFunds!$B$6:$B$244,0),0)</f>
        <v>#N/A</v>
      </c>
      <c r="G221" s="14" t="e" cm="1">
        <f t="array" ref="G221">INDEX(Benchmarks!E$6:E$244,MATCH(SolverWork!$B221,MutualFunds!$B$6:$B$244,0),0)</f>
        <v>#N/A</v>
      </c>
      <c r="H221" s="14" t="e" cm="1">
        <f t="array" ref="H221">INDEX(Benchmarks!F$6:F$244,MATCH(SolverWork!$B221,MutualFunds!$B$6:$B$244,0),0)</f>
        <v>#N/A</v>
      </c>
      <c r="I221" s="14" t="e" cm="1">
        <f t="array" ref="I221">INDEX(Benchmarks!G$6:G$244,MATCH(SolverWork!$B221,MutualFunds!$B$6:$B$244,0),0)</f>
        <v>#N/A</v>
      </c>
      <c r="J221" s="14" t="e" cm="1">
        <f t="array" ref="J221">INDEX(Benchmarks!H$6:H$244,MATCH(SolverWork!$B221,MutualFunds!$B$6:$B$244,0),0)</f>
        <v>#N/A</v>
      </c>
      <c r="K221" s="14" t="e" cm="1">
        <f t="array" ref="K221">INDEX(Benchmarks!I$6:I$244,MATCH(SolverWork!$B221,MutualFunds!$B$6:$B$244,0),0)</f>
        <v>#N/A</v>
      </c>
      <c r="L221" s="14" t="e" cm="1">
        <f t="array" ref="L221">INDEX(Benchmarks!J$6:J$244,MATCH(SolverWork!$B221,MutualFunds!$B$6:$B$244,0),0)</f>
        <v>#N/A</v>
      </c>
      <c r="M221" s="14" t="e" cm="1">
        <f t="array" ref="M221">INDEX(Benchmarks!K$6:K$244,MATCH(SolverWork!$B221,MutualFunds!$B$6:$B$244,0),0)</f>
        <v>#N/A</v>
      </c>
      <c r="N221" s="14" t="e" cm="1">
        <f t="array" ref="N221">INDEX(Benchmarks!L$6:L$244,MATCH(SolverWork!$B221,MutualFunds!$B$6:$B$244,0),0)</f>
        <v>#N/A</v>
      </c>
      <c r="O221" s="14" t="e" cm="1">
        <f t="array" ref="O221">INDEX(Benchmarks!M$6:M$244,MATCH(SolverWork!$B221,MutualFunds!$B$6:$B$244,0),0)</f>
        <v>#N/A</v>
      </c>
      <c r="P221" s="14" t="e" cm="1">
        <f t="array" ref="P221">INDEX(Benchmarks!N$6:N$244,MATCH(SolverWork!$B221,MutualFunds!$B$6:$B$244,0),0)</f>
        <v>#N/A</v>
      </c>
      <c r="Q221" s="14" t="e" cm="1">
        <f t="array" ref="Q221">INDEX(Benchmarks!O$6:O$244,MATCH(SolverWork!$B221,MutualFunds!$B$6:$B$244,0),0)</f>
        <v>#N/A</v>
      </c>
      <c r="R221" s="14" t="e" cm="1">
        <f t="array" ref="R221">INDEX(Benchmarks!P$6:P$244,MATCH(SolverWork!$B221,MutualFunds!$B$6:$B$244,0),0)</f>
        <v>#N/A</v>
      </c>
      <c r="S221" s="14" t="e" cm="1">
        <f t="array" ref="S221">INDEX(Benchmarks!Q$6:Q$244,MATCH(SolverWork!$B221,MutualFunds!$B$6:$B$244,0),0)</f>
        <v>#N/A</v>
      </c>
      <c r="T221" s="14" t="e" cm="1">
        <f t="array" ref="T221">INDEX(Benchmarks!R$6:R$244,MATCH(SolverWork!$B221,MutualFunds!$B$6:$B$244,0),0)</f>
        <v>#N/A</v>
      </c>
    </row>
    <row r="222" spans="1:20" x14ac:dyDescent="0.2">
      <c r="A222">
        <v>212</v>
      </c>
      <c r="B222" s="28" t="str">
        <f>IF(B221="","",IF(EOMONTH(B221,1)&lt;=EOMONTH(Front!$C$4,0),EOMONTH(B221,1),""))</f>
        <v/>
      </c>
      <c r="C222" s="14" t="str">
        <f>IF(B222="","",INDEX(MutualFunds!$C$6:$O$244,MATCH(B222,MutualFunds!$B$6:$B$244,0),MATCH(Front!$C$2,MutualFunds!$C$4:$O$4,0)))</f>
        <v/>
      </c>
      <c r="D222" s="14" t="str">
        <f t="shared" si="3"/>
        <v/>
      </c>
      <c r="E222" s="14" t="e" cm="1">
        <f t="array" ref="E222">INDEX(Benchmarks!C$6:C$244,MATCH(SolverWork!$B222,MutualFunds!$B$6:$B$244,0),0)</f>
        <v>#N/A</v>
      </c>
      <c r="F222" s="14" t="e" cm="1">
        <f t="array" ref="F222">INDEX(Benchmarks!D$6:D$244,MATCH(SolverWork!$B222,MutualFunds!$B$6:$B$244,0),0)</f>
        <v>#N/A</v>
      </c>
      <c r="G222" s="14" t="e" cm="1">
        <f t="array" ref="G222">INDEX(Benchmarks!E$6:E$244,MATCH(SolverWork!$B222,MutualFunds!$B$6:$B$244,0),0)</f>
        <v>#N/A</v>
      </c>
      <c r="H222" s="14" t="e" cm="1">
        <f t="array" ref="H222">INDEX(Benchmarks!F$6:F$244,MATCH(SolverWork!$B222,MutualFunds!$B$6:$B$244,0),0)</f>
        <v>#N/A</v>
      </c>
      <c r="I222" s="14" t="e" cm="1">
        <f t="array" ref="I222">INDEX(Benchmarks!G$6:G$244,MATCH(SolverWork!$B222,MutualFunds!$B$6:$B$244,0),0)</f>
        <v>#N/A</v>
      </c>
      <c r="J222" s="14" t="e" cm="1">
        <f t="array" ref="J222">INDEX(Benchmarks!H$6:H$244,MATCH(SolverWork!$B222,MutualFunds!$B$6:$B$244,0),0)</f>
        <v>#N/A</v>
      </c>
      <c r="K222" s="14" t="e" cm="1">
        <f t="array" ref="K222">INDEX(Benchmarks!I$6:I$244,MATCH(SolverWork!$B222,MutualFunds!$B$6:$B$244,0),0)</f>
        <v>#N/A</v>
      </c>
      <c r="L222" s="14" t="e" cm="1">
        <f t="array" ref="L222">INDEX(Benchmarks!J$6:J$244,MATCH(SolverWork!$B222,MutualFunds!$B$6:$B$244,0),0)</f>
        <v>#N/A</v>
      </c>
      <c r="M222" s="14" t="e" cm="1">
        <f t="array" ref="M222">INDEX(Benchmarks!K$6:K$244,MATCH(SolverWork!$B222,MutualFunds!$B$6:$B$244,0),0)</f>
        <v>#N/A</v>
      </c>
      <c r="N222" s="14" t="e" cm="1">
        <f t="array" ref="N222">INDEX(Benchmarks!L$6:L$244,MATCH(SolverWork!$B222,MutualFunds!$B$6:$B$244,0),0)</f>
        <v>#N/A</v>
      </c>
      <c r="O222" s="14" t="e" cm="1">
        <f t="array" ref="O222">INDEX(Benchmarks!M$6:M$244,MATCH(SolverWork!$B222,MutualFunds!$B$6:$B$244,0),0)</f>
        <v>#N/A</v>
      </c>
      <c r="P222" s="14" t="e" cm="1">
        <f t="array" ref="P222">INDEX(Benchmarks!N$6:N$244,MATCH(SolverWork!$B222,MutualFunds!$B$6:$B$244,0),0)</f>
        <v>#N/A</v>
      </c>
      <c r="Q222" s="14" t="e" cm="1">
        <f t="array" ref="Q222">INDEX(Benchmarks!O$6:O$244,MATCH(SolverWork!$B222,MutualFunds!$B$6:$B$244,0),0)</f>
        <v>#N/A</v>
      </c>
      <c r="R222" s="14" t="e" cm="1">
        <f t="array" ref="R222">INDEX(Benchmarks!P$6:P$244,MATCH(SolverWork!$B222,MutualFunds!$B$6:$B$244,0),0)</f>
        <v>#N/A</v>
      </c>
      <c r="S222" s="14" t="e" cm="1">
        <f t="array" ref="S222">INDEX(Benchmarks!Q$6:Q$244,MATCH(SolverWork!$B222,MutualFunds!$B$6:$B$244,0),0)</f>
        <v>#N/A</v>
      </c>
      <c r="T222" s="14" t="e" cm="1">
        <f t="array" ref="T222">INDEX(Benchmarks!R$6:R$244,MATCH(SolverWork!$B222,MutualFunds!$B$6:$B$244,0),0)</f>
        <v>#N/A</v>
      </c>
    </row>
    <row r="223" spans="1:20" x14ac:dyDescent="0.2">
      <c r="A223">
        <v>213</v>
      </c>
      <c r="B223" s="28" t="str">
        <f>IF(B222="","",IF(EOMONTH(B222,1)&lt;=EOMONTH(Front!$C$4,0),EOMONTH(B222,1),""))</f>
        <v/>
      </c>
      <c r="C223" s="14" t="str">
        <f>IF(B223="","",INDEX(MutualFunds!$C$6:$O$244,MATCH(B223,MutualFunds!$B$6:$B$244,0),MATCH(Front!$C$2,MutualFunds!$C$4:$O$4,0)))</f>
        <v/>
      </c>
      <c r="D223" s="14" t="str">
        <f t="shared" si="3"/>
        <v/>
      </c>
      <c r="E223" s="14" t="e" cm="1">
        <f t="array" ref="E223">INDEX(Benchmarks!C$6:C$244,MATCH(SolverWork!$B223,MutualFunds!$B$6:$B$244,0),0)</f>
        <v>#N/A</v>
      </c>
      <c r="F223" s="14" t="e" cm="1">
        <f t="array" ref="F223">INDEX(Benchmarks!D$6:D$244,MATCH(SolverWork!$B223,MutualFunds!$B$6:$B$244,0),0)</f>
        <v>#N/A</v>
      </c>
      <c r="G223" s="14" t="e" cm="1">
        <f t="array" ref="G223">INDEX(Benchmarks!E$6:E$244,MATCH(SolverWork!$B223,MutualFunds!$B$6:$B$244,0),0)</f>
        <v>#N/A</v>
      </c>
      <c r="H223" s="14" t="e" cm="1">
        <f t="array" ref="H223">INDEX(Benchmarks!F$6:F$244,MATCH(SolverWork!$B223,MutualFunds!$B$6:$B$244,0),0)</f>
        <v>#N/A</v>
      </c>
      <c r="I223" s="14" t="e" cm="1">
        <f t="array" ref="I223">INDEX(Benchmarks!G$6:G$244,MATCH(SolverWork!$B223,MutualFunds!$B$6:$B$244,0),0)</f>
        <v>#N/A</v>
      </c>
      <c r="J223" s="14" t="e" cm="1">
        <f t="array" ref="J223">INDEX(Benchmarks!H$6:H$244,MATCH(SolverWork!$B223,MutualFunds!$B$6:$B$244,0),0)</f>
        <v>#N/A</v>
      </c>
      <c r="K223" s="14" t="e" cm="1">
        <f t="array" ref="K223">INDEX(Benchmarks!I$6:I$244,MATCH(SolverWork!$B223,MutualFunds!$B$6:$B$244,0),0)</f>
        <v>#N/A</v>
      </c>
      <c r="L223" s="14" t="e" cm="1">
        <f t="array" ref="L223">INDEX(Benchmarks!J$6:J$244,MATCH(SolverWork!$B223,MutualFunds!$B$6:$B$244,0),0)</f>
        <v>#N/A</v>
      </c>
      <c r="M223" s="14" t="e" cm="1">
        <f t="array" ref="M223">INDEX(Benchmarks!K$6:K$244,MATCH(SolverWork!$B223,MutualFunds!$B$6:$B$244,0),0)</f>
        <v>#N/A</v>
      </c>
      <c r="N223" s="14" t="e" cm="1">
        <f t="array" ref="N223">INDEX(Benchmarks!L$6:L$244,MATCH(SolverWork!$B223,MutualFunds!$B$6:$B$244,0),0)</f>
        <v>#N/A</v>
      </c>
      <c r="O223" s="14" t="e" cm="1">
        <f t="array" ref="O223">INDEX(Benchmarks!M$6:M$244,MATCH(SolverWork!$B223,MutualFunds!$B$6:$B$244,0),0)</f>
        <v>#N/A</v>
      </c>
      <c r="P223" s="14" t="e" cm="1">
        <f t="array" ref="P223">INDEX(Benchmarks!N$6:N$244,MATCH(SolverWork!$B223,MutualFunds!$B$6:$B$244,0),0)</f>
        <v>#N/A</v>
      </c>
      <c r="Q223" s="14" t="e" cm="1">
        <f t="array" ref="Q223">INDEX(Benchmarks!O$6:O$244,MATCH(SolverWork!$B223,MutualFunds!$B$6:$B$244,0),0)</f>
        <v>#N/A</v>
      </c>
      <c r="R223" s="14" t="e" cm="1">
        <f t="array" ref="R223">INDEX(Benchmarks!P$6:P$244,MATCH(SolverWork!$B223,MutualFunds!$B$6:$B$244,0),0)</f>
        <v>#N/A</v>
      </c>
      <c r="S223" s="14" t="e" cm="1">
        <f t="array" ref="S223">INDEX(Benchmarks!Q$6:Q$244,MATCH(SolverWork!$B223,MutualFunds!$B$6:$B$244,0),0)</f>
        <v>#N/A</v>
      </c>
      <c r="T223" s="14" t="e" cm="1">
        <f t="array" ref="T223">INDEX(Benchmarks!R$6:R$244,MATCH(SolverWork!$B223,MutualFunds!$B$6:$B$244,0),0)</f>
        <v>#N/A</v>
      </c>
    </row>
    <row r="224" spans="1:20" x14ac:dyDescent="0.2">
      <c r="A224">
        <v>214</v>
      </c>
      <c r="B224" s="28" t="str">
        <f>IF(B223="","",IF(EOMONTH(B223,1)&lt;=EOMONTH(Front!$C$4,0),EOMONTH(B223,1),""))</f>
        <v/>
      </c>
      <c r="C224" s="14" t="str">
        <f>IF(B224="","",INDEX(MutualFunds!$C$6:$O$244,MATCH(B224,MutualFunds!$B$6:$B$244,0),MATCH(Front!$C$2,MutualFunds!$C$4:$O$4,0)))</f>
        <v/>
      </c>
      <c r="D224" s="14" t="str">
        <f t="shared" si="3"/>
        <v/>
      </c>
      <c r="E224" s="14" t="e" cm="1">
        <f t="array" ref="E224">INDEX(Benchmarks!C$6:C$244,MATCH(SolverWork!$B224,MutualFunds!$B$6:$B$244,0),0)</f>
        <v>#N/A</v>
      </c>
      <c r="F224" s="14" t="e" cm="1">
        <f t="array" ref="F224">INDEX(Benchmarks!D$6:D$244,MATCH(SolverWork!$B224,MutualFunds!$B$6:$B$244,0),0)</f>
        <v>#N/A</v>
      </c>
      <c r="G224" s="14" t="e" cm="1">
        <f t="array" ref="G224">INDEX(Benchmarks!E$6:E$244,MATCH(SolverWork!$B224,MutualFunds!$B$6:$B$244,0),0)</f>
        <v>#N/A</v>
      </c>
      <c r="H224" s="14" t="e" cm="1">
        <f t="array" ref="H224">INDEX(Benchmarks!F$6:F$244,MATCH(SolverWork!$B224,MutualFunds!$B$6:$B$244,0),0)</f>
        <v>#N/A</v>
      </c>
      <c r="I224" s="14" t="e" cm="1">
        <f t="array" ref="I224">INDEX(Benchmarks!G$6:G$244,MATCH(SolverWork!$B224,MutualFunds!$B$6:$B$244,0),0)</f>
        <v>#N/A</v>
      </c>
      <c r="J224" s="14" t="e" cm="1">
        <f t="array" ref="J224">INDEX(Benchmarks!H$6:H$244,MATCH(SolverWork!$B224,MutualFunds!$B$6:$B$244,0),0)</f>
        <v>#N/A</v>
      </c>
      <c r="K224" s="14" t="e" cm="1">
        <f t="array" ref="K224">INDEX(Benchmarks!I$6:I$244,MATCH(SolverWork!$B224,MutualFunds!$B$6:$B$244,0),0)</f>
        <v>#N/A</v>
      </c>
      <c r="L224" s="14" t="e" cm="1">
        <f t="array" ref="L224">INDEX(Benchmarks!J$6:J$244,MATCH(SolverWork!$B224,MutualFunds!$B$6:$B$244,0),0)</f>
        <v>#N/A</v>
      </c>
      <c r="M224" s="14" t="e" cm="1">
        <f t="array" ref="M224">INDEX(Benchmarks!K$6:K$244,MATCH(SolverWork!$B224,MutualFunds!$B$6:$B$244,0),0)</f>
        <v>#N/A</v>
      </c>
      <c r="N224" s="14" t="e" cm="1">
        <f t="array" ref="N224">INDEX(Benchmarks!L$6:L$244,MATCH(SolverWork!$B224,MutualFunds!$B$6:$B$244,0),0)</f>
        <v>#N/A</v>
      </c>
      <c r="O224" s="14" t="e" cm="1">
        <f t="array" ref="O224">INDEX(Benchmarks!M$6:M$244,MATCH(SolverWork!$B224,MutualFunds!$B$6:$B$244,0),0)</f>
        <v>#N/A</v>
      </c>
      <c r="P224" s="14" t="e" cm="1">
        <f t="array" ref="P224">INDEX(Benchmarks!N$6:N$244,MATCH(SolverWork!$B224,MutualFunds!$B$6:$B$244,0),0)</f>
        <v>#N/A</v>
      </c>
      <c r="Q224" s="14" t="e" cm="1">
        <f t="array" ref="Q224">INDEX(Benchmarks!O$6:O$244,MATCH(SolverWork!$B224,MutualFunds!$B$6:$B$244,0),0)</f>
        <v>#N/A</v>
      </c>
      <c r="R224" s="14" t="e" cm="1">
        <f t="array" ref="R224">INDEX(Benchmarks!P$6:P$244,MATCH(SolverWork!$B224,MutualFunds!$B$6:$B$244,0),0)</f>
        <v>#N/A</v>
      </c>
      <c r="S224" s="14" t="e" cm="1">
        <f t="array" ref="S224">INDEX(Benchmarks!Q$6:Q$244,MATCH(SolverWork!$B224,MutualFunds!$B$6:$B$244,0),0)</f>
        <v>#N/A</v>
      </c>
      <c r="T224" s="14" t="e" cm="1">
        <f t="array" ref="T224">INDEX(Benchmarks!R$6:R$244,MATCH(SolverWork!$B224,MutualFunds!$B$6:$B$244,0),0)</f>
        <v>#N/A</v>
      </c>
    </row>
    <row r="225" spans="1:20" x14ac:dyDescent="0.2">
      <c r="A225">
        <v>215</v>
      </c>
      <c r="B225" s="28" t="str">
        <f>IF(B224="","",IF(EOMONTH(B224,1)&lt;=EOMONTH(Front!$C$4,0),EOMONTH(B224,1),""))</f>
        <v/>
      </c>
      <c r="C225" s="14" t="str">
        <f>IF(B225="","",INDEX(MutualFunds!$C$6:$O$244,MATCH(B225,MutualFunds!$B$6:$B$244,0),MATCH(Front!$C$2,MutualFunds!$C$4:$O$4,0)))</f>
        <v/>
      </c>
      <c r="D225" s="14" t="str">
        <f t="shared" si="3"/>
        <v/>
      </c>
      <c r="E225" s="14" t="e" cm="1">
        <f t="array" ref="E225">INDEX(Benchmarks!C$6:C$244,MATCH(SolverWork!$B225,MutualFunds!$B$6:$B$244,0),0)</f>
        <v>#N/A</v>
      </c>
      <c r="F225" s="14" t="e" cm="1">
        <f t="array" ref="F225">INDEX(Benchmarks!D$6:D$244,MATCH(SolverWork!$B225,MutualFunds!$B$6:$B$244,0),0)</f>
        <v>#N/A</v>
      </c>
      <c r="G225" s="14" t="e" cm="1">
        <f t="array" ref="G225">INDEX(Benchmarks!E$6:E$244,MATCH(SolverWork!$B225,MutualFunds!$B$6:$B$244,0),0)</f>
        <v>#N/A</v>
      </c>
      <c r="H225" s="14" t="e" cm="1">
        <f t="array" ref="H225">INDEX(Benchmarks!F$6:F$244,MATCH(SolverWork!$B225,MutualFunds!$B$6:$B$244,0),0)</f>
        <v>#N/A</v>
      </c>
      <c r="I225" s="14" t="e" cm="1">
        <f t="array" ref="I225">INDEX(Benchmarks!G$6:G$244,MATCH(SolverWork!$B225,MutualFunds!$B$6:$B$244,0),0)</f>
        <v>#N/A</v>
      </c>
      <c r="J225" s="14" t="e" cm="1">
        <f t="array" ref="J225">INDEX(Benchmarks!H$6:H$244,MATCH(SolverWork!$B225,MutualFunds!$B$6:$B$244,0),0)</f>
        <v>#N/A</v>
      </c>
      <c r="K225" s="14" t="e" cm="1">
        <f t="array" ref="K225">INDEX(Benchmarks!I$6:I$244,MATCH(SolverWork!$B225,MutualFunds!$B$6:$B$244,0),0)</f>
        <v>#N/A</v>
      </c>
      <c r="L225" s="14" t="e" cm="1">
        <f t="array" ref="L225">INDEX(Benchmarks!J$6:J$244,MATCH(SolverWork!$B225,MutualFunds!$B$6:$B$244,0),0)</f>
        <v>#N/A</v>
      </c>
      <c r="M225" s="14" t="e" cm="1">
        <f t="array" ref="M225">INDEX(Benchmarks!K$6:K$244,MATCH(SolverWork!$B225,MutualFunds!$B$6:$B$244,0),0)</f>
        <v>#N/A</v>
      </c>
      <c r="N225" s="14" t="e" cm="1">
        <f t="array" ref="N225">INDEX(Benchmarks!L$6:L$244,MATCH(SolverWork!$B225,MutualFunds!$B$6:$B$244,0),0)</f>
        <v>#N/A</v>
      </c>
      <c r="O225" s="14" t="e" cm="1">
        <f t="array" ref="O225">INDEX(Benchmarks!M$6:M$244,MATCH(SolverWork!$B225,MutualFunds!$B$6:$B$244,0),0)</f>
        <v>#N/A</v>
      </c>
      <c r="P225" s="14" t="e" cm="1">
        <f t="array" ref="P225">INDEX(Benchmarks!N$6:N$244,MATCH(SolverWork!$B225,MutualFunds!$B$6:$B$244,0),0)</f>
        <v>#N/A</v>
      </c>
      <c r="Q225" s="14" t="e" cm="1">
        <f t="array" ref="Q225">INDEX(Benchmarks!O$6:O$244,MATCH(SolverWork!$B225,MutualFunds!$B$6:$B$244,0),0)</f>
        <v>#N/A</v>
      </c>
      <c r="R225" s="14" t="e" cm="1">
        <f t="array" ref="R225">INDEX(Benchmarks!P$6:P$244,MATCH(SolverWork!$B225,MutualFunds!$B$6:$B$244,0),0)</f>
        <v>#N/A</v>
      </c>
      <c r="S225" s="14" t="e" cm="1">
        <f t="array" ref="S225">INDEX(Benchmarks!Q$6:Q$244,MATCH(SolverWork!$B225,MutualFunds!$B$6:$B$244,0),0)</f>
        <v>#N/A</v>
      </c>
      <c r="T225" s="14" t="e" cm="1">
        <f t="array" ref="T225">INDEX(Benchmarks!R$6:R$244,MATCH(SolverWork!$B225,MutualFunds!$B$6:$B$244,0),0)</f>
        <v>#N/A</v>
      </c>
    </row>
    <row r="226" spans="1:20" x14ac:dyDescent="0.2">
      <c r="A226">
        <v>216</v>
      </c>
      <c r="B226" s="28" t="str">
        <f>IF(B225="","",IF(EOMONTH(B225,1)&lt;=EOMONTH(Front!$C$4,0),EOMONTH(B225,1),""))</f>
        <v/>
      </c>
      <c r="C226" s="14" t="str">
        <f>IF(B226="","",INDEX(MutualFunds!$C$6:$O$244,MATCH(B226,MutualFunds!$B$6:$B$244,0),MATCH(Front!$C$2,MutualFunds!$C$4:$O$4,0)))</f>
        <v/>
      </c>
      <c r="D226" s="14" t="str">
        <f t="shared" si="3"/>
        <v/>
      </c>
      <c r="E226" s="14" t="e" cm="1">
        <f t="array" ref="E226">INDEX(Benchmarks!C$6:C$244,MATCH(SolverWork!$B226,MutualFunds!$B$6:$B$244,0),0)</f>
        <v>#N/A</v>
      </c>
      <c r="F226" s="14" t="e" cm="1">
        <f t="array" ref="F226">INDEX(Benchmarks!D$6:D$244,MATCH(SolverWork!$B226,MutualFunds!$B$6:$B$244,0),0)</f>
        <v>#N/A</v>
      </c>
      <c r="G226" s="14" t="e" cm="1">
        <f t="array" ref="G226">INDEX(Benchmarks!E$6:E$244,MATCH(SolverWork!$B226,MutualFunds!$B$6:$B$244,0),0)</f>
        <v>#N/A</v>
      </c>
      <c r="H226" s="14" t="e" cm="1">
        <f t="array" ref="H226">INDEX(Benchmarks!F$6:F$244,MATCH(SolverWork!$B226,MutualFunds!$B$6:$B$244,0),0)</f>
        <v>#N/A</v>
      </c>
      <c r="I226" s="14" t="e" cm="1">
        <f t="array" ref="I226">INDEX(Benchmarks!G$6:G$244,MATCH(SolverWork!$B226,MutualFunds!$B$6:$B$244,0),0)</f>
        <v>#N/A</v>
      </c>
      <c r="J226" s="14" t="e" cm="1">
        <f t="array" ref="J226">INDEX(Benchmarks!H$6:H$244,MATCH(SolverWork!$B226,MutualFunds!$B$6:$B$244,0),0)</f>
        <v>#N/A</v>
      </c>
      <c r="K226" s="14" t="e" cm="1">
        <f t="array" ref="K226">INDEX(Benchmarks!I$6:I$244,MATCH(SolverWork!$B226,MutualFunds!$B$6:$B$244,0),0)</f>
        <v>#N/A</v>
      </c>
      <c r="L226" s="14" t="e" cm="1">
        <f t="array" ref="L226">INDEX(Benchmarks!J$6:J$244,MATCH(SolverWork!$B226,MutualFunds!$B$6:$B$244,0),0)</f>
        <v>#N/A</v>
      </c>
      <c r="M226" s="14" t="e" cm="1">
        <f t="array" ref="M226">INDEX(Benchmarks!K$6:K$244,MATCH(SolverWork!$B226,MutualFunds!$B$6:$B$244,0),0)</f>
        <v>#N/A</v>
      </c>
      <c r="N226" s="14" t="e" cm="1">
        <f t="array" ref="N226">INDEX(Benchmarks!L$6:L$244,MATCH(SolverWork!$B226,MutualFunds!$B$6:$B$244,0),0)</f>
        <v>#N/A</v>
      </c>
      <c r="O226" s="14" t="e" cm="1">
        <f t="array" ref="O226">INDEX(Benchmarks!M$6:M$244,MATCH(SolverWork!$B226,MutualFunds!$B$6:$B$244,0),0)</f>
        <v>#N/A</v>
      </c>
      <c r="P226" s="14" t="e" cm="1">
        <f t="array" ref="P226">INDEX(Benchmarks!N$6:N$244,MATCH(SolverWork!$B226,MutualFunds!$B$6:$B$244,0),0)</f>
        <v>#N/A</v>
      </c>
      <c r="Q226" s="14" t="e" cm="1">
        <f t="array" ref="Q226">INDEX(Benchmarks!O$6:O$244,MATCH(SolverWork!$B226,MutualFunds!$B$6:$B$244,0),0)</f>
        <v>#N/A</v>
      </c>
      <c r="R226" s="14" t="e" cm="1">
        <f t="array" ref="R226">INDEX(Benchmarks!P$6:P$244,MATCH(SolverWork!$B226,MutualFunds!$B$6:$B$244,0),0)</f>
        <v>#N/A</v>
      </c>
      <c r="S226" s="14" t="e" cm="1">
        <f t="array" ref="S226">INDEX(Benchmarks!Q$6:Q$244,MATCH(SolverWork!$B226,MutualFunds!$B$6:$B$244,0),0)</f>
        <v>#N/A</v>
      </c>
      <c r="T226" s="14" t="e" cm="1">
        <f t="array" ref="T226">INDEX(Benchmarks!R$6:R$244,MATCH(SolverWork!$B226,MutualFunds!$B$6:$B$244,0),0)</f>
        <v>#N/A</v>
      </c>
    </row>
    <row r="227" spans="1:20" x14ac:dyDescent="0.2">
      <c r="A227">
        <v>217</v>
      </c>
      <c r="B227" s="28" t="str">
        <f>IF(B226="","",IF(EOMONTH(B226,1)&lt;=EOMONTH(Front!$C$4,0),EOMONTH(B226,1),""))</f>
        <v/>
      </c>
      <c r="C227" s="14" t="str">
        <f>IF(B227="","",INDEX(MutualFunds!$C$6:$O$244,MATCH(B227,MutualFunds!$B$6:$B$244,0),MATCH(Front!$C$2,MutualFunds!$C$4:$O$4,0)))</f>
        <v/>
      </c>
      <c r="D227" s="14" t="str">
        <f t="shared" si="3"/>
        <v/>
      </c>
      <c r="E227" s="14" t="e" cm="1">
        <f t="array" ref="E227">INDEX(Benchmarks!C$6:C$244,MATCH(SolverWork!$B227,MutualFunds!$B$6:$B$244,0),0)</f>
        <v>#N/A</v>
      </c>
      <c r="F227" s="14" t="e" cm="1">
        <f t="array" ref="F227">INDEX(Benchmarks!D$6:D$244,MATCH(SolverWork!$B227,MutualFunds!$B$6:$B$244,0),0)</f>
        <v>#N/A</v>
      </c>
      <c r="G227" s="14" t="e" cm="1">
        <f t="array" ref="G227">INDEX(Benchmarks!E$6:E$244,MATCH(SolverWork!$B227,MutualFunds!$B$6:$B$244,0),0)</f>
        <v>#N/A</v>
      </c>
      <c r="H227" s="14" t="e" cm="1">
        <f t="array" ref="H227">INDEX(Benchmarks!F$6:F$244,MATCH(SolverWork!$B227,MutualFunds!$B$6:$B$244,0),0)</f>
        <v>#N/A</v>
      </c>
      <c r="I227" s="14" t="e" cm="1">
        <f t="array" ref="I227">INDEX(Benchmarks!G$6:G$244,MATCH(SolverWork!$B227,MutualFunds!$B$6:$B$244,0),0)</f>
        <v>#N/A</v>
      </c>
      <c r="J227" s="14" t="e" cm="1">
        <f t="array" ref="J227">INDEX(Benchmarks!H$6:H$244,MATCH(SolverWork!$B227,MutualFunds!$B$6:$B$244,0),0)</f>
        <v>#N/A</v>
      </c>
      <c r="K227" s="14" t="e" cm="1">
        <f t="array" ref="K227">INDEX(Benchmarks!I$6:I$244,MATCH(SolverWork!$B227,MutualFunds!$B$6:$B$244,0),0)</f>
        <v>#N/A</v>
      </c>
      <c r="L227" s="14" t="e" cm="1">
        <f t="array" ref="L227">INDEX(Benchmarks!J$6:J$244,MATCH(SolverWork!$B227,MutualFunds!$B$6:$B$244,0),0)</f>
        <v>#N/A</v>
      </c>
      <c r="M227" s="14" t="e" cm="1">
        <f t="array" ref="M227">INDEX(Benchmarks!K$6:K$244,MATCH(SolverWork!$B227,MutualFunds!$B$6:$B$244,0),0)</f>
        <v>#N/A</v>
      </c>
      <c r="N227" s="14" t="e" cm="1">
        <f t="array" ref="N227">INDEX(Benchmarks!L$6:L$244,MATCH(SolverWork!$B227,MutualFunds!$B$6:$B$244,0),0)</f>
        <v>#N/A</v>
      </c>
      <c r="O227" s="14" t="e" cm="1">
        <f t="array" ref="O227">INDEX(Benchmarks!M$6:M$244,MATCH(SolverWork!$B227,MutualFunds!$B$6:$B$244,0),0)</f>
        <v>#N/A</v>
      </c>
      <c r="P227" s="14" t="e" cm="1">
        <f t="array" ref="P227">INDEX(Benchmarks!N$6:N$244,MATCH(SolverWork!$B227,MutualFunds!$B$6:$B$244,0),0)</f>
        <v>#N/A</v>
      </c>
      <c r="Q227" s="14" t="e" cm="1">
        <f t="array" ref="Q227">INDEX(Benchmarks!O$6:O$244,MATCH(SolverWork!$B227,MutualFunds!$B$6:$B$244,0),0)</f>
        <v>#N/A</v>
      </c>
      <c r="R227" s="14" t="e" cm="1">
        <f t="array" ref="R227">INDEX(Benchmarks!P$6:P$244,MATCH(SolverWork!$B227,MutualFunds!$B$6:$B$244,0),0)</f>
        <v>#N/A</v>
      </c>
      <c r="S227" s="14" t="e" cm="1">
        <f t="array" ref="S227">INDEX(Benchmarks!Q$6:Q$244,MATCH(SolverWork!$B227,MutualFunds!$B$6:$B$244,0),0)</f>
        <v>#N/A</v>
      </c>
      <c r="T227" s="14" t="e" cm="1">
        <f t="array" ref="T227">INDEX(Benchmarks!R$6:R$244,MATCH(SolverWork!$B227,MutualFunds!$B$6:$B$244,0),0)</f>
        <v>#N/A</v>
      </c>
    </row>
    <row r="228" spans="1:20" x14ac:dyDescent="0.2">
      <c r="A228">
        <v>218</v>
      </c>
      <c r="B228" s="28" t="str">
        <f>IF(B227="","",IF(EOMONTH(B227,1)&lt;=EOMONTH(Front!$C$4,0),EOMONTH(B227,1),""))</f>
        <v/>
      </c>
      <c r="C228" s="14" t="str">
        <f>IF(B228="","",INDEX(MutualFunds!$C$6:$O$244,MATCH(B228,MutualFunds!$B$6:$B$244,0),MATCH(Front!$C$2,MutualFunds!$C$4:$O$4,0)))</f>
        <v/>
      </c>
      <c r="D228" s="14" t="str">
        <f t="shared" si="3"/>
        <v/>
      </c>
      <c r="E228" s="14" t="e" cm="1">
        <f t="array" ref="E228">INDEX(Benchmarks!C$6:C$244,MATCH(SolverWork!$B228,MutualFunds!$B$6:$B$244,0),0)</f>
        <v>#N/A</v>
      </c>
      <c r="F228" s="14" t="e" cm="1">
        <f t="array" ref="F228">INDEX(Benchmarks!D$6:D$244,MATCH(SolverWork!$B228,MutualFunds!$B$6:$B$244,0),0)</f>
        <v>#N/A</v>
      </c>
      <c r="G228" s="14" t="e" cm="1">
        <f t="array" ref="G228">INDEX(Benchmarks!E$6:E$244,MATCH(SolverWork!$B228,MutualFunds!$B$6:$B$244,0),0)</f>
        <v>#N/A</v>
      </c>
      <c r="H228" s="14" t="e" cm="1">
        <f t="array" ref="H228">INDEX(Benchmarks!F$6:F$244,MATCH(SolverWork!$B228,MutualFunds!$B$6:$B$244,0),0)</f>
        <v>#N/A</v>
      </c>
      <c r="I228" s="14" t="e" cm="1">
        <f t="array" ref="I228">INDEX(Benchmarks!G$6:G$244,MATCH(SolverWork!$B228,MutualFunds!$B$6:$B$244,0),0)</f>
        <v>#N/A</v>
      </c>
      <c r="J228" s="14" t="e" cm="1">
        <f t="array" ref="J228">INDEX(Benchmarks!H$6:H$244,MATCH(SolverWork!$B228,MutualFunds!$B$6:$B$244,0),0)</f>
        <v>#N/A</v>
      </c>
      <c r="K228" s="14" t="e" cm="1">
        <f t="array" ref="K228">INDEX(Benchmarks!I$6:I$244,MATCH(SolverWork!$B228,MutualFunds!$B$6:$B$244,0),0)</f>
        <v>#N/A</v>
      </c>
      <c r="L228" s="14" t="e" cm="1">
        <f t="array" ref="L228">INDEX(Benchmarks!J$6:J$244,MATCH(SolverWork!$B228,MutualFunds!$B$6:$B$244,0),0)</f>
        <v>#N/A</v>
      </c>
      <c r="M228" s="14" t="e" cm="1">
        <f t="array" ref="M228">INDEX(Benchmarks!K$6:K$244,MATCH(SolverWork!$B228,MutualFunds!$B$6:$B$244,0),0)</f>
        <v>#N/A</v>
      </c>
      <c r="N228" s="14" t="e" cm="1">
        <f t="array" ref="N228">INDEX(Benchmarks!L$6:L$244,MATCH(SolverWork!$B228,MutualFunds!$B$6:$B$244,0),0)</f>
        <v>#N/A</v>
      </c>
      <c r="O228" s="14" t="e" cm="1">
        <f t="array" ref="O228">INDEX(Benchmarks!M$6:M$244,MATCH(SolverWork!$B228,MutualFunds!$B$6:$B$244,0),0)</f>
        <v>#N/A</v>
      </c>
      <c r="P228" s="14" t="e" cm="1">
        <f t="array" ref="P228">INDEX(Benchmarks!N$6:N$244,MATCH(SolverWork!$B228,MutualFunds!$B$6:$B$244,0),0)</f>
        <v>#N/A</v>
      </c>
      <c r="Q228" s="14" t="e" cm="1">
        <f t="array" ref="Q228">INDEX(Benchmarks!O$6:O$244,MATCH(SolverWork!$B228,MutualFunds!$B$6:$B$244,0),0)</f>
        <v>#N/A</v>
      </c>
      <c r="R228" s="14" t="e" cm="1">
        <f t="array" ref="R228">INDEX(Benchmarks!P$6:P$244,MATCH(SolverWork!$B228,MutualFunds!$B$6:$B$244,0),0)</f>
        <v>#N/A</v>
      </c>
      <c r="S228" s="14" t="e" cm="1">
        <f t="array" ref="S228">INDEX(Benchmarks!Q$6:Q$244,MATCH(SolverWork!$B228,MutualFunds!$B$6:$B$244,0),0)</f>
        <v>#N/A</v>
      </c>
      <c r="T228" s="14" t="e" cm="1">
        <f t="array" ref="T228">INDEX(Benchmarks!R$6:R$244,MATCH(SolverWork!$B228,MutualFunds!$B$6:$B$244,0),0)</f>
        <v>#N/A</v>
      </c>
    </row>
    <row r="229" spans="1:20" x14ac:dyDescent="0.2">
      <c r="A229">
        <v>219</v>
      </c>
      <c r="B229" s="28" t="str">
        <f>IF(B228="","",IF(EOMONTH(B228,1)&lt;=EOMONTH(Front!$C$4,0),EOMONTH(B228,1),""))</f>
        <v/>
      </c>
      <c r="C229" s="14" t="str">
        <f>IF(B229="","",INDEX(MutualFunds!$C$6:$O$244,MATCH(B229,MutualFunds!$B$6:$B$244,0),MATCH(Front!$C$2,MutualFunds!$C$4:$O$4,0)))</f>
        <v/>
      </c>
      <c r="D229" s="14" t="str">
        <f t="shared" si="3"/>
        <v/>
      </c>
      <c r="E229" s="14" t="e" cm="1">
        <f t="array" ref="E229">INDEX(Benchmarks!C$6:C$244,MATCH(SolverWork!$B229,MutualFunds!$B$6:$B$244,0),0)</f>
        <v>#N/A</v>
      </c>
      <c r="F229" s="14" t="e" cm="1">
        <f t="array" ref="F229">INDEX(Benchmarks!D$6:D$244,MATCH(SolverWork!$B229,MutualFunds!$B$6:$B$244,0),0)</f>
        <v>#N/A</v>
      </c>
      <c r="G229" s="14" t="e" cm="1">
        <f t="array" ref="G229">INDEX(Benchmarks!E$6:E$244,MATCH(SolverWork!$B229,MutualFunds!$B$6:$B$244,0),0)</f>
        <v>#N/A</v>
      </c>
      <c r="H229" s="14" t="e" cm="1">
        <f t="array" ref="H229">INDEX(Benchmarks!F$6:F$244,MATCH(SolverWork!$B229,MutualFunds!$B$6:$B$244,0),0)</f>
        <v>#N/A</v>
      </c>
      <c r="I229" s="14" t="e" cm="1">
        <f t="array" ref="I229">INDEX(Benchmarks!G$6:G$244,MATCH(SolverWork!$B229,MutualFunds!$B$6:$B$244,0),0)</f>
        <v>#N/A</v>
      </c>
      <c r="J229" s="14" t="e" cm="1">
        <f t="array" ref="J229">INDEX(Benchmarks!H$6:H$244,MATCH(SolverWork!$B229,MutualFunds!$B$6:$B$244,0),0)</f>
        <v>#N/A</v>
      </c>
      <c r="K229" s="14" t="e" cm="1">
        <f t="array" ref="K229">INDEX(Benchmarks!I$6:I$244,MATCH(SolverWork!$B229,MutualFunds!$B$6:$B$244,0),0)</f>
        <v>#N/A</v>
      </c>
      <c r="L229" s="14" t="e" cm="1">
        <f t="array" ref="L229">INDEX(Benchmarks!J$6:J$244,MATCH(SolverWork!$B229,MutualFunds!$B$6:$B$244,0),0)</f>
        <v>#N/A</v>
      </c>
      <c r="M229" s="14" t="e" cm="1">
        <f t="array" ref="M229">INDEX(Benchmarks!K$6:K$244,MATCH(SolverWork!$B229,MutualFunds!$B$6:$B$244,0),0)</f>
        <v>#N/A</v>
      </c>
      <c r="N229" s="14" t="e" cm="1">
        <f t="array" ref="N229">INDEX(Benchmarks!L$6:L$244,MATCH(SolverWork!$B229,MutualFunds!$B$6:$B$244,0),0)</f>
        <v>#N/A</v>
      </c>
      <c r="O229" s="14" t="e" cm="1">
        <f t="array" ref="O229">INDEX(Benchmarks!M$6:M$244,MATCH(SolverWork!$B229,MutualFunds!$B$6:$B$244,0),0)</f>
        <v>#N/A</v>
      </c>
      <c r="P229" s="14" t="e" cm="1">
        <f t="array" ref="P229">INDEX(Benchmarks!N$6:N$244,MATCH(SolverWork!$B229,MutualFunds!$B$6:$B$244,0),0)</f>
        <v>#N/A</v>
      </c>
      <c r="Q229" s="14" t="e" cm="1">
        <f t="array" ref="Q229">INDEX(Benchmarks!O$6:O$244,MATCH(SolverWork!$B229,MutualFunds!$B$6:$B$244,0),0)</f>
        <v>#N/A</v>
      </c>
      <c r="R229" s="14" t="e" cm="1">
        <f t="array" ref="R229">INDEX(Benchmarks!P$6:P$244,MATCH(SolverWork!$B229,MutualFunds!$B$6:$B$244,0),0)</f>
        <v>#N/A</v>
      </c>
      <c r="S229" s="14" t="e" cm="1">
        <f t="array" ref="S229">INDEX(Benchmarks!Q$6:Q$244,MATCH(SolverWork!$B229,MutualFunds!$B$6:$B$244,0),0)</f>
        <v>#N/A</v>
      </c>
      <c r="T229" s="14" t="e" cm="1">
        <f t="array" ref="T229">INDEX(Benchmarks!R$6:R$244,MATCH(SolverWork!$B229,MutualFunds!$B$6:$B$244,0),0)</f>
        <v>#N/A</v>
      </c>
    </row>
    <row r="230" spans="1:20" x14ac:dyDescent="0.2">
      <c r="A230">
        <v>220</v>
      </c>
      <c r="B230" s="28" t="str">
        <f>IF(B229="","",IF(EOMONTH(B229,1)&lt;=EOMONTH(Front!$C$4,0),EOMONTH(B229,1),""))</f>
        <v/>
      </c>
      <c r="C230" s="14" t="str">
        <f>IF(B230="","",INDEX(MutualFunds!$C$6:$O$244,MATCH(B230,MutualFunds!$B$6:$B$244,0),MATCH(Front!$C$2,MutualFunds!$C$4:$O$4,0)))</f>
        <v/>
      </c>
      <c r="D230" s="14" t="str">
        <f t="shared" si="3"/>
        <v/>
      </c>
      <c r="E230" s="14" t="e" cm="1">
        <f t="array" ref="E230">INDEX(Benchmarks!C$6:C$244,MATCH(SolverWork!$B230,MutualFunds!$B$6:$B$244,0),0)</f>
        <v>#N/A</v>
      </c>
      <c r="F230" s="14" t="e" cm="1">
        <f t="array" ref="F230">INDEX(Benchmarks!D$6:D$244,MATCH(SolverWork!$B230,MutualFunds!$B$6:$B$244,0),0)</f>
        <v>#N/A</v>
      </c>
      <c r="G230" s="14" t="e" cm="1">
        <f t="array" ref="G230">INDEX(Benchmarks!E$6:E$244,MATCH(SolverWork!$B230,MutualFunds!$B$6:$B$244,0),0)</f>
        <v>#N/A</v>
      </c>
      <c r="H230" s="14" t="e" cm="1">
        <f t="array" ref="H230">INDEX(Benchmarks!F$6:F$244,MATCH(SolverWork!$B230,MutualFunds!$B$6:$B$244,0),0)</f>
        <v>#N/A</v>
      </c>
      <c r="I230" s="14" t="e" cm="1">
        <f t="array" ref="I230">INDEX(Benchmarks!G$6:G$244,MATCH(SolverWork!$B230,MutualFunds!$B$6:$B$244,0),0)</f>
        <v>#N/A</v>
      </c>
      <c r="J230" s="14" t="e" cm="1">
        <f t="array" ref="J230">INDEX(Benchmarks!H$6:H$244,MATCH(SolverWork!$B230,MutualFunds!$B$6:$B$244,0),0)</f>
        <v>#N/A</v>
      </c>
      <c r="K230" s="14" t="e" cm="1">
        <f t="array" ref="K230">INDEX(Benchmarks!I$6:I$244,MATCH(SolverWork!$B230,MutualFunds!$B$6:$B$244,0),0)</f>
        <v>#N/A</v>
      </c>
      <c r="L230" s="14" t="e" cm="1">
        <f t="array" ref="L230">INDEX(Benchmarks!J$6:J$244,MATCH(SolverWork!$B230,MutualFunds!$B$6:$B$244,0),0)</f>
        <v>#N/A</v>
      </c>
      <c r="M230" s="14" t="e" cm="1">
        <f t="array" ref="M230">INDEX(Benchmarks!K$6:K$244,MATCH(SolverWork!$B230,MutualFunds!$B$6:$B$244,0),0)</f>
        <v>#N/A</v>
      </c>
      <c r="N230" s="14" t="e" cm="1">
        <f t="array" ref="N230">INDEX(Benchmarks!L$6:L$244,MATCH(SolverWork!$B230,MutualFunds!$B$6:$B$244,0),0)</f>
        <v>#N/A</v>
      </c>
      <c r="O230" s="14" t="e" cm="1">
        <f t="array" ref="O230">INDEX(Benchmarks!M$6:M$244,MATCH(SolverWork!$B230,MutualFunds!$B$6:$B$244,0),0)</f>
        <v>#N/A</v>
      </c>
      <c r="P230" s="14" t="e" cm="1">
        <f t="array" ref="P230">INDEX(Benchmarks!N$6:N$244,MATCH(SolverWork!$B230,MutualFunds!$B$6:$B$244,0),0)</f>
        <v>#N/A</v>
      </c>
      <c r="Q230" s="14" t="e" cm="1">
        <f t="array" ref="Q230">INDEX(Benchmarks!O$6:O$244,MATCH(SolverWork!$B230,MutualFunds!$B$6:$B$244,0),0)</f>
        <v>#N/A</v>
      </c>
      <c r="R230" s="14" t="e" cm="1">
        <f t="array" ref="R230">INDEX(Benchmarks!P$6:P$244,MATCH(SolverWork!$B230,MutualFunds!$B$6:$B$244,0),0)</f>
        <v>#N/A</v>
      </c>
      <c r="S230" s="14" t="e" cm="1">
        <f t="array" ref="S230">INDEX(Benchmarks!Q$6:Q$244,MATCH(SolverWork!$B230,MutualFunds!$B$6:$B$244,0),0)</f>
        <v>#N/A</v>
      </c>
      <c r="T230" s="14" t="e" cm="1">
        <f t="array" ref="T230">INDEX(Benchmarks!R$6:R$244,MATCH(SolverWork!$B230,MutualFunds!$B$6:$B$244,0),0)</f>
        <v>#N/A</v>
      </c>
    </row>
    <row r="231" spans="1:20" x14ac:dyDescent="0.2">
      <c r="A231">
        <v>221</v>
      </c>
      <c r="B231" s="28" t="str">
        <f>IF(B230="","",IF(EOMONTH(B230,1)&lt;=EOMONTH(Front!$C$4,0),EOMONTH(B230,1),""))</f>
        <v/>
      </c>
      <c r="C231" s="14" t="str">
        <f>IF(B231="","",INDEX(MutualFunds!$C$6:$O$244,MATCH(B231,MutualFunds!$B$6:$B$244,0),MATCH(Front!$C$2,MutualFunds!$C$4:$O$4,0)))</f>
        <v/>
      </c>
      <c r="D231" s="14" t="str">
        <f t="shared" si="3"/>
        <v/>
      </c>
      <c r="E231" s="14" t="e" cm="1">
        <f t="array" ref="E231">INDEX(Benchmarks!C$6:C$244,MATCH(SolverWork!$B231,MutualFunds!$B$6:$B$244,0),0)</f>
        <v>#N/A</v>
      </c>
      <c r="F231" s="14" t="e" cm="1">
        <f t="array" ref="F231">INDEX(Benchmarks!D$6:D$244,MATCH(SolverWork!$B231,MutualFunds!$B$6:$B$244,0),0)</f>
        <v>#N/A</v>
      </c>
      <c r="G231" s="14" t="e" cm="1">
        <f t="array" ref="G231">INDEX(Benchmarks!E$6:E$244,MATCH(SolverWork!$B231,MutualFunds!$B$6:$B$244,0),0)</f>
        <v>#N/A</v>
      </c>
      <c r="H231" s="14" t="e" cm="1">
        <f t="array" ref="H231">INDEX(Benchmarks!F$6:F$244,MATCH(SolverWork!$B231,MutualFunds!$B$6:$B$244,0),0)</f>
        <v>#N/A</v>
      </c>
      <c r="I231" s="14" t="e" cm="1">
        <f t="array" ref="I231">INDEX(Benchmarks!G$6:G$244,MATCH(SolverWork!$B231,MutualFunds!$B$6:$B$244,0),0)</f>
        <v>#N/A</v>
      </c>
      <c r="J231" s="14" t="e" cm="1">
        <f t="array" ref="J231">INDEX(Benchmarks!H$6:H$244,MATCH(SolverWork!$B231,MutualFunds!$B$6:$B$244,0),0)</f>
        <v>#N/A</v>
      </c>
      <c r="K231" s="14" t="e" cm="1">
        <f t="array" ref="K231">INDEX(Benchmarks!I$6:I$244,MATCH(SolverWork!$B231,MutualFunds!$B$6:$B$244,0),0)</f>
        <v>#N/A</v>
      </c>
      <c r="L231" s="14" t="e" cm="1">
        <f t="array" ref="L231">INDEX(Benchmarks!J$6:J$244,MATCH(SolverWork!$B231,MutualFunds!$B$6:$B$244,0),0)</f>
        <v>#N/A</v>
      </c>
      <c r="M231" s="14" t="e" cm="1">
        <f t="array" ref="M231">INDEX(Benchmarks!K$6:K$244,MATCH(SolverWork!$B231,MutualFunds!$B$6:$B$244,0),0)</f>
        <v>#N/A</v>
      </c>
      <c r="N231" s="14" t="e" cm="1">
        <f t="array" ref="N231">INDEX(Benchmarks!L$6:L$244,MATCH(SolverWork!$B231,MutualFunds!$B$6:$B$244,0),0)</f>
        <v>#N/A</v>
      </c>
      <c r="O231" s="14" t="e" cm="1">
        <f t="array" ref="O231">INDEX(Benchmarks!M$6:M$244,MATCH(SolverWork!$B231,MutualFunds!$B$6:$B$244,0),0)</f>
        <v>#N/A</v>
      </c>
      <c r="P231" s="14" t="e" cm="1">
        <f t="array" ref="P231">INDEX(Benchmarks!N$6:N$244,MATCH(SolverWork!$B231,MutualFunds!$B$6:$B$244,0),0)</f>
        <v>#N/A</v>
      </c>
      <c r="Q231" s="14" t="e" cm="1">
        <f t="array" ref="Q231">INDEX(Benchmarks!O$6:O$244,MATCH(SolverWork!$B231,MutualFunds!$B$6:$B$244,0),0)</f>
        <v>#N/A</v>
      </c>
      <c r="R231" s="14" t="e" cm="1">
        <f t="array" ref="R231">INDEX(Benchmarks!P$6:P$244,MATCH(SolverWork!$B231,MutualFunds!$B$6:$B$244,0),0)</f>
        <v>#N/A</v>
      </c>
      <c r="S231" s="14" t="e" cm="1">
        <f t="array" ref="S231">INDEX(Benchmarks!Q$6:Q$244,MATCH(SolverWork!$B231,MutualFunds!$B$6:$B$244,0),0)</f>
        <v>#N/A</v>
      </c>
      <c r="T231" s="14" t="e" cm="1">
        <f t="array" ref="T231">INDEX(Benchmarks!R$6:R$244,MATCH(SolverWork!$B231,MutualFunds!$B$6:$B$244,0),0)</f>
        <v>#N/A</v>
      </c>
    </row>
    <row r="232" spans="1:20" x14ac:dyDescent="0.2">
      <c r="A232">
        <v>222</v>
      </c>
      <c r="B232" s="28" t="str">
        <f>IF(B231="","",IF(EOMONTH(B231,1)&lt;=EOMONTH(Front!$C$4,0),EOMONTH(B231,1),""))</f>
        <v/>
      </c>
      <c r="C232" s="14" t="str">
        <f>IF(B232="","",INDEX(MutualFunds!$C$6:$O$244,MATCH(B232,MutualFunds!$B$6:$B$244,0),MATCH(Front!$C$2,MutualFunds!$C$4:$O$4,0)))</f>
        <v/>
      </c>
      <c r="D232" s="14" t="str">
        <f t="shared" si="3"/>
        <v/>
      </c>
      <c r="E232" s="14" t="e" cm="1">
        <f t="array" ref="E232">INDEX(Benchmarks!C$6:C$244,MATCH(SolverWork!$B232,MutualFunds!$B$6:$B$244,0),0)</f>
        <v>#N/A</v>
      </c>
      <c r="F232" s="14" t="e" cm="1">
        <f t="array" ref="F232">INDEX(Benchmarks!D$6:D$244,MATCH(SolverWork!$B232,MutualFunds!$B$6:$B$244,0),0)</f>
        <v>#N/A</v>
      </c>
      <c r="G232" s="14" t="e" cm="1">
        <f t="array" ref="G232">INDEX(Benchmarks!E$6:E$244,MATCH(SolverWork!$B232,MutualFunds!$B$6:$B$244,0),0)</f>
        <v>#N/A</v>
      </c>
      <c r="H232" s="14" t="e" cm="1">
        <f t="array" ref="H232">INDEX(Benchmarks!F$6:F$244,MATCH(SolverWork!$B232,MutualFunds!$B$6:$B$244,0),0)</f>
        <v>#N/A</v>
      </c>
      <c r="I232" s="14" t="e" cm="1">
        <f t="array" ref="I232">INDEX(Benchmarks!G$6:G$244,MATCH(SolverWork!$B232,MutualFunds!$B$6:$B$244,0),0)</f>
        <v>#N/A</v>
      </c>
      <c r="J232" s="14" t="e" cm="1">
        <f t="array" ref="J232">INDEX(Benchmarks!H$6:H$244,MATCH(SolverWork!$B232,MutualFunds!$B$6:$B$244,0),0)</f>
        <v>#N/A</v>
      </c>
      <c r="K232" s="14" t="e" cm="1">
        <f t="array" ref="K232">INDEX(Benchmarks!I$6:I$244,MATCH(SolverWork!$B232,MutualFunds!$B$6:$B$244,0),0)</f>
        <v>#N/A</v>
      </c>
      <c r="L232" s="14" t="e" cm="1">
        <f t="array" ref="L232">INDEX(Benchmarks!J$6:J$244,MATCH(SolverWork!$B232,MutualFunds!$B$6:$B$244,0),0)</f>
        <v>#N/A</v>
      </c>
      <c r="M232" s="14" t="e" cm="1">
        <f t="array" ref="M232">INDEX(Benchmarks!K$6:K$244,MATCH(SolverWork!$B232,MutualFunds!$B$6:$B$244,0),0)</f>
        <v>#N/A</v>
      </c>
      <c r="N232" s="14" t="e" cm="1">
        <f t="array" ref="N232">INDEX(Benchmarks!L$6:L$244,MATCH(SolverWork!$B232,MutualFunds!$B$6:$B$244,0),0)</f>
        <v>#N/A</v>
      </c>
      <c r="O232" s="14" t="e" cm="1">
        <f t="array" ref="O232">INDEX(Benchmarks!M$6:M$244,MATCH(SolverWork!$B232,MutualFunds!$B$6:$B$244,0),0)</f>
        <v>#N/A</v>
      </c>
      <c r="P232" s="14" t="e" cm="1">
        <f t="array" ref="P232">INDEX(Benchmarks!N$6:N$244,MATCH(SolverWork!$B232,MutualFunds!$B$6:$B$244,0),0)</f>
        <v>#N/A</v>
      </c>
      <c r="Q232" s="14" t="e" cm="1">
        <f t="array" ref="Q232">INDEX(Benchmarks!O$6:O$244,MATCH(SolverWork!$B232,MutualFunds!$B$6:$B$244,0),0)</f>
        <v>#N/A</v>
      </c>
      <c r="R232" s="14" t="e" cm="1">
        <f t="array" ref="R232">INDEX(Benchmarks!P$6:P$244,MATCH(SolverWork!$B232,MutualFunds!$B$6:$B$244,0),0)</f>
        <v>#N/A</v>
      </c>
      <c r="S232" s="14" t="e" cm="1">
        <f t="array" ref="S232">INDEX(Benchmarks!Q$6:Q$244,MATCH(SolverWork!$B232,MutualFunds!$B$6:$B$244,0),0)</f>
        <v>#N/A</v>
      </c>
      <c r="T232" s="14" t="e" cm="1">
        <f t="array" ref="T232">INDEX(Benchmarks!R$6:R$244,MATCH(SolverWork!$B232,MutualFunds!$B$6:$B$244,0),0)</f>
        <v>#N/A</v>
      </c>
    </row>
    <row r="233" spans="1:20" x14ac:dyDescent="0.2">
      <c r="A233">
        <v>223</v>
      </c>
      <c r="B233" s="28" t="str">
        <f>IF(B232="","",IF(EOMONTH(B232,1)&lt;=EOMONTH(Front!$C$4,0),EOMONTH(B232,1),""))</f>
        <v/>
      </c>
      <c r="C233" s="14" t="str">
        <f>IF(B233="","",INDEX(MutualFunds!$C$6:$O$244,MATCH(B233,MutualFunds!$B$6:$B$244,0),MATCH(Front!$C$2,MutualFunds!$C$4:$O$4,0)))</f>
        <v/>
      </c>
      <c r="D233" s="14" t="str">
        <f t="shared" si="3"/>
        <v/>
      </c>
      <c r="E233" s="14" t="e" cm="1">
        <f t="array" ref="E233">INDEX(Benchmarks!C$6:C$244,MATCH(SolverWork!$B233,MutualFunds!$B$6:$B$244,0),0)</f>
        <v>#N/A</v>
      </c>
      <c r="F233" s="14" t="e" cm="1">
        <f t="array" ref="F233">INDEX(Benchmarks!D$6:D$244,MATCH(SolverWork!$B233,MutualFunds!$B$6:$B$244,0),0)</f>
        <v>#N/A</v>
      </c>
      <c r="G233" s="14" t="e" cm="1">
        <f t="array" ref="G233">INDEX(Benchmarks!E$6:E$244,MATCH(SolverWork!$B233,MutualFunds!$B$6:$B$244,0),0)</f>
        <v>#N/A</v>
      </c>
      <c r="H233" s="14" t="e" cm="1">
        <f t="array" ref="H233">INDEX(Benchmarks!F$6:F$244,MATCH(SolverWork!$B233,MutualFunds!$B$6:$B$244,0),0)</f>
        <v>#N/A</v>
      </c>
      <c r="I233" s="14" t="e" cm="1">
        <f t="array" ref="I233">INDEX(Benchmarks!G$6:G$244,MATCH(SolverWork!$B233,MutualFunds!$B$6:$B$244,0),0)</f>
        <v>#N/A</v>
      </c>
      <c r="J233" s="14" t="e" cm="1">
        <f t="array" ref="J233">INDEX(Benchmarks!H$6:H$244,MATCH(SolverWork!$B233,MutualFunds!$B$6:$B$244,0),0)</f>
        <v>#N/A</v>
      </c>
      <c r="K233" s="14" t="e" cm="1">
        <f t="array" ref="K233">INDEX(Benchmarks!I$6:I$244,MATCH(SolverWork!$B233,MutualFunds!$B$6:$B$244,0),0)</f>
        <v>#N/A</v>
      </c>
      <c r="L233" s="14" t="e" cm="1">
        <f t="array" ref="L233">INDEX(Benchmarks!J$6:J$244,MATCH(SolverWork!$B233,MutualFunds!$B$6:$B$244,0),0)</f>
        <v>#N/A</v>
      </c>
      <c r="M233" s="14" t="e" cm="1">
        <f t="array" ref="M233">INDEX(Benchmarks!K$6:K$244,MATCH(SolverWork!$B233,MutualFunds!$B$6:$B$244,0),0)</f>
        <v>#N/A</v>
      </c>
      <c r="N233" s="14" t="e" cm="1">
        <f t="array" ref="N233">INDEX(Benchmarks!L$6:L$244,MATCH(SolverWork!$B233,MutualFunds!$B$6:$B$244,0),0)</f>
        <v>#N/A</v>
      </c>
      <c r="O233" s="14" t="e" cm="1">
        <f t="array" ref="O233">INDEX(Benchmarks!M$6:M$244,MATCH(SolverWork!$B233,MutualFunds!$B$6:$B$244,0),0)</f>
        <v>#N/A</v>
      </c>
      <c r="P233" s="14" t="e" cm="1">
        <f t="array" ref="P233">INDEX(Benchmarks!N$6:N$244,MATCH(SolverWork!$B233,MutualFunds!$B$6:$B$244,0),0)</f>
        <v>#N/A</v>
      </c>
      <c r="Q233" s="14" t="e" cm="1">
        <f t="array" ref="Q233">INDEX(Benchmarks!O$6:O$244,MATCH(SolverWork!$B233,MutualFunds!$B$6:$B$244,0),0)</f>
        <v>#N/A</v>
      </c>
      <c r="R233" s="14" t="e" cm="1">
        <f t="array" ref="R233">INDEX(Benchmarks!P$6:P$244,MATCH(SolverWork!$B233,MutualFunds!$B$6:$B$244,0),0)</f>
        <v>#N/A</v>
      </c>
      <c r="S233" s="14" t="e" cm="1">
        <f t="array" ref="S233">INDEX(Benchmarks!Q$6:Q$244,MATCH(SolverWork!$B233,MutualFunds!$B$6:$B$244,0),0)</f>
        <v>#N/A</v>
      </c>
      <c r="T233" s="14" t="e" cm="1">
        <f t="array" ref="T233">INDEX(Benchmarks!R$6:R$244,MATCH(SolverWork!$B233,MutualFunds!$B$6:$B$244,0),0)</f>
        <v>#N/A</v>
      </c>
    </row>
    <row r="234" spans="1:20" x14ac:dyDescent="0.2">
      <c r="A234">
        <v>224</v>
      </c>
      <c r="B234" s="28" t="str">
        <f>IF(B233="","",IF(EOMONTH(B233,1)&lt;=EOMONTH(Front!$C$4,0),EOMONTH(B233,1),""))</f>
        <v/>
      </c>
      <c r="C234" s="14" t="str">
        <f>IF(B234="","",INDEX(MutualFunds!$C$6:$O$244,MATCH(B234,MutualFunds!$B$6:$B$244,0),MATCH(Front!$C$2,MutualFunds!$C$4:$O$4,0)))</f>
        <v/>
      </c>
      <c r="D234" s="14" t="str">
        <f t="shared" si="3"/>
        <v/>
      </c>
      <c r="E234" s="14" t="e" cm="1">
        <f t="array" ref="E234">INDEX(Benchmarks!C$6:C$244,MATCH(SolverWork!$B234,MutualFunds!$B$6:$B$244,0),0)</f>
        <v>#N/A</v>
      </c>
      <c r="F234" s="14" t="e" cm="1">
        <f t="array" ref="F234">INDEX(Benchmarks!D$6:D$244,MATCH(SolverWork!$B234,MutualFunds!$B$6:$B$244,0),0)</f>
        <v>#N/A</v>
      </c>
      <c r="G234" s="14" t="e" cm="1">
        <f t="array" ref="G234">INDEX(Benchmarks!E$6:E$244,MATCH(SolverWork!$B234,MutualFunds!$B$6:$B$244,0),0)</f>
        <v>#N/A</v>
      </c>
      <c r="H234" s="14" t="e" cm="1">
        <f t="array" ref="H234">INDEX(Benchmarks!F$6:F$244,MATCH(SolverWork!$B234,MutualFunds!$B$6:$B$244,0),0)</f>
        <v>#N/A</v>
      </c>
      <c r="I234" s="14" t="e" cm="1">
        <f t="array" ref="I234">INDEX(Benchmarks!G$6:G$244,MATCH(SolverWork!$B234,MutualFunds!$B$6:$B$244,0),0)</f>
        <v>#N/A</v>
      </c>
      <c r="J234" s="14" t="e" cm="1">
        <f t="array" ref="J234">INDEX(Benchmarks!H$6:H$244,MATCH(SolverWork!$B234,MutualFunds!$B$6:$B$244,0),0)</f>
        <v>#N/A</v>
      </c>
      <c r="K234" s="14" t="e" cm="1">
        <f t="array" ref="K234">INDEX(Benchmarks!I$6:I$244,MATCH(SolverWork!$B234,MutualFunds!$B$6:$B$244,0),0)</f>
        <v>#N/A</v>
      </c>
      <c r="L234" s="14" t="e" cm="1">
        <f t="array" ref="L234">INDEX(Benchmarks!J$6:J$244,MATCH(SolverWork!$B234,MutualFunds!$B$6:$B$244,0),0)</f>
        <v>#N/A</v>
      </c>
      <c r="M234" s="14" t="e" cm="1">
        <f t="array" ref="M234">INDEX(Benchmarks!K$6:K$244,MATCH(SolverWork!$B234,MutualFunds!$B$6:$B$244,0),0)</f>
        <v>#N/A</v>
      </c>
      <c r="N234" s="14" t="e" cm="1">
        <f t="array" ref="N234">INDEX(Benchmarks!L$6:L$244,MATCH(SolverWork!$B234,MutualFunds!$B$6:$B$244,0),0)</f>
        <v>#N/A</v>
      </c>
      <c r="O234" s="14" t="e" cm="1">
        <f t="array" ref="O234">INDEX(Benchmarks!M$6:M$244,MATCH(SolverWork!$B234,MutualFunds!$B$6:$B$244,0),0)</f>
        <v>#N/A</v>
      </c>
      <c r="P234" s="14" t="e" cm="1">
        <f t="array" ref="P234">INDEX(Benchmarks!N$6:N$244,MATCH(SolverWork!$B234,MutualFunds!$B$6:$B$244,0),0)</f>
        <v>#N/A</v>
      </c>
      <c r="Q234" s="14" t="e" cm="1">
        <f t="array" ref="Q234">INDEX(Benchmarks!O$6:O$244,MATCH(SolverWork!$B234,MutualFunds!$B$6:$B$244,0),0)</f>
        <v>#N/A</v>
      </c>
      <c r="R234" s="14" t="e" cm="1">
        <f t="array" ref="R234">INDEX(Benchmarks!P$6:P$244,MATCH(SolverWork!$B234,MutualFunds!$B$6:$B$244,0),0)</f>
        <v>#N/A</v>
      </c>
      <c r="S234" s="14" t="e" cm="1">
        <f t="array" ref="S234">INDEX(Benchmarks!Q$6:Q$244,MATCH(SolverWork!$B234,MutualFunds!$B$6:$B$244,0),0)</f>
        <v>#N/A</v>
      </c>
      <c r="T234" s="14" t="e" cm="1">
        <f t="array" ref="T234">INDEX(Benchmarks!R$6:R$244,MATCH(SolverWork!$B234,MutualFunds!$B$6:$B$244,0),0)</f>
        <v>#N/A</v>
      </c>
    </row>
    <row r="235" spans="1:20" x14ac:dyDescent="0.2">
      <c r="A235">
        <v>225</v>
      </c>
      <c r="B235" s="28" t="str">
        <f>IF(B234="","",IF(EOMONTH(B234,1)&lt;=EOMONTH(Front!$C$4,0),EOMONTH(B234,1),""))</f>
        <v/>
      </c>
      <c r="C235" s="14" t="str">
        <f>IF(B235="","",INDEX(MutualFunds!$C$6:$O$244,MATCH(B235,MutualFunds!$B$6:$B$244,0),MATCH(Front!$C$2,MutualFunds!$C$4:$O$4,0)))</f>
        <v/>
      </c>
      <c r="D235" s="14" t="str">
        <f t="shared" si="3"/>
        <v/>
      </c>
      <c r="E235" s="14" t="e" cm="1">
        <f t="array" ref="E235">INDEX(Benchmarks!C$6:C$244,MATCH(SolverWork!$B235,MutualFunds!$B$6:$B$244,0),0)</f>
        <v>#N/A</v>
      </c>
      <c r="F235" s="14" t="e" cm="1">
        <f t="array" ref="F235">INDEX(Benchmarks!D$6:D$244,MATCH(SolverWork!$B235,MutualFunds!$B$6:$B$244,0),0)</f>
        <v>#N/A</v>
      </c>
      <c r="G235" s="14" t="e" cm="1">
        <f t="array" ref="G235">INDEX(Benchmarks!E$6:E$244,MATCH(SolverWork!$B235,MutualFunds!$B$6:$B$244,0),0)</f>
        <v>#N/A</v>
      </c>
      <c r="H235" s="14" t="e" cm="1">
        <f t="array" ref="H235">INDEX(Benchmarks!F$6:F$244,MATCH(SolverWork!$B235,MutualFunds!$B$6:$B$244,0),0)</f>
        <v>#N/A</v>
      </c>
      <c r="I235" s="14" t="e" cm="1">
        <f t="array" ref="I235">INDEX(Benchmarks!G$6:G$244,MATCH(SolverWork!$B235,MutualFunds!$B$6:$B$244,0),0)</f>
        <v>#N/A</v>
      </c>
      <c r="J235" s="14" t="e" cm="1">
        <f t="array" ref="J235">INDEX(Benchmarks!H$6:H$244,MATCH(SolverWork!$B235,MutualFunds!$B$6:$B$244,0),0)</f>
        <v>#N/A</v>
      </c>
      <c r="K235" s="14" t="e" cm="1">
        <f t="array" ref="K235">INDEX(Benchmarks!I$6:I$244,MATCH(SolverWork!$B235,MutualFunds!$B$6:$B$244,0),0)</f>
        <v>#N/A</v>
      </c>
      <c r="L235" s="14" t="e" cm="1">
        <f t="array" ref="L235">INDEX(Benchmarks!J$6:J$244,MATCH(SolverWork!$B235,MutualFunds!$B$6:$B$244,0),0)</f>
        <v>#N/A</v>
      </c>
      <c r="M235" s="14" t="e" cm="1">
        <f t="array" ref="M235">INDEX(Benchmarks!K$6:K$244,MATCH(SolverWork!$B235,MutualFunds!$B$6:$B$244,0),0)</f>
        <v>#N/A</v>
      </c>
      <c r="N235" s="14" t="e" cm="1">
        <f t="array" ref="N235">INDEX(Benchmarks!L$6:L$244,MATCH(SolverWork!$B235,MutualFunds!$B$6:$B$244,0),0)</f>
        <v>#N/A</v>
      </c>
      <c r="O235" s="14" t="e" cm="1">
        <f t="array" ref="O235">INDEX(Benchmarks!M$6:M$244,MATCH(SolverWork!$B235,MutualFunds!$B$6:$B$244,0),0)</f>
        <v>#N/A</v>
      </c>
      <c r="P235" s="14" t="e" cm="1">
        <f t="array" ref="P235">INDEX(Benchmarks!N$6:N$244,MATCH(SolverWork!$B235,MutualFunds!$B$6:$B$244,0),0)</f>
        <v>#N/A</v>
      </c>
      <c r="Q235" s="14" t="e" cm="1">
        <f t="array" ref="Q235">INDEX(Benchmarks!O$6:O$244,MATCH(SolverWork!$B235,MutualFunds!$B$6:$B$244,0),0)</f>
        <v>#N/A</v>
      </c>
      <c r="R235" s="14" t="e" cm="1">
        <f t="array" ref="R235">INDEX(Benchmarks!P$6:P$244,MATCH(SolverWork!$B235,MutualFunds!$B$6:$B$244,0),0)</f>
        <v>#N/A</v>
      </c>
      <c r="S235" s="14" t="e" cm="1">
        <f t="array" ref="S235">INDEX(Benchmarks!Q$6:Q$244,MATCH(SolverWork!$B235,MutualFunds!$B$6:$B$244,0),0)</f>
        <v>#N/A</v>
      </c>
      <c r="T235" s="14" t="e" cm="1">
        <f t="array" ref="T235">INDEX(Benchmarks!R$6:R$244,MATCH(SolverWork!$B235,MutualFunds!$B$6:$B$244,0),0)</f>
        <v>#N/A</v>
      </c>
    </row>
    <row r="236" spans="1:20" x14ac:dyDescent="0.2">
      <c r="A236">
        <v>226</v>
      </c>
      <c r="B236" s="28" t="str">
        <f>IF(B235="","",IF(EOMONTH(B235,1)&lt;=EOMONTH(Front!$C$4,0),EOMONTH(B235,1),""))</f>
        <v/>
      </c>
      <c r="C236" s="14" t="str">
        <f>IF(B236="","",INDEX(MutualFunds!$C$6:$O$244,MATCH(B236,MutualFunds!$B$6:$B$244,0),MATCH(Front!$C$2,MutualFunds!$C$4:$O$4,0)))</f>
        <v/>
      </c>
      <c r="D236" s="14" t="str">
        <f t="shared" si="3"/>
        <v/>
      </c>
      <c r="E236" s="14" t="e" cm="1">
        <f t="array" ref="E236">INDEX(Benchmarks!C$6:C$244,MATCH(SolverWork!$B236,MutualFunds!$B$6:$B$244,0),0)</f>
        <v>#N/A</v>
      </c>
      <c r="F236" s="14" t="e" cm="1">
        <f t="array" ref="F236">INDEX(Benchmarks!D$6:D$244,MATCH(SolverWork!$B236,MutualFunds!$B$6:$B$244,0),0)</f>
        <v>#N/A</v>
      </c>
      <c r="G236" s="14" t="e" cm="1">
        <f t="array" ref="G236">INDEX(Benchmarks!E$6:E$244,MATCH(SolverWork!$B236,MutualFunds!$B$6:$B$244,0),0)</f>
        <v>#N/A</v>
      </c>
      <c r="H236" s="14" t="e" cm="1">
        <f t="array" ref="H236">INDEX(Benchmarks!F$6:F$244,MATCH(SolverWork!$B236,MutualFunds!$B$6:$B$244,0),0)</f>
        <v>#N/A</v>
      </c>
      <c r="I236" s="14" t="e" cm="1">
        <f t="array" ref="I236">INDEX(Benchmarks!G$6:G$244,MATCH(SolverWork!$B236,MutualFunds!$B$6:$B$244,0),0)</f>
        <v>#N/A</v>
      </c>
      <c r="J236" s="14" t="e" cm="1">
        <f t="array" ref="J236">INDEX(Benchmarks!H$6:H$244,MATCH(SolverWork!$B236,MutualFunds!$B$6:$B$244,0),0)</f>
        <v>#N/A</v>
      </c>
      <c r="K236" s="14" t="e" cm="1">
        <f t="array" ref="K236">INDEX(Benchmarks!I$6:I$244,MATCH(SolverWork!$B236,MutualFunds!$B$6:$B$244,0),0)</f>
        <v>#N/A</v>
      </c>
      <c r="L236" s="14" t="e" cm="1">
        <f t="array" ref="L236">INDEX(Benchmarks!J$6:J$244,MATCH(SolverWork!$B236,MutualFunds!$B$6:$B$244,0),0)</f>
        <v>#N/A</v>
      </c>
      <c r="M236" s="14" t="e" cm="1">
        <f t="array" ref="M236">INDEX(Benchmarks!K$6:K$244,MATCH(SolverWork!$B236,MutualFunds!$B$6:$B$244,0),0)</f>
        <v>#N/A</v>
      </c>
      <c r="N236" s="14" t="e" cm="1">
        <f t="array" ref="N236">INDEX(Benchmarks!L$6:L$244,MATCH(SolverWork!$B236,MutualFunds!$B$6:$B$244,0),0)</f>
        <v>#N/A</v>
      </c>
      <c r="O236" s="14" t="e" cm="1">
        <f t="array" ref="O236">INDEX(Benchmarks!M$6:M$244,MATCH(SolverWork!$B236,MutualFunds!$B$6:$B$244,0),0)</f>
        <v>#N/A</v>
      </c>
      <c r="P236" s="14" t="e" cm="1">
        <f t="array" ref="P236">INDEX(Benchmarks!N$6:N$244,MATCH(SolverWork!$B236,MutualFunds!$B$6:$B$244,0),0)</f>
        <v>#N/A</v>
      </c>
      <c r="Q236" s="14" t="e" cm="1">
        <f t="array" ref="Q236">INDEX(Benchmarks!O$6:O$244,MATCH(SolverWork!$B236,MutualFunds!$B$6:$B$244,0),0)</f>
        <v>#N/A</v>
      </c>
      <c r="R236" s="14" t="e" cm="1">
        <f t="array" ref="R236">INDEX(Benchmarks!P$6:P$244,MATCH(SolverWork!$B236,MutualFunds!$B$6:$B$244,0),0)</f>
        <v>#N/A</v>
      </c>
      <c r="S236" s="14" t="e" cm="1">
        <f t="array" ref="S236">INDEX(Benchmarks!Q$6:Q$244,MATCH(SolverWork!$B236,MutualFunds!$B$6:$B$244,0),0)</f>
        <v>#N/A</v>
      </c>
      <c r="T236" s="14" t="e" cm="1">
        <f t="array" ref="T236">INDEX(Benchmarks!R$6:R$244,MATCH(SolverWork!$B236,MutualFunds!$B$6:$B$244,0),0)</f>
        <v>#N/A</v>
      </c>
    </row>
    <row r="237" spans="1:20" x14ac:dyDescent="0.2">
      <c r="A237">
        <v>227</v>
      </c>
      <c r="B237" s="28" t="str">
        <f>IF(B236="","",IF(EOMONTH(B236,1)&lt;=EOMONTH(Front!$C$4,0),EOMONTH(B236,1),""))</f>
        <v/>
      </c>
      <c r="C237" s="14" t="str">
        <f>IF(B237="","",INDEX(MutualFunds!$C$6:$O$244,MATCH(B237,MutualFunds!$B$6:$B$244,0),MATCH(Front!$C$2,MutualFunds!$C$4:$O$4,0)))</f>
        <v/>
      </c>
      <c r="D237" s="14" t="str">
        <f t="shared" si="3"/>
        <v/>
      </c>
      <c r="E237" s="14" t="e" cm="1">
        <f t="array" ref="E237">INDEX(Benchmarks!C$6:C$244,MATCH(SolverWork!$B237,MutualFunds!$B$6:$B$244,0),0)</f>
        <v>#N/A</v>
      </c>
      <c r="F237" s="14" t="e" cm="1">
        <f t="array" ref="F237">INDEX(Benchmarks!D$6:D$244,MATCH(SolverWork!$B237,MutualFunds!$B$6:$B$244,0),0)</f>
        <v>#N/A</v>
      </c>
      <c r="G237" s="14" t="e" cm="1">
        <f t="array" ref="G237">INDEX(Benchmarks!E$6:E$244,MATCH(SolverWork!$B237,MutualFunds!$B$6:$B$244,0),0)</f>
        <v>#N/A</v>
      </c>
      <c r="H237" s="14" t="e" cm="1">
        <f t="array" ref="H237">INDEX(Benchmarks!F$6:F$244,MATCH(SolverWork!$B237,MutualFunds!$B$6:$B$244,0),0)</f>
        <v>#N/A</v>
      </c>
      <c r="I237" s="14" t="e" cm="1">
        <f t="array" ref="I237">INDEX(Benchmarks!G$6:G$244,MATCH(SolverWork!$B237,MutualFunds!$B$6:$B$244,0),0)</f>
        <v>#N/A</v>
      </c>
      <c r="J237" s="14" t="e" cm="1">
        <f t="array" ref="J237">INDEX(Benchmarks!H$6:H$244,MATCH(SolverWork!$B237,MutualFunds!$B$6:$B$244,0),0)</f>
        <v>#N/A</v>
      </c>
      <c r="K237" s="14" t="e" cm="1">
        <f t="array" ref="K237">INDEX(Benchmarks!I$6:I$244,MATCH(SolverWork!$B237,MutualFunds!$B$6:$B$244,0),0)</f>
        <v>#N/A</v>
      </c>
      <c r="L237" s="14" t="e" cm="1">
        <f t="array" ref="L237">INDEX(Benchmarks!J$6:J$244,MATCH(SolverWork!$B237,MutualFunds!$B$6:$B$244,0),0)</f>
        <v>#N/A</v>
      </c>
      <c r="M237" s="14" t="e" cm="1">
        <f t="array" ref="M237">INDEX(Benchmarks!K$6:K$244,MATCH(SolverWork!$B237,MutualFunds!$B$6:$B$244,0),0)</f>
        <v>#N/A</v>
      </c>
      <c r="N237" s="14" t="e" cm="1">
        <f t="array" ref="N237">INDEX(Benchmarks!L$6:L$244,MATCH(SolverWork!$B237,MutualFunds!$B$6:$B$244,0),0)</f>
        <v>#N/A</v>
      </c>
      <c r="O237" s="14" t="e" cm="1">
        <f t="array" ref="O237">INDEX(Benchmarks!M$6:M$244,MATCH(SolverWork!$B237,MutualFunds!$B$6:$B$244,0),0)</f>
        <v>#N/A</v>
      </c>
      <c r="P237" s="14" t="e" cm="1">
        <f t="array" ref="P237">INDEX(Benchmarks!N$6:N$244,MATCH(SolverWork!$B237,MutualFunds!$B$6:$B$244,0),0)</f>
        <v>#N/A</v>
      </c>
      <c r="Q237" s="14" t="e" cm="1">
        <f t="array" ref="Q237">INDEX(Benchmarks!O$6:O$244,MATCH(SolverWork!$B237,MutualFunds!$B$6:$B$244,0),0)</f>
        <v>#N/A</v>
      </c>
      <c r="R237" s="14" t="e" cm="1">
        <f t="array" ref="R237">INDEX(Benchmarks!P$6:P$244,MATCH(SolverWork!$B237,MutualFunds!$B$6:$B$244,0),0)</f>
        <v>#N/A</v>
      </c>
      <c r="S237" s="14" t="e" cm="1">
        <f t="array" ref="S237">INDEX(Benchmarks!Q$6:Q$244,MATCH(SolverWork!$B237,MutualFunds!$B$6:$B$244,0),0)</f>
        <v>#N/A</v>
      </c>
      <c r="T237" s="14" t="e" cm="1">
        <f t="array" ref="T237">INDEX(Benchmarks!R$6:R$244,MATCH(SolverWork!$B237,MutualFunds!$B$6:$B$244,0),0)</f>
        <v>#N/A</v>
      </c>
    </row>
    <row r="238" spans="1:20" x14ac:dyDescent="0.2">
      <c r="A238">
        <v>228</v>
      </c>
      <c r="B238" s="28" t="str">
        <f>IF(B237="","",IF(EOMONTH(B237,1)&lt;=EOMONTH(Front!$C$4,0),EOMONTH(B237,1),""))</f>
        <v/>
      </c>
      <c r="C238" s="14" t="str">
        <f>IF(B238="","",INDEX(MutualFunds!$C$6:$O$244,MATCH(B238,MutualFunds!$B$6:$B$244,0),MATCH(Front!$C$2,MutualFunds!$C$4:$O$4,0)))</f>
        <v/>
      </c>
      <c r="D238" s="14" t="str">
        <f t="shared" si="3"/>
        <v/>
      </c>
      <c r="E238" s="14" t="e" cm="1">
        <f t="array" ref="E238">INDEX(Benchmarks!C$6:C$244,MATCH(SolverWork!$B238,MutualFunds!$B$6:$B$244,0),0)</f>
        <v>#N/A</v>
      </c>
      <c r="F238" s="14" t="e" cm="1">
        <f t="array" ref="F238">INDEX(Benchmarks!D$6:D$244,MATCH(SolverWork!$B238,MutualFunds!$B$6:$B$244,0),0)</f>
        <v>#N/A</v>
      </c>
      <c r="G238" s="14" t="e" cm="1">
        <f t="array" ref="G238">INDEX(Benchmarks!E$6:E$244,MATCH(SolverWork!$B238,MutualFunds!$B$6:$B$244,0),0)</f>
        <v>#N/A</v>
      </c>
      <c r="H238" s="14" t="e" cm="1">
        <f t="array" ref="H238">INDEX(Benchmarks!F$6:F$244,MATCH(SolverWork!$B238,MutualFunds!$B$6:$B$244,0),0)</f>
        <v>#N/A</v>
      </c>
      <c r="I238" s="14" t="e" cm="1">
        <f t="array" ref="I238">INDEX(Benchmarks!G$6:G$244,MATCH(SolverWork!$B238,MutualFunds!$B$6:$B$244,0),0)</f>
        <v>#N/A</v>
      </c>
      <c r="J238" s="14" t="e" cm="1">
        <f t="array" ref="J238">INDEX(Benchmarks!H$6:H$244,MATCH(SolverWork!$B238,MutualFunds!$B$6:$B$244,0),0)</f>
        <v>#N/A</v>
      </c>
      <c r="K238" s="14" t="e" cm="1">
        <f t="array" ref="K238">INDEX(Benchmarks!I$6:I$244,MATCH(SolverWork!$B238,MutualFunds!$B$6:$B$244,0),0)</f>
        <v>#N/A</v>
      </c>
      <c r="L238" s="14" t="e" cm="1">
        <f t="array" ref="L238">INDEX(Benchmarks!J$6:J$244,MATCH(SolverWork!$B238,MutualFunds!$B$6:$B$244,0),0)</f>
        <v>#N/A</v>
      </c>
      <c r="M238" s="14" t="e" cm="1">
        <f t="array" ref="M238">INDEX(Benchmarks!K$6:K$244,MATCH(SolverWork!$B238,MutualFunds!$B$6:$B$244,0),0)</f>
        <v>#N/A</v>
      </c>
      <c r="N238" s="14" t="e" cm="1">
        <f t="array" ref="N238">INDEX(Benchmarks!L$6:L$244,MATCH(SolverWork!$B238,MutualFunds!$B$6:$B$244,0),0)</f>
        <v>#N/A</v>
      </c>
      <c r="O238" s="14" t="e" cm="1">
        <f t="array" ref="O238">INDEX(Benchmarks!M$6:M$244,MATCH(SolverWork!$B238,MutualFunds!$B$6:$B$244,0),0)</f>
        <v>#N/A</v>
      </c>
      <c r="P238" s="14" t="e" cm="1">
        <f t="array" ref="P238">INDEX(Benchmarks!N$6:N$244,MATCH(SolverWork!$B238,MutualFunds!$B$6:$B$244,0),0)</f>
        <v>#N/A</v>
      </c>
      <c r="Q238" s="14" t="e" cm="1">
        <f t="array" ref="Q238">INDEX(Benchmarks!O$6:O$244,MATCH(SolverWork!$B238,MutualFunds!$B$6:$B$244,0),0)</f>
        <v>#N/A</v>
      </c>
      <c r="R238" s="14" t="e" cm="1">
        <f t="array" ref="R238">INDEX(Benchmarks!P$6:P$244,MATCH(SolverWork!$B238,MutualFunds!$B$6:$B$244,0),0)</f>
        <v>#N/A</v>
      </c>
      <c r="S238" s="14" t="e" cm="1">
        <f t="array" ref="S238">INDEX(Benchmarks!Q$6:Q$244,MATCH(SolverWork!$B238,MutualFunds!$B$6:$B$244,0),0)</f>
        <v>#N/A</v>
      </c>
      <c r="T238" s="14" t="e" cm="1">
        <f t="array" ref="T238">INDEX(Benchmarks!R$6:R$244,MATCH(SolverWork!$B238,MutualFunds!$B$6:$B$244,0),0)</f>
        <v>#N/A</v>
      </c>
    </row>
    <row r="239" spans="1:20" x14ac:dyDescent="0.2">
      <c r="A239">
        <v>229</v>
      </c>
      <c r="B239" s="28" t="str">
        <f>IF(B238="","",IF(EOMONTH(B238,1)&lt;=EOMONTH(Front!$C$4,0),EOMONTH(B238,1),""))</f>
        <v/>
      </c>
      <c r="C239" s="14" t="str">
        <f>IF(B239="","",INDEX(MutualFunds!$C$6:$O$244,MATCH(B239,MutualFunds!$B$6:$B$244,0),MATCH(Front!$C$2,MutualFunds!$C$4:$O$4,0)))</f>
        <v/>
      </c>
      <c r="D239" s="14" t="str">
        <f t="shared" si="3"/>
        <v/>
      </c>
      <c r="E239" s="14" t="e" cm="1">
        <f t="array" ref="E239">INDEX(Benchmarks!C$6:C$244,MATCH(SolverWork!$B239,MutualFunds!$B$6:$B$244,0),0)</f>
        <v>#N/A</v>
      </c>
      <c r="F239" s="14" t="e" cm="1">
        <f t="array" ref="F239">INDEX(Benchmarks!D$6:D$244,MATCH(SolverWork!$B239,MutualFunds!$B$6:$B$244,0),0)</f>
        <v>#N/A</v>
      </c>
      <c r="G239" s="14" t="e" cm="1">
        <f t="array" ref="G239">INDEX(Benchmarks!E$6:E$244,MATCH(SolverWork!$B239,MutualFunds!$B$6:$B$244,0),0)</f>
        <v>#N/A</v>
      </c>
      <c r="H239" s="14" t="e" cm="1">
        <f t="array" ref="H239">INDEX(Benchmarks!F$6:F$244,MATCH(SolverWork!$B239,MutualFunds!$B$6:$B$244,0),0)</f>
        <v>#N/A</v>
      </c>
      <c r="I239" s="14" t="e" cm="1">
        <f t="array" ref="I239">INDEX(Benchmarks!G$6:G$244,MATCH(SolverWork!$B239,MutualFunds!$B$6:$B$244,0),0)</f>
        <v>#N/A</v>
      </c>
      <c r="J239" s="14" t="e" cm="1">
        <f t="array" ref="J239">INDEX(Benchmarks!H$6:H$244,MATCH(SolverWork!$B239,MutualFunds!$B$6:$B$244,0),0)</f>
        <v>#N/A</v>
      </c>
      <c r="K239" s="14" t="e" cm="1">
        <f t="array" ref="K239">INDEX(Benchmarks!I$6:I$244,MATCH(SolverWork!$B239,MutualFunds!$B$6:$B$244,0),0)</f>
        <v>#N/A</v>
      </c>
      <c r="L239" s="14" t="e" cm="1">
        <f t="array" ref="L239">INDEX(Benchmarks!J$6:J$244,MATCH(SolverWork!$B239,MutualFunds!$B$6:$B$244,0),0)</f>
        <v>#N/A</v>
      </c>
      <c r="M239" s="14" t="e" cm="1">
        <f t="array" ref="M239">INDEX(Benchmarks!K$6:K$244,MATCH(SolverWork!$B239,MutualFunds!$B$6:$B$244,0),0)</f>
        <v>#N/A</v>
      </c>
      <c r="N239" s="14" t="e" cm="1">
        <f t="array" ref="N239">INDEX(Benchmarks!L$6:L$244,MATCH(SolverWork!$B239,MutualFunds!$B$6:$B$244,0),0)</f>
        <v>#N/A</v>
      </c>
      <c r="O239" s="14" t="e" cm="1">
        <f t="array" ref="O239">INDEX(Benchmarks!M$6:M$244,MATCH(SolverWork!$B239,MutualFunds!$B$6:$B$244,0),0)</f>
        <v>#N/A</v>
      </c>
      <c r="P239" s="14" t="e" cm="1">
        <f t="array" ref="P239">INDEX(Benchmarks!N$6:N$244,MATCH(SolverWork!$B239,MutualFunds!$B$6:$B$244,0),0)</f>
        <v>#N/A</v>
      </c>
      <c r="Q239" s="14" t="e" cm="1">
        <f t="array" ref="Q239">INDEX(Benchmarks!O$6:O$244,MATCH(SolverWork!$B239,MutualFunds!$B$6:$B$244,0),0)</f>
        <v>#N/A</v>
      </c>
      <c r="R239" s="14" t="e" cm="1">
        <f t="array" ref="R239">INDEX(Benchmarks!P$6:P$244,MATCH(SolverWork!$B239,MutualFunds!$B$6:$B$244,0),0)</f>
        <v>#N/A</v>
      </c>
      <c r="S239" s="14" t="e" cm="1">
        <f t="array" ref="S239">INDEX(Benchmarks!Q$6:Q$244,MATCH(SolverWork!$B239,MutualFunds!$B$6:$B$244,0),0)</f>
        <v>#N/A</v>
      </c>
      <c r="T239" s="14" t="e" cm="1">
        <f t="array" ref="T239">INDEX(Benchmarks!R$6:R$244,MATCH(SolverWork!$B239,MutualFunds!$B$6:$B$244,0),0)</f>
        <v>#N/A</v>
      </c>
    </row>
    <row r="240" spans="1:20" x14ac:dyDescent="0.2">
      <c r="A240">
        <v>230</v>
      </c>
      <c r="B240" s="28" t="str">
        <f>IF(B239="","",IF(EOMONTH(B239,1)&lt;=EOMONTH(Front!$C$4,0),EOMONTH(B239,1),""))</f>
        <v/>
      </c>
      <c r="C240" s="14" t="str">
        <f>IF(B240="","",INDEX(MutualFunds!$C$6:$O$244,MATCH(B240,MutualFunds!$B$6:$B$244,0),MATCH(Front!$C$2,MutualFunds!$C$4:$O$4,0)))</f>
        <v/>
      </c>
      <c r="D240" s="14" t="str">
        <f t="shared" si="3"/>
        <v/>
      </c>
      <c r="E240" s="14" t="e" cm="1">
        <f t="array" ref="E240">INDEX(Benchmarks!C$6:C$244,MATCH(SolverWork!$B240,MutualFunds!$B$6:$B$244,0),0)</f>
        <v>#N/A</v>
      </c>
      <c r="F240" s="14" t="e" cm="1">
        <f t="array" ref="F240">INDEX(Benchmarks!D$6:D$244,MATCH(SolverWork!$B240,MutualFunds!$B$6:$B$244,0),0)</f>
        <v>#N/A</v>
      </c>
      <c r="G240" s="14" t="e" cm="1">
        <f t="array" ref="G240">INDEX(Benchmarks!E$6:E$244,MATCH(SolverWork!$B240,MutualFunds!$B$6:$B$244,0),0)</f>
        <v>#N/A</v>
      </c>
      <c r="H240" s="14" t="e" cm="1">
        <f t="array" ref="H240">INDEX(Benchmarks!F$6:F$244,MATCH(SolverWork!$B240,MutualFunds!$B$6:$B$244,0),0)</f>
        <v>#N/A</v>
      </c>
      <c r="I240" s="14" t="e" cm="1">
        <f t="array" ref="I240">INDEX(Benchmarks!G$6:G$244,MATCH(SolverWork!$B240,MutualFunds!$B$6:$B$244,0),0)</f>
        <v>#N/A</v>
      </c>
      <c r="J240" s="14" t="e" cm="1">
        <f t="array" ref="J240">INDEX(Benchmarks!H$6:H$244,MATCH(SolverWork!$B240,MutualFunds!$B$6:$B$244,0),0)</f>
        <v>#N/A</v>
      </c>
      <c r="K240" s="14" t="e" cm="1">
        <f t="array" ref="K240">INDEX(Benchmarks!I$6:I$244,MATCH(SolverWork!$B240,MutualFunds!$B$6:$B$244,0),0)</f>
        <v>#N/A</v>
      </c>
      <c r="L240" s="14" t="e" cm="1">
        <f t="array" ref="L240">INDEX(Benchmarks!J$6:J$244,MATCH(SolverWork!$B240,MutualFunds!$B$6:$B$244,0),0)</f>
        <v>#N/A</v>
      </c>
      <c r="M240" s="14" t="e" cm="1">
        <f t="array" ref="M240">INDEX(Benchmarks!K$6:K$244,MATCH(SolverWork!$B240,MutualFunds!$B$6:$B$244,0),0)</f>
        <v>#N/A</v>
      </c>
      <c r="N240" s="14" t="e" cm="1">
        <f t="array" ref="N240">INDEX(Benchmarks!L$6:L$244,MATCH(SolverWork!$B240,MutualFunds!$B$6:$B$244,0),0)</f>
        <v>#N/A</v>
      </c>
      <c r="O240" s="14" t="e" cm="1">
        <f t="array" ref="O240">INDEX(Benchmarks!M$6:M$244,MATCH(SolverWork!$B240,MutualFunds!$B$6:$B$244,0),0)</f>
        <v>#N/A</v>
      </c>
      <c r="P240" s="14" t="e" cm="1">
        <f t="array" ref="P240">INDEX(Benchmarks!N$6:N$244,MATCH(SolverWork!$B240,MutualFunds!$B$6:$B$244,0),0)</f>
        <v>#N/A</v>
      </c>
      <c r="Q240" s="14" t="e" cm="1">
        <f t="array" ref="Q240">INDEX(Benchmarks!O$6:O$244,MATCH(SolverWork!$B240,MutualFunds!$B$6:$B$244,0),0)</f>
        <v>#N/A</v>
      </c>
      <c r="R240" s="14" t="e" cm="1">
        <f t="array" ref="R240">INDEX(Benchmarks!P$6:P$244,MATCH(SolverWork!$B240,MutualFunds!$B$6:$B$244,0),0)</f>
        <v>#N/A</v>
      </c>
      <c r="S240" s="14" t="e" cm="1">
        <f t="array" ref="S240">INDEX(Benchmarks!Q$6:Q$244,MATCH(SolverWork!$B240,MutualFunds!$B$6:$B$244,0),0)</f>
        <v>#N/A</v>
      </c>
      <c r="T240" s="14" t="e" cm="1">
        <f t="array" ref="T240">INDEX(Benchmarks!R$6:R$244,MATCH(SolverWork!$B240,MutualFunds!$B$6:$B$244,0),0)</f>
        <v>#N/A</v>
      </c>
    </row>
    <row r="241" spans="1:20" x14ac:dyDescent="0.2">
      <c r="A241">
        <v>231</v>
      </c>
      <c r="B241" s="28" t="str">
        <f>IF(B240="","",IF(EOMONTH(B240,1)&lt;=EOMONTH(Front!$C$4,0),EOMONTH(B240,1),""))</f>
        <v/>
      </c>
      <c r="C241" s="14" t="str">
        <f>IF(B241="","",INDEX(MutualFunds!$C$6:$O$244,MATCH(B241,MutualFunds!$B$6:$B$244,0),MATCH(Front!$C$2,MutualFunds!$C$4:$O$4,0)))</f>
        <v/>
      </c>
      <c r="D241" s="14" t="str">
        <f t="shared" si="3"/>
        <v/>
      </c>
      <c r="E241" s="14" t="e" cm="1">
        <f t="array" ref="E241">INDEX(Benchmarks!C$6:C$244,MATCH(SolverWork!$B241,MutualFunds!$B$6:$B$244,0),0)</f>
        <v>#N/A</v>
      </c>
      <c r="F241" s="14" t="e" cm="1">
        <f t="array" ref="F241">INDEX(Benchmarks!D$6:D$244,MATCH(SolverWork!$B241,MutualFunds!$B$6:$B$244,0),0)</f>
        <v>#N/A</v>
      </c>
      <c r="G241" s="14" t="e" cm="1">
        <f t="array" ref="G241">INDEX(Benchmarks!E$6:E$244,MATCH(SolverWork!$B241,MutualFunds!$B$6:$B$244,0),0)</f>
        <v>#N/A</v>
      </c>
      <c r="H241" s="14" t="e" cm="1">
        <f t="array" ref="H241">INDEX(Benchmarks!F$6:F$244,MATCH(SolverWork!$B241,MutualFunds!$B$6:$B$244,0),0)</f>
        <v>#N/A</v>
      </c>
      <c r="I241" s="14" t="e" cm="1">
        <f t="array" ref="I241">INDEX(Benchmarks!G$6:G$244,MATCH(SolverWork!$B241,MutualFunds!$B$6:$B$244,0),0)</f>
        <v>#N/A</v>
      </c>
      <c r="J241" s="14" t="e" cm="1">
        <f t="array" ref="J241">INDEX(Benchmarks!H$6:H$244,MATCH(SolverWork!$B241,MutualFunds!$B$6:$B$244,0),0)</f>
        <v>#N/A</v>
      </c>
      <c r="K241" s="14" t="e" cm="1">
        <f t="array" ref="K241">INDEX(Benchmarks!I$6:I$244,MATCH(SolverWork!$B241,MutualFunds!$B$6:$B$244,0),0)</f>
        <v>#N/A</v>
      </c>
      <c r="L241" s="14" t="e" cm="1">
        <f t="array" ref="L241">INDEX(Benchmarks!J$6:J$244,MATCH(SolverWork!$B241,MutualFunds!$B$6:$B$244,0),0)</f>
        <v>#N/A</v>
      </c>
      <c r="M241" s="14" t="e" cm="1">
        <f t="array" ref="M241">INDEX(Benchmarks!K$6:K$244,MATCH(SolverWork!$B241,MutualFunds!$B$6:$B$244,0),0)</f>
        <v>#N/A</v>
      </c>
      <c r="N241" s="14" t="e" cm="1">
        <f t="array" ref="N241">INDEX(Benchmarks!L$6:L$244,MATCH(SolverWork!$B241,MutualFunds!$B$6:$B$244,0),0)</f>
        <v>#N/A</v>
      </c>
      <c r="O241" s="14" t="e" cm="1">
        <f t="array" ref="O241">INDEX(Benchmarks!M$6:M$244,MATCH(SolverWork!$B241,MutualFunds!$B$6:$B$244,0),0)</f>
        <v>#N/A</v>
      </c>
      <c r="P241" s="14" t="e" cm="1">
        <f t="array" ref="P241">INDEX(Benchmarks!N$6:N$244,MATCH(SolverWork!$B241,MutualFunds!$B$6:$B$244,0),0)</f>
        <v>#N/A</v>
      </c>
      <c r="Q241" s="14" t="e" cm="1">
        <f t="array" ref="Q241">INDEX(Benchmarks!O$6:O$244,MATCH(SolverWork!$B241,MutualFunds!$B$6:$B$244,0),0)</f>
        <v>#N/A</v>
      </c>
      <c r="R241" s="14" t="e" cm="1">
        <f t="array" ref="R241">INDEX(Benchmarks!P$6:P$244,MATCH(SolverWork!$B241,MutualFunds!$B$6:$B$244,0),0)</f>
        <v>#N/A</v>
      </c>
      <c r="S241" s="14" t="e" cm="1">
        <f t="array" ref="S241">INDEX(Benchmarks!Q$6:Q$244,MATCH(SolverWork!$B241,MutualFunds!$B$6:$B$244,0),0)</f>
        <v>#N/A</v>
      </c>
      <c r="T241" s="14" t="e" cm="1">
        <f t="array" ref="T241">INDEX(Benchmarks!R$6:R$244,MATCH(SolverWork!$B241,MutualFunds!$B$6:$B$244,0),0)</f>
        <v>#N/A</v>
      </c>
    </row>
    <row r="242" spans="1:20" x14ac:dyDescent="0.2">
      <c r="A242">
        <v>232</v>
      </c>
      <c r="B242" s="28" t="str">
        <f>IF(B241="","",IF(EOMONTH(B241,1)&lt;=EOMONTH(Front!$C$4,0),EOMONTH(B241,1),""))</f>
        <v/>
      </c>
      <c r="C242" s="14" t="str">
        <f>IF(B242="","",INDEX(MutualFunds!$C$6:$O$244,MATCH(B242,MutualFunds!$B$6:$B$244,0),MATCH(Front!$C$2,MutualFunds!$C$4:$O$4,0)))</f>
        <v/>
      </c>
      <c r="D242" s="14" t="str">
        <f t="shared" si="3"/>
        <v/>
      </c>
      <c r="E242" s="14" t="e" cm="1">
        <f t="array" ref="E242">INDEX(Benchmarks!C$6:C$244,MATCH(SolverWork!$B242,MutualFunds!$B$6:$B$244,0),0)</f>
        <v>#N/A</v>
      </c>
      <c r="F242" s="14" t="e" cm="1">
        <f t="array" ref="F242">INDEX(Benchmarks!D$6:D$244,MATCH(SolverWork!$B242,MutualFunds!$B$6:$B$244,0),0)</f>
        <v>#N/A</v>
      </c>
      <c r="G242" s="14" t="e" cm="1">
        <f t="array" ref="G242">INDEX(Benchmarks!E$6:E$244,MATCH(SolverWork!$B242,MutualFunds!$B$6:$B$244,0),0)</f>
        <v>#N/A</v>
      </c>
      <c r="H242" s="14" t="e" cm="1">
        <f t="array" ref="H242">INDEX(Benchmarks!F$6:F$244,MATCH(SolverWork!$B242,MutualFunds!$B$6:$B$244,0),0)</f>
        <v>#N/A</v>
      </c>
      <c r="I242" s="14" t="e" cm="1">
        <f t="array" ref="I242">INDEX(Benchmarks!G$6:G$244,MATCH(SolverWork!$B242,MutualFunds!$B$6:$B$244,0),0)</f>
        <v>#N/A</v>
      </c>
      <c r="J242" s="14" t="e" cm="1">
        <f t="array" ref="J242">INDEX(Benchmarks!H$6:H$244,MATCH(SolverWork!$B242,MutualFunds!$B$6:$B$244,0),0)</f>
        <v>#N/A</v>
      </c>
      <c r="K242" s="14" t="e" cm="1">
        <f t="array" ref="K242">INDEX(Benchmarks!I$6:I$244,MATCH(SolverWork!$B242,MutualFunds!$B$6:$B$244,0),0)</f>
        <v>#N/A</v>
      </c>
      <c r="L242" s="14" t="e" cm="1">
        <f t="array" ref="L242">INDEX(Benchmarks!J$6:J$244,MATCH(SolverWork!$B242,MutualFunds!$B$6:$B$244,0),0)</f>
        <v>#N/A</v>
      </c>
      <c r="M242" s="14" t="e" cm="1">
        <f t="array" ref="M242">INDEX(Benchmarks!K$6:K$244,MATCH(SolverWork!$B242,MutualFunds!$B$6:$B$244,0),0)</f>
        <v>#N/A</v>
      </c>
      <c r="N242" s="14" t="e" cm="1">
        <f t="array" ref="N242">INDEX(Benchmarks!L$6:L$244,MATCH(SolverWork!$B242,MutualFunds!$B$6:$B$244,0),0)</f>
        <v>#N/A</v>
      </c>
      <c r="O242" s="14" t="e" cm="1">
        <f t="array" ref="O242">INDEX(Benchmarks!M$6:M$244,MATCH(SolverWork!$B242,MutualFunds!$B$6:$B$244,0),0)</f>
        <v>#N/A</v>
      </c>
      <c r="P242" s="14" t="e" cm="1">
        <f t="array" ref="P242">INDEX(Benchmarks!N$6:N$244,MATCH(SolverWork!$B242,MutualFunds!$B$6:$B$244,0),0)</f>
        <v>#N/A</v>
      </c>
      <c r="Q242" s="14" t="e" cm="1">
        <f t="array" ref="Q242">INDEX(Benchmarks!O$6:O$244,MATCH(SolverWork!$B242,MutualFunds!$B$6:$B$244,0),0)</f>
        <v>#N/A</v>
      </c>
      <c r="R242" s="14" t="e" cm="1">
        <f t="array" ref="R242">INDEX(Benchmarks!P$6:P$244,MATCH(SolverWork!$B242,MutualFunds!$B$6:$B$244,0),0)</f>
        <v>#N/A</v>
      </c>
      <c r="S242" s="14" t="e" cm="1">
        <f t="array" ref="S242">INDEX(Benchmarks!Q$6:Q$244,MATCH(SolverWork!$B242,MutualFunds!$B$6:$B$244,0),0)</f>
        <v>#N/A</v>
      </c>
      <c r="T242" s="14" t="e" cm="1">
        <f t="array" ref="T242">INDEX(Benchmarks!R$6:R$244,MATCH(SolverWork!$B242,MutualFunds!$B$6:$B$244,0),0)</f>
        <v>#N/A</v>
      </c>
    </row>
    <row r="243" spans="1:20" x14ac:dyDescent="0.2">
      <c r="A243">
        <v>233</v>
      </c>
      <c r="B243" s="28" t="str">
        <f>IF(B242="","",IF(EOMONTH(B242,1)&lt;=EOMONTH(Front!$C$4,0),EOMONTH(B242,1),""))</f>
        <v/>
      </c>
      <c r="C243" s="14" t="str">
        <f>IF(B243="","",INDEX(MutualFunds!$C$6:$O$244,MATCH(B243,MutualFunds!$B$6:$B$244,0),MATCH(Front!$C$2,MutualFunds!$C$4:$O$4,0)))</f>
        <v/>
      </c>
      <c r="D243" s="14" t="str">
        <f t="shared" si="3"/>
        <v/>
      </c>
      <c r="E243" s="14" t="e" cm="1">
        <f t="array" ref="E243">INDEX(Benchmarks!C$6:C$244,MATCH(SolverWork!$B243,MutualFunds!$B$6:$B$244,0),0)</f>
        <v>#N/A</v>
      </c>
      <c r="F243" s="14" t="e" cm="1">
        <f t="array" ref="F243">INDEX(Benchmarks!D$6:D$244,MATCH(SolverWork!$B243,MutualFunds!$B$6:$B$244,0),0)</f>
        <v>#N/A</v>
      </c>
      <c r="G243" s="14" t="e" cm="1">
        <f t="array" ref="G243">INDEX(Benchmarks!E$6:E$244,MATCH(SolverWork!$B243,MutualFunds!$B$6:$B$244,0),0)</f>
        <v>#N/A</v>
      </c>
      <c r="H243" s="14" t="e" cm="1">
        <f t="array" ref="H243">INDEX(Benchmarks!F$6:F$244,MATCH(SolverWork!$B243,MutualFunds!$B$6:$B$244,0),0)</f>
        <v>#N/A</v>
      </c>
      <c r="I243" s="14" t="e" cm="1">
        <f t="array" ref="I243">INDEX(Benchmarks!G$6:G$244,MATCH(SolverWork!$B243,MutualFunds!$B$6:$B$244,0),0)</f>
        <v>#N/A</v>
      </c>
      <c r="J243" s="14" t="e" cm="1">
        <f t="array" ref="J243">INDEX(Benchmarks!H$6:H$244,MATCH(SolverWork!$B243,MutualFunds!$B$6:$B$244,0),0)</f>
        <v>#N/A</v>
      </c>
      <c r="K243" s="14" t="e" cm="1">
        <f t="array" ref="K243">INDEX(Benchmarks!I$6:I$244,MATCH(SolverWork!$B243,MutualFunds!$B$6:$B$244,0),0)</f>
        <v>#N/A</v>
      </c>
      <c r="L243" s="14" t="e" cm="1">
        <f t="array" ref="L243">INDEX(Benchmarks!J$6:J$244,MATCH(SolverWork!$B243,MutualFunds!$B$6:$B$244,0),0)</f>
        <v>#N/A</v>
      </c>
      <c r="M243" s="14" t="e" cm="1">
        <f t="array" ref="M243">INDEX(Benchmarks!K$6:K$244,MATCH(SolverWork!$B243,MutualFunds!$B$6:$B$244,0),0)</f>
        <v>#N/A</v>
      </c>
      <c r="N243" s="14" t="e" cm="1">
        <f t="array" ref="N243">INDEX(Benchmarks!L$6:L$244,MATCH(SolverWork!$B243,MutualFunds!$B$6:$B$244,0),0)</f>
        <v>#N/A</v>
      </c>
      <c r="O243" s="14" t="e" cm="1">
        <f t="array" ref="O243">INDEX(Benchmarks!M$6:M$244,MATCH(SolverWork!$B243,MutualFunds!$B$6:$B$244,0),0)</f>
        <v>#N/A</v>
      </c>
      <c r="P243" s="14" t="e" cm="1">
        <f t="array" ref="P243">INDEX(Benchmarks!N$6:N$244,MATCH(SolverWork!$B243,MutualFunds!$B$6:$B$244,0),0)</f>
        <v>#N/A</v>
      </c>
      <c r="Q243" s="14" t="e" cm="1">
        <f t="array" ref="Q243">INDEX(Benchmarks!O$6:O$244,MATCH(SolverWork!$B243,MutualFunds!$B$6:$B$244,0),0)</f>
        <v>#N/A</v>
      </c>
      <c r="R243" s="14" t="e" cm="1">
        <f t="array" ref="R243">INDEX(Benchmarks!P$6:P$244,MATCH(SolverWork!$B243,MutualFunds!$B$6:$B$244,0),0)</f>
        <v>#N/A</v>
      </c>
      <c r="S243" s="14" t="e" cm="1">
        <f t="array" ref="S243">INDEX(Benchmarks!Q$6:Q$244,MATCH(SolverWork!$B243,MutualFunds!$B$6:$B$244,0),0)</f>
        <v>#N/A</v>
      </c>
      <c r="T243" s="14" t="e" cm="1">
        <f t="array" ref="T243">INDEX(Benchmarks!R$6:R$244,MATCH(SolverWork!$B243,MutualFunds!$B$6:$B$244,0),0)</f>
        <v>#N/A</v>
      </c>
    </row>
    <row r="244" spans="1:20" x14ac:dyDescent="0.2">
      <c r="A244">
        <v>234</v>
      </c>
      <c r="B244" s="28" t="str">
        <f>IF(B243="","",IF(EOMONTH(B243,1)&lt;=EOMONTH(Front!$C$4,0),EOMONTH(B243,1),""))</f>
        <v/>
      </c>
      <c r="C244" s="14" t="str">
        <f>IF(B244="","",INDEX(MutualFunds!$C$6:$O$244,MATCH(B244,MutualFunds!$B$6:$B$244,0),MATCH(Front!$C$2,MutualFunds!$C$4:$O$4,0)))</f>
        <v/>
      </c>
      <c r="D244" s="14" t="str">
        <f t="shared" si="3"/>
        <v/>
      </c>
      <c r="E244" s="14" t="e" cm="1">
        <f t="array" ref="E244">INDEX(Benchmarks!C$6:C$244,MATCH(SolverWork!$B244,MutualFunds!$B$6:$B$244,0),0)</f>
        <v>#N/A</v>
      </c>
      <c r="F244" s="14" t="e" cm="1">
        <f t="array" ref="F244">INDEX(Benchmarks!D$6:D$244,MATCH(SolverWork!$B244,MutualFunds!$B$6:$B$244,0),0)</f>
        <v>#N/A</v>
      </c>
      <c r="G244" s="14" t="e" cm="1">
        <f t="array" ref="G244">INDEX(Benchmarks!E$6:E$244,MATCH(SolverWork!$B244,MutualFunds!$B$6:$B$244,0),0)</f>
        <v>#N/A</v>
      </c>
      <c r="H244" s="14" t="e" cm="1">
        <f t="array" ref="H244">INDEX(Benchmarks!F$6:F$244,MATCH(SolverWork!$B244,MutualFunds!$B$6:$B$244,0),0)</f>
        <v>#N/A</v>
      </c>
      <c r="I244" s="14" t="e" cm="1">
        <f t="array" ref="I244">INDEX(Benchmarks!G$6:G$244,MATCH(SolverWork!$B244,MutualFunds!$B$6:$B$244,0),0)</f>
        <v>#N/A</v>
      </c>
      <c r="J244" s="14" t="e" cm="1">
        <f t="array" ref="J244">INDEX(Benchmarks!H$6:H$244,MATCH(SolverWork!$B244,MutualFunds!$B$6:$B$244,0),0)</f>
        <v>#N/A</v>
      </c>
      <c r="K244" s="14" t="e" cm="1">
        <f t="array" ref="K244">INDEX(Benchmarks!I$6:I$244,MATCH(SolverWork!$B244,MutualFunds!$B$6:$B$244,0),0)</f>
        <v>#N/A</v>
      </c>
      <c r="L244" s="14" t="e" cm="1">
        <f t="array" ref="L244">INDEX(Benchmarks!J$6:J$244,MATCH(SolverWork!$B244,MutualFunds!$B$6:$B$244,0),0)</f>
        <v>#N/A</v>
      </c>
      <c r="M244" s="14" t="e" cm="1">
        <f t="array" ref="M244">INDEX(Benchmarks!K$6:K$244,MATCH(SolverWork!$B244,MutualFunds!$B$6:$B$244,0),0)</f>
        <v>#N/A</v>
      </c>
      <c r="N244" s="14" t="e" cm="1">
        <f t="array" ref="N244">INDEX(Benchmarks!L$6:L$244,MATCH(SolverWork!$B244,MutualFunds!$B$6:$B$244,0),0)</f>
        <v>#N/A</v>
      </c>
      <c r="O244" s="14" t="e" cm="1">
        <f t="array" ref="O244">INDEX(Benchmarks!M$6:M$244,MATCH(SolverWork!$B244,MutualFunds!$B$6:$B$244,0),0)</f>
        <v>#N/A</v>
      </c>
      <c r="P244" s="14" t="e" cm="1">
        <f t="array" ref="P244">INDEX(Benchmarks!N$6:N$244,MATCH(SolverWork!$B244,MutualFunds!$B$6:$B$244,0),0)</f>
        <v>#N/A</v>
      </c>
      <c r="Q244" s="14" t="e" cm="1">
        <f t="array" ref="Q244">INDEX(Benchmarks!O$6:O$244,MATCH(SolverWork!$B244,MutualFunds!$B$6:$B$244,0),0)</f>
        <v>#N/A</v>
      </c>
      <c r="R244" s="14" t="e" cm="1">
        <f t="array" ref="R244">INDEX(Benchmarks!P$6:P$244,MATCH(SolverWork!$B244,MutualFunds!$B$6:$B$244,0),0)</f>
        <v>#N/A</v>
      </c>
      <c r="S244" s="14" t="e" cm="1">
        <f t="array" ref="S244">INDEX(Benchmarks!Q$6:Q$244,MATCH(SolverWork!$B244,MutualFunds!$B$6:$B$244,0),0)</f>
        <v>#N/A</v>
      </c>
      <c r="T244" s="14" t="e" cm="1">
        <f t="array" ref="T244">INDEX(Benchmarks!R$6:R$244,MATCH(SolverWork!$B244,MutualFunds!$B$6:$B$244,0),0)</f>
        <v>#N/A</v>
      </c>
    </row>
    <row r="245" spans="1:20" x14ac:dyDescent="0.2">
      <c r="A245">
        <v>235</v>
      </c>
      <c r="B245" s="28" t="str">
        <f>IF(B244="","",IF(EOMONTH(B244,1)&lt;=EOMONTH(Front!$C$4,0),EOMONTH(B244,1),""))</f>
        <v/>
      </c>
      <c r="C245" s="14" t="str">
        <f>IF(B245="","",INDEX(MutualFunds!$C$6:$O$244,MATCH(B245,MutualFunds!$B$6:$B$244,0),MATCH(Front!$C$2,MutualFunds!$C$4:$O$4,0)))</f>
        <v/>
      </c>
      <c r="D245" s="14" t="str">
        <f t="shared" si="3"/>
        <v/>
      </c>
      <c r="E245" s="14" t="e" cm="1">
        <f t="array" ref="E245">INDEX(Benchmarks!C$6:C$244,MATCH(SolverWork!$B245,MutualFunds!$B$6:$B$244,0),0)</f>
        <v>#N/A</v>
      </c>
      <c r="F245" s="14" t="e" cm="1">
        <f t="array" ref="F245">INDEX(Benchmarks!D$6:D$244,MATCH(SolverWork!$B245,MutualFunds!$B$6:$B$244,0),0)</f>
        <v>#N/A</v>
      </c>
      <c r="G245" s="14" t="e" cm="1">
        <f t="array" ref="G245">INDEX(Benchmarks!E$6:E$244,MATCH(SolverWork!$B245,MutualFunds!$B$6:$B$244,0),0)</f>
        <v>#N/A</v>
      </c>
      <c r="H245" s="14" t="e" cm="1">
        <f t="array" ref="H245">INDEX(Benchmarks!F$6:F$244,MATCH(SolverWork!$B245,MutualFunds!$B$6:$B$244,0),0)</f>
        <v>#N/A</v>
      </c>
      <c r="I245" s="14" t="e" cm="1">
        <f t="array" ref="I245">INDEX(Benchmarks!G$6:G$244,MATCH(SolverWork!$B245,MutualFunds!$B$6:$B$244,0),0)</f>
        <v>#N/A</v>
      </c>
      <c r="J245" s="14" t="e" cm="1">
        <f t="array" ref="J245">INDEX(Benchmarks!H$6:H$244,MATCH(SolverWork!$B245,MutualFunds!$B$6:$B$244,0),0)</f>
        <v>#N/A</v>
      </c>
      <c r="K245" s="14" t="e" cm="1">
        <f t="array" ref="K245">INDEX(Benchmarks!I$6:I$244,MATCH(SolverWork!$B245,MutualFunds!$B$6:$B$244,0),0)</f>
        <v>#N/A</v>
      </c>
      <c r="L245" s="14" t="e" cm="1">
        <f t="array" ref="L245">INDEX(Benchmarks!J$6:J$244,MATCH(SolverWork!$B245,MutualFunds!$B$6:$B$244,0),0)</f>
        <v>#N/A</v>
      </c>
      <c r="M245" s="14" t="e" cm="1">
        <f t="array" ref="M245">INDEX(Benchmarks!K$6:K$244,MATCH(SolverWork!$B245,MutualFunds!$B$6:$B$244,0),0)</f>
        <v>#N/A</v>
      </c>
      <c r="N245" s="14" t="e" cm="1">
        <f t="array" ref="N245">INDEX(Benchmarks!L$6:L$244,MATCH(SolverWork!$B245,MutualFunds!$B$6:$B$244,0),0)</f>
        <v>#N/A</v>
      </c>
      <c r="O245" s="14" t="e" cm="1">
        <f t="array" ref="O245">INDEX(Benchmarks!M$6:M$244,MATCH(SolverWork!$B245,MutualFunds!$B$6:$B$244,0),0)</f>
        <v>#N/A</v>
      </c>
      <c r="P245" s="14" t="e" cm="1">
        <f t="array" ref="P245">INDEX(Benchmarks!N$6:N$244,MATCH(SolverWork!$B245,MutualFunds!$B$6:$B$244,0),0)</f>
        <v>#N/A</v>
      </c>
      <c r="Q245" s="14" t="e" cm="1">
        <f t="array" ref="Q245">INDEX(Benchmarks!O$6:O$244,MATCH(SolverWork!$B245,MutualFunds!$B$6:$B$244,0),0)</f>
        <v>#N/A</v>
      </c>
      <c r="R245" s="14" t="e" cm="1">
        <f t="array" ref="R245">INDEX(Benchmarks!P$6:P$244,MATCH(SolverWork!$B245,MutualFunds!$B$6:$B$244,0),0)</f>
        <v>#N/A</v>
      </c>
      <c r="S245" s="14" t="e" cm="1">
        <f t="array" ref="S245">INDEX(Benchmarks!Q$6:Q$244,MATCH(SolverWork!$B245,MutualFunds!$B$6:$B$244,0),0)</f>
        <v>#N/A</v>
      </c>
      <c r="T245" s="14" t="e" cm="1">
        <f t="array" ref="T245">INDEX(Benchmarks!R$6:R$244,MATCH(SolverWork!$B245,MutualFunds!$B$6:$B$244,0),0)</f>
        <v>#N/A</v>
      </c>
    </row>
    <row r="246" spans="1:20" x14ac:dyDescent="0.2">
      <c r="A246">
        <v>236</v>
      </c>
      <c r="B246" s="28" t="str">
        <f>IF(B245="","",IF(EOMONTH(B245,1)&lt;=EOMONTH(Front!$C$4,0),EOMONTH(B245,1),""))</f>
        <v/>
      </c>
      <c r="C246" s="14" t="str">
        <f>IF(B246="","",INDEX(MutualFunds!$C$6:$O$244,MATCH(B246,MutualFunds!$B$6:$B$244,0),MATCH(Front!$C$2,MutualFunds!$C$4:$O$4,0)))</f>
        <v/>
      </c>
      <c r="D246" s="14" t="str">
        <f t="shared" si="3"/>
        <v/>
      </c>
      <c r="E246" s="14" t="e" cm="1">
        <f t="array" ref="E246">INDEX(Benchmarks!C$6:C$244,MATCH(SolverWork!$B246,MutualFunds!$B$6:$B$244,0),0)</f>
        <v>#N/A</v>
      </c>
      <c r="F246" s="14" t="e" cm="1">
        <f t="array" ref="F246">INDEX(Benchmarks!D$6:D$244,MATCH(SolverWork!$B246,MutualFunds!$B$6:$B$244,0),0)</f>
        <v>#N/A</v>
      </c>
      <c r="G246" s="14" t="e" cm="1">
        <f t="array" ref="G246">INDEX(Benchmarks!E$6:E$244,MATCH(SolverWork!$B246,MutualFunds!$B$6:$B$244,0),0)</f>
        <v>#N/A</v>
      </c>
      <c r="H246" s="14" t="e" cm="1">
        <f t="array" ref="H246">INDEX(Benchmarks!F$6:F$244,MATCH(SolverWork!$B246,MutualFunds!$B$6:$B$244,0),0)</f>
        <v>#N/A</v>
      </c>
      <c r="I246" s="14" t="e" cm="1">
        <f t="array" ref="I246">INDEX(Benchmarks!G$6:G$244,MATCH(SolverWork!$B246,MutualFunds!$B$6:$B$244,0),0)</f>
        <v>#N/A</v>
      </c>
      <c r="J246" s="14" t="e" cm="1">
        <f t="array" ref="J246">INDEX(Benchmarks!H$6:H$244,MATCH(SolverWork!$B246,MutualFunds!$B$6:$B$244,0),0)</f>
        <v>#N/A</v>
      </c>
      <c r="K246" s="14" t="e" cm="1">
        <f t="array" ref="K246">INDEX(Benchmarks!I$6:I$244,MATCH(SolverWork!$B246,MutualFunds!$B$6:$B$244,0),0)</f>
        <v>#N/A</v>
      </c>
      <c r="L246" s="14" t="e" cm="1">
        <f t="array" ref="L246">INDEX(Benchmarks!J$6:J$244,MATCH(SolverWork!$B246,MutualFunds!$B$6:$B$244,0),0)</f>
        <v>#N/A</v>
      </c>
      <c r="M246" s="14" t="e" cm="1">
        <f t="array" ref="M246">INDEX(Benchmarks!K$6:K$244,MATCH(SolverWork!$B246,MutualFunds!$B$6:$B$244,0),0)</f>
        <v>#N/A</v>
      </c>
      <c r="N246" s="14" t="e" cm="1">
        <f t="array" ref="N246">INDEX(Benchmarks!L$6:L$244,MATCH(SolverWork!$B246,MutualFunds!$B$6:$B$244,0),0)</f>
        <v>#N/A</v>
      </c>
      <c r="O246" s="14" t="e" cm="1">
        <f t="array" ref="O246">INDEX(Benchmarks!M$6:M$244,MATCH(SolverWork!$B246,MutualFunds!$B$6:$B$244,0),0)</f>
        <v>#N/A</v>
      </c>
      <c r="P246" s="14" t="e" cm="1">
        <f t="array" ref="P246">INDEX(Benchmarks!N$6:N$244,MATCH(SolverWork!$B246,MutualFunds!$B$6:$B$244,0),0)</f>
        <v>#N/A</v>
      </c>
      <c r="Q246" s="14" t="e" cm="1">
        <f t="array" ref="Q246">INDEX(Benchmarks!O$6:O$244,MATCH(SolverWork!$B246,MutualFunds!$B$6:$B$244,0),0)</f>
        <v>#N/A</v>
      </c>
      <c r="R246" s="14" t="e" cm="1">
        <f t="array" ref="R246">INDEX(Benchmarks!P$6:P$244,MATCH(SolverWork!$B246,MutualFunds!$B$6:$B$244,0),0)</f>
        <v>#N/A</v>
      </c>
      <c r="S246" s="14" t="e" cm="1">
        <f t="array" ref="S246">INDEX(Benchmarks!Q$6:Q$244,MATCH(SolverWork!$B246,MutualFunds!$B$6:$B$244,0),0)</f>
        <v>#N/A</v>
      </c>
      <c r="T246" s="14" t="e" cm="1">
        <f t="array" ref="T246">INDEX(Benchmarks!R$6:R$244,MATCH(SolverWork!$B246,MutualFunds!$B$6:$B$244,0),0)</f>
        <v>#N/A</v>
      </c>
    </row>
    <row r="247" spans="1:20" x14ac:dyDescent="0.2">
      <c r="A247">
        <v>237</v>
      </c>
      <c r="B247" s="28" t="str">
        <f>IF(B246="","",IF(EOMONTH(B246,1)&lt;=EOMONTH(Front!$C$4,0),EOMONTH(B246,1),""))</f>
        <v/>
      </c>
      <c r="C247" s="14" t="str">
        <f>IF(B247="","",INDEX(MutualFunds!$C$6:$O$244,MATCH(B247,MutualFunds!$B$6:$B$244,0),MATCH(Front!$C$2,MutualFunds!$C$4:$O$4,0)))</f>
        <v/>
      </c>
      <c r="D247" s="14" t="str">
        <f t="shared" si="3"/>
        <v/>
      </c>
      <c r="E247" s="14" t="e" cm="1">
        <f t="array" ref="E247">INDEX(Benchmarks!C$6:C$244,MATCH(SolverWork!$B247,MutualFunds!$B$6:$B$244,0),0)</f>
        <v>#N/A</v>
      </c>
      <c r="F247" s="14" t="e" cm="1">
        <f t="array" ref="F247">INDEX(Benchmarks!D$6:D$244,MATCH(SolverWork!$B247,MutualFunds!$B$6:$B$244,0),0)</f>
        <v>#N/A</v>
      </c>
      <c r="G247" s="14" t="e" cm="1">
        <f t="array" ref="G247">INDEX(Benchmarks!E$6:E$244,MATCH(SolverWork!$B247,MutualFunds!$B$6:$B$244,0),0)</f>
        <v>#N/A</v>
      </c>
      <c r="H247" s="14" t="e" cm="1">
        <f t="array" ref="H247">INDEX(Benchmarks!F$6:F$244,MATCH(SolverWork!$B247,MutualFunds!$B$6:$B$244,0),0)</f>
        <v>#N/A</v>
      </c>
      <c r="I247" s="14" t="e" cm="1">
        <f t="array" ref="I247">INDEX(Benchmarks!G$6:G$244,MATCH(SolverWork!$B247,MutualFunds!$B$6:$B$244,0),0)</f>
        <v>#N/A</v>
      </c>
      <c r="J247" s="14" t="e" cm="1">
        <f t="array" ref="J247">INDEX(Benchmarks!H$6:H$244,MATCH(SolverWork!$B247,MutualFunds!$B$6:$B$244,0),0)</f>
        <v>#N/A</v>
      </c>
      <c r="K247" s="14" t="e" cm="1">
        <f t="array" ref="K247">INDEX(Benchmarks!I$6:I$244,MATCH(SolverWork!$B247,MutualFunds!$B$6:$B$244,0),0)</f>
        <v>#N/A</v>
      </c>
      <c r="L247" s="14" t="e" cm="1">
        <f t="array" ref="L247">INDEX(Benchmarks!J$6:J$244,MATCH(SolverWork!$B247,MutualFunds!$B$6:$B$244,0),0)</f>
        <v>#N/A</v>
      </c>
      <c r="M247" s="14" t="e" cm="1">
        <f t="array" ref="M247">INDEX(Benchmarks!K$6:K$244,MATCH(SolverWork!$B247,MutualFunds!$B$6:$B$244,0),0)</f>
        <v>#N/A</v>
      </c>
      <c r="N247" s="14" t="e" cm="1">
        <f t="array" ref="N247">INDEX(Benchmarks!L$6:L$244,MATCH(SolverWork!$B247,MutualFunds!$B$6:$B$244,0),0)</f>
        <v>#N/A</v>
      </c>
      <c r="O247" s="14" t="e" cm="1">
        <f t="array" ref="O247">INDEX(Benchmarks!M$6:M$244,MATCH(SolverWork!$B247,MutualFunds!$B$6:$B$244,0),0)</f>
        <v>#N/A</v>
      </c>
      <c r="P247" s="14" t="e" cm="1">
        <f t="array" ref="P247">INDEX(Benchmarks!N$6:N$244,MATCH(SolverWork!$B247,MutualFunds!$B$6:$B$244,0),0)</f>
        <v>#N/A</v>
      </c>
      <c r="Q247" s="14" t="e" cm="1">
        <f t="array" ref="Q247">INDEX(Benchmarks!O$6:O$244,MATCH(SolverWork!$B247,MutualFunds!$B$6:$B$244,0),0)</f>
        <v>#N/A</v>
      </c>
      <c r="R247" s="14" t="e" cm="1">
        <f t="array" ref="R247">INDEX(Benchmarks!P$6:P$244,MATCH(SolverWork!$B247,MutualFunds!$B$6:$B$244,0),0)</f>
        <v>#N/A</v>
      </c>
      <c r="S247" s="14" t="e" cm="1">
        <f t="array" ref="S247">INDEX(Benchmarks!Q$6:Q$244,MATCH(SolverWork!$B247,MutualFunds!$B$6:$B$244,0),0)</f>
        <v>#N/A</v>
      </c>
      <c r="T247" s="14" t="e" cm="1">
        <f t="array" ref="T247">INDEX(Benchmarks!R$6:R$244,MATCH(SolverWork!$B247,MutualFunds!$B$6:$B$244,0),0)</f>
        <v>#N/A</v>
      </c>
    </row>
    <row r="248" spans="1:20" x14ac:dyDescent="0.2">
      <c r="A248">
        <v>238</v>
      </c>
      <c r="B248" s="28" t="str">
        <f>IF(B247="","",IF(EOMONTH(B247,1)&lt;=EOMONTH(Front!$C$4,0),EOMONTH(B247,1),""))</f>
        <v/>
      </c>
      <c r="C248" s="14" t="str">
        <f>IF(B248="","",INDEX(MutualFunds!$C$6:$O$244,MATCH(B248,MutualFunds!$B$6:$B$244,0),MATCH(Front!$C$2,MutualFunds!$C$4:$O$4,0)))</f>
        <v/>
      </c>
      <c r="D248" s="14" t="str">
        <f t="shared" si="3"/>
        <v/>
      </c>
      <c r="E248" s="14" t="e" cm="1">
        <f t="array" ref="E248">INDEX(Benchmarks!C$6:C$244,MATCH(SolverWork!$B248,MutualFunds!$B$6:$B$244,0),0)</f>
        <v>#N/A</v>
      </c>
      <c r="F248" s="14" t="e" cm="1">
        <f t="array" ref="F248">INDEX(Benchmarks!D$6:D$244,MATCH(SolverWork!$B248,MutualFunds!$B$6:$B$244,0),0)</f>
        <v>#N/A</v>
      </c>
      <c r="G248" s="14" t="e" cm="1">
        <f t="array" ref="G248">INDEX(Benchmarks!E$6:E$244,MATCH(SolverWork!$B248,MutualFunds!$B$6:$B$244,0),0)</f>
        <v>#N/A</v>
      </c>
      <c r="H248" s="14" t="e" cm="1">
        <f t="array" ref="H248">INDEX(Benchmarks!F$6:F$244,MATCH(SolverWork!$B248,MutualFunds!$B$6:$B$244,0),0)</f>
        <v>#N/A</v>
      </c>
      <c r="I248" s="14" t="e" cm="1">
        <f t="array" ref="I248">INDEX(Benchmarks!G$6:G$244,MATCH(SolverWork!$B248,MutualFunds!$B$6:$B$244,0),0)</f>
        <v>#N/A</v>
      </c>
      <c r="J248" s="14" t="e" cm="1">
        <f t="array" ref="J248">INDEX(Benchmarks!H$6:H$244,MATCH(SolverWork!$B248,MutualFunds!$B$6:$B$244,0),0)</f>
        <v>#N/A</v>
      </c>
      <c r="K248" s="14" t="e" cm="1">
        <f t="array" ref="K248">INDEX(Benchmarks!I$6:I$244,MATCH(SolverWork!$B248,MutualFunds!$B$6:$B$244,0),0)</f>
        <v>#N/A</v>
      </c>
      <c r="L248" s="14" t="e" cm="1">
        <f t="array" ref="L248">INDEX(Benchmarks!J$6:J$244,MATCH(SolverWork!$B248,MutualFunds!$B$6:$B$244,0),0)</f>
        <v>#N/A</v>
      </c>
      <c r="M248" s="14" t="e" cm="1">
        <f t="array" ref="M248">INDEX(Benchmarks!K$6:K$244,MATCH(SolverWork!$B248,MutualFunds!$B$6:$B$244,0),0)</f>
        <v>#N/A</v>
      </c>
      <c r="N248" s="14" t="e" cm="1">
        <f t="array" ref="N248">INDEX(Benchmarks!L$6:L$244,MATCH(SolverWork!$B248,MutualFunds!$B$6:$B$244,0),0)</f>
        <v>#N/A</v>
      </c>
      <c r="O248" s="14" t="e" cm="1">
        <f t="array" ref="O248">INDEX(Benchmarks!M$6:M$244,MATCH(SolverWork!$B248,MutualFunds!$B$6:$B$244,0),0)</f>
        <v>#N/A</v>
      </c>
      <c r="P248" s="14" t="e" cm="1">
        <f t="array" ref="P248">INDEX(Benchmarks!N$6:N$244,MATCH(SolverWork!$B248,MutualFunds!$B$6:$B$244,0),0)</f>
        <v>#N/A</v>
      </c>
      <c r="Q248" s="14" t="e" cm="1">
        <f t="array" ref="Q248">INDEX(Benchmarks!O$6:O$244,MATCH(SolverWork!$B248,MutualFunds!$B$6:$B$244,0),0)</f>
        <v>#N/A</v>
      </c>
      <c r="R248" s="14" t="e" cm="1">
        <f t="array" ref="R248">INDEX(Benchmarks!P$6:P$244,MATCH(SolverWork!$B248,MutualFunds!$B$6:$B$244,0),0)</f>
        <v>#N/A</v>
      </c>
      <c r="S248" s="14" t="e" cm="1">
        <f t="array" ref="S248">INDEX(Benchmarks!Q$6:Q$244,MATCH(SolverWork!$B248,MutualFunds!$B$6:$B$244,0),0)</f>
        <v>#N/A</v>
      </c>
      <c r="T248" s="14" t="e" cm="1">
        <f t="array" ref="T248">INDEX(Benchmarks!R$6:R$244,MATCH(SolverWork!$B248,MutualFunds!$B$6:$B$244,0),0)</f>
        <v>#N/A</v>
      </c>
    </row>
    <row r="249" spans="1:20" x14ac:dyDescent="0.2">
      <c r="A249">
        <v>239</v>
      </c>
      <c r="B249" t="s">
        <v>61</v>
      </c>
      <c r="C249" s="14" t="e">
        <f>IF(B249="","",INDEX(MutualFunds!$C$6:$O$244,MATCH(B249,MutualFunds!$B$6:$B$244,0),MATCH(Front!$C$2,MutualFunds!$C$4:$O$4,0)))</f>
        <v>#N/A</v>
      </c>
      <c r="D249" s="14" t="e">
        <f t="shared" si="3"/>
        <v>#N/A</v>
      </c>
      <c r="E249" t="s">
        <v>61</v>
      </c>
      <c r="F249" t="s">
        <v>61</v>
      </c>
      <c r="G249" t="s">
        <v>61</v>
      </c>
      <c r="H249" t="s">
        <v>61</v>
      </c>
      <c r="I249" t="s">
        <v>61</v>
      </c>
    </row>
    <row r="250" spans="1:20" x14ac:dyDescent="0.2">
      <c r="A250" t="s">
        <v>61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CE3F-5D09-5C44-A69A-43FACF5AAAA8}">
  <sheetPr codeName="Sheet6"/>
  <dimension ref="B1:C23"/>
  <sheetViews>
    <sheetView workbookViewId="0">
      <selection activeCell="B11" sqref="B11"/>
    </sheetView>
  </sheetViews>
  <sheetFormatPr baseColWidth="10" defaultRowHeight="15" x14ac:dyDescent="0.2"/>
  <cols>
    <col min="2" max="2" width="23.33203125" bestFit="1" customWidth="1"/>
  </cols>
  <sheetData>
    <row r="1" spans="2:3" x14ac:dyDescent="0.2">
      <c r="B1" s="32" t="s">
        <v>64</v>
      </c>
    </row>
    <row r="3" spans="2:3" ht="15" customHeight="1" x14ac:dyDescent="0.2">
      <c r="B3" s="31" t="s">
        <v>30</v>
      </c>
      <c r="C3" s="27" cm="1">
        <f t="array" ref="C3:C18">TRANSPOSE(SolverWork!E7:T7)</f>
        <v>0</v>
      </c>
    </row>
    <row r="4" spans="2:3" ht="15" customHeight="1" x14ac:dyDescent="0.2">
      <c r="B4" s="31" t="s">
        <v>31</v>
      </c>
      <c r="C4" s="27">
        <v>0</v>
      </c>
    </row>
    <row r="5" spans="2:3" ht="15" customHeight="1" x14ac:dyDescent="0.2">
      <c r="B5" s="31" t="s">
        <v>32</v>
      </c>
      <c r="C5" s="27">
        <v>1.6267339098050271E-2</v>
      </c>
    </row>
    <row r="6" spans="2:3" ht="15" customHeight="1" x14ac:dyDescent="0.2">
      <c r="B6" s="31" t="s">
        <v>33</v>
      </c>
      <c r="C6" s="27">
        <v>0</v>
      </c>
    </row>
    <row r="7" spans="2:3" ht="15" customHeight="1" x14ac:dyDescent="0.2">
      <c r="B7" s="31" t="s">
        <v>34</v>
      </c>
      <c r="C7" s="27">
        <v>0</v>
      </c>
    </row>
    <row r="8" spans="2:3" ht="15" customHeight="1" x14ac:dyDescent="0.2">
      <c r="B8" s="31" t="s">
        <v>35</v>
      </c>
      <c r="C8" s="27">
        <v>0</v>
      </c>
    </row>
    <row r="9" spans="2:3" ht="15" customHeight="1" x14ac:dyDescent="0.2">
      <c r="B9" s="31" t="s">
        <v>36</v>
      </c>
      <c r="C9" s="43">
        <v>0</v>
      </c>
    </row>
    <row r="10" spans="2:3" ht="15" customHeight="1" x14ac:dyDescent="0.2">
      <c r="B10" s="31" t="s">
        <v>37</v>
      </c>
      <c r="C10" s="27">
        <v>0</v>
      </c>
    </row>
    <row r="11" spans="2:3" ht="15" customHeight="1" x14ac:dyDescent="0.2">
      <c r="B11" s="31" t="s">
        <v>38</v>
      </c>
      <c r="C11" s="27">
        <v>0.98373270728559781</v>
      </c>
    </row>
    <row r="12" spans="2:3" ht="15" customHeight="1" x14ac:dyDescent="0.2">
      <c r="B12" s="31" t="s">
        <v>39</v>
      </c>
      <c r="C12" s="27">
        <v>0</v>
      </c>
    </row>
    <row r="13" spans="2:3" ht="15" customHeight="1" x14ac:dyDescent="0.2">
      <c r="B13" s="31" t="s">
        <v>40</v>
      </c>
      <c r="C13" s="27">
        <v>0</v>
      </c>
    </row>
    <row r="14" spans="2:3" ht="15" customHeight="1" x14ac:dyDescent="0.2">
      <c r="B14" s="31" t="s">
        <v>41</v>
      </c>
      <c r="C14" s="27">
        <v>0</v>
      </c>
    </row>
    <row r="15" spans="2:3" ht="15" customHeight="1" x14ac:dyDescent="0.2">
      <c r="B15" s="31" t="s">
        <v>42</v>
      </c>
      <c r="C15" s="27">
        <v>0</v>
      </c>
    </row>
    <row r="16" spans="2:3" ht="15" customHeight="1" x14ac:dyDescent="0.2">
      <c r="B16" s="31" t="s">
        <v>43</v>
      </c>
      <c r="C16" s="27">
        <v>0</v>
      </c>
    </row>
    <row r="17" spans="2:3" ht="15" customHeight="1" x14ac:dyDescent="0.2">
      <c r="B17" s="31" t="s">
        <v>44</v>
      </c>
      <c r="C17" s="27">
        <v>0</v>
      </c>
    </row>
    <row r="18" spans="2:3" ht="15" customHeight="1" x14ac:dyDescent="0.2">
      <c r="B18" s="31" t="s">
        <v>45</v>
      </c>
      <c r="C18" s="27">
        <v>0</v>
      </c>
    </row>
    <row r="22" spans="2:3" x14ac:dyDescent="0.2">
      <c r="B22" t="s">
        <v>92</v>
      </c>
      <c r="C22" s="41">
        <f>1-C23</f>
        <v>0.29903980111667727</v>
      </c>
    </row>
    <row r="23" spans="2:3" x14ac:dyDescent="0.2">
      <c r="B23" t="s">
        <v>57</v>
      </c>
      <c r="C23" s="41">
        <f>SolverWork!B5</f>
        <v>0.70096019888332273</v>
      </c>
    </row>
  </sheetData>
  <hyperlinks>
    <hyperlink ref="B1" location="Front!A1" display="Go Back to Front Page" xr:uid="{E5C60E84-AA5E-B04A-9612-05A067E31D8C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>
    <tabColor rgb="FF92D050"/>
  </sheetPr>
  <dimension ref="A1:P255"/>
  <sheetViews>
    <sheetView zoomScale="125" workbookViewId="0">
      <pane xSplit="2" ySplit="5" topLeftCell="D6" activePane="bottomRight" state="frozenSplit"/>
      <selection activeCell="I9" sqref="I9"/>
      <selection pane="topRight" activeCell="I9" sqref="I9"/>
      <selection pane="bottomLeft" activeCell="I9" sqref="I9"/>
      <selection pane="bottomRight" activeCell="E203" sqref="E203"/>
    </sheetView>
  </sheetViews>
  <sheetFormatPr baseColWidth="10" defaultColWidth="15" defaultRowHeight="15" x14ac:dyDescent="0.2"/>
  <cols>
    <col min="1" max="1" width="5.33203125" style="1" customWidth="1"/>
    <col min="2" max="2" width="16.6640625" style="2" customWidth="1"/>
    <col min="3" max="16" width="16.6640625" style="3" customWidth="1"/>
    <col min="17" max="16384" width="15" style="2"/>
  </cols>
  <sheetData>
    <row r="1" spans="1:15" s="3" customFormat="1" ht="12.75" customHeight="1" x14ac:dyDescent="0.2">
      <c r="A1" s="1"/>
      <c r="B1" s="2"/>
      <c r="C1" s="3" t="str">
        <f t="shared" ref="C1:J1" si="0">IF(C3&lt;10,"0"&amp;C3,C3)&amp;" - "&amp;C4</f>
        <v>01 - Fidelity Advisor Diversified Stock Fund (O)</v>
      </c>
      <c r="D1" s="3" t="str">
        <f t="shared" si="0"/>
        <v>02 - Harbor Large Cap Value Fund (Institutional)</v>
      </c>
      <c r="E1" s="3" t="str">
        <f t="shared" si="0"/>
        <v>03 - Stonebridge Small Cap Growth Fund</v>
      </c>
      <c r="F1" s="3" t="str">
        <f t="shared" si="0"/>
        <v>04 - Fidelity Japan Fund</v>
      </c>
      <c r="G1" s="3" t="str">
        <f t="shared" si="0"/>
        <v>05 - Fidelity Select Utilities Portfolio</v>
      </c>
      <c r="H1" s="3" t="str">
        <f t="shared" si="0"/>
        <v>06 - Vanguard Long-Term Investment-Grade Fund (Investor)</v>
      </c>
      <c r="I1" s="3" t="str">
        <f t="shared" si="0"/>
        <v>07 - Fidelity Mortgage Securities Fund (Mortgage Sec)</v>
      </c>
      <c r="J1" s="3" t="str">
        <f t="shared" si="0"/>
        <v>08 - Madison Mosaic Mid-Cap Fund</v>
      </c>
      <c r="K1" s="3" t="str">
        <f t="shared" ref="K1:O1" si="1">"Fund "&amp;K3</f>
        <v>Fund 101</v>
      </c>
      <c r="L1" s="3" t="str">
        <f t="shared" si="1"/>
        <v>Fund 102</v>
      </c>
      <c r="M1" s="3" t="str">
        <f t="shared" si="1"/>
        <v>Fund 103</v>
      </c>
      <c r="N1" s="3" t="str">
        <f t="shared" si="1"/>
        <v>Fund 104</v>
      </c>
      <c r="O1" s="3" t="str">
        <f t="shared" si="1"/>
        <v>Fund 105</v>
      </c>
    </row>
    <row r="2" spans="1:15" s="3" customFormat="1" ht="12.75" customHeight="1" x14ac:dyDescent="0.2">
      <c r="A2" s="1"/>
      <c r="B2" s="2"/>
    </row>
    <row r="3" spans="1:15" s="3" customFormat="1" ht="24" customHeight="1" x14ac:dyDescent="0.2">
      <c r="A3" s="1"/>
      <c r="B3" s="2" t="s">
        <v>0</v>
      </c>
      <c r="C3" s="3">
        <v>1</v>
      </c>
      <c r="D3" s="3">
        <v>2</v>
      </c>
      <c r="E3" s="3">
        <v>3</v>
      </c>
      <c r="F3" s="3">
        <v>4</v>
      </c>
      <c r="G3" s="3">
        <v>5</v>
      </c>
      <c r="H3" s="3">
        <v>6</v>
      </c>
      <c r="I3" s="3">
        <v>7</v>
      </c>
      <c r="J3" s="3">
        <v>8</v>
      </c>
      <c r="K3" s="3">
        <v>101</v>
      </c>
      <c r="L3" s="3">
        <v>102</v>
      </c>
      <c r="M3" s="3">
        <v>103</v>
      </c>
      <c r="N3" s="3">
        <v>104</v>
      </c>
      <c r="O3" s="3">
        <v>105</v>
      </c>
    </row>
    <row r="4" spans="1:15" s="3" customFormat="1" ht="48" customHeight="1" x14ac:dyDescent="0.2">
      <c r="A4" s="1"/>
      <c r="B4" s="2" t="s">
        <v>1</v>
      </c>
      <c r="C4" s="3" t="s">
        <v>2</v>
      </c>
      <c r="D4" s="3" t="s">
        <v>3</v>
      </c>
      <c r="E4" s="3" t="s">
        <v>11</v>
      </c>
      <c r="F4" s="3" t="s">
        <v>4</v>
      </c>
      <c r="G4" s="3" t="s">
        <v>5</v>
      </c>
      <c r="H4" s="3" t="s">
        <v>6</v>
      </c>
      <c r="I4" s="3" t="s">
        <v>7</v>
      </c>
      <c r="J4" s="3" t="s">
        <v>8</v>
      </c>
      <c r="K4" s="3">
        <v>101</v>
      </c>
      <c r="L4" s="3">
        <v>102</v>
      </c>
      <c r="M4" s="3">
        <v>103</v>
      </c>
      <c r="N4" s="3">
        <v>104</v>
      </c>
      <c r="O4" s="3">
        <v>105</v>
      </c>
    </row>
    <row r="5" spans="1:15" s="3" customFormat="1" x14ac:dyDescent="0.2">
      <c r="A5" s="1"/>
      <c r="B5" s="2" t="s">
        <v>9</v>
      </c>
      <c r="C5" s="3" t="s">
        <v>10</v>
      </c>
      <c r="D5" s="3" t="s">
        <v>10</v>
      </c>
      <c r="E5" s="3" t="s">
        <v>10</v>
      </c>
      <c r="F5" s="3" t="s">
        <v>10</v>
      </c>
      <c r="G5" s="3" t="s">
        <v>10</v>
      </c>
      <c r="H5" s="3" t="s">
        <v>10</v>
      </c>
      <c r="I5" s="3" t="s">
        <v>10</v>
      </c>
      <c r="J5" s="3" t="s">
        <v>10</v>
      </c>
      <c r="K5" s="3" t="s">
        <v>10</v>
      </c>
      <c r="L5" s="3" t="s">
        <v>10</v>
      </c>
      <c r="M5" s="3" t="s">
        <v>10</v>
      </c>
      <c r="N5" s="3" t="s">
        <v>10</v>
      </c>
      <c r="O5" s="3" t="s">
        <v>10</v>
      </c>
    </row>
    <row r="6" spans="1:15" s="3" customFormat="1" x14ac:dyDescent="0.2">
      <c r="A6" s="1"/>
      <c r="B6" s="4">
        <v>34365</v>
      </c>
      <c r="C6" s="14">
        <v>6.3652587745389663E-2</v>
      </c>
      <c r="D6" s="14">
        <v>3.4822104466313328E-2</v>
      </c>
      <c r="E6" s="14">
        <v>2.1243115656962987E-2</v>
      </c>
      <c r="F6" s="14">
        <v>0.11800172265288536</v>
      </c>
      <c r="G6" s="14">
        <v>2.0489622139435955E-2</v>
      </c>
      <c r="H6" s="14">
        <v>1.5184381778741925E-2</v>
      </c>
      <c r="I6" s="14">
        <v>4.659832246039209E-3</v>
      </c>
      <c r="J6" s="14">
        <v>8.890968647636768E-3</v>
      </c>
      <c r="K6" s="14">
        <v>9.2999999999999992E-3</v>
      </c>
      <c r="L6" s="14">
        <v>9.4745908699396565E-3</v>
      </c>
      <c r="M6" s="14">
        <v>6.7885117493472633E-2</v>
      </c>
      <c r="N6" s="14">
        <v>6.2983425414364663E-2</v>
      </c>
      <c r="O6" s="14">
        <v>3.7826685006877504E-2</v>
      </c>
    </row>
    <row r="7" spans="1:15" s="3" customFormat="1" x14ac:dyDescent="0.2">
      <c r="A7" s="1"/>
      <c r="B7" s="4">
        <v>34393</v>
      </c>
      <c r="C7" s="14">
        <v>-1.510067114093977E-2</v>
      </c>
      <c r="D7" s="14">
        <v>-4.4623262618873401E-2</v>
      </c>
      <c r="E7" s="14">
        <v>-2.3882896764252735E-2</v>
      </c>
      <c r="F7" s="14">
        <v>4.6995377503852034E-2</v>
      </c>
      <c r="G7" s="14">
        <v>-5.162972620599731E-2</v>
      </c>
      <c r="H7" s="14">
        <v>-3.4188034188034212E-2</v>
      </c>
      <c r="I7" s="14">
        <v>-9.2764378478665498E-3</v>
      </c>
      <c r="J7" s="14">
        <v>1.7625231910946317E-2</v>
      </c>
      <c r="K7" s="14">
        <v>3.0999999999999999E-3</v>
      </c>
      <c r="L7" s="14">
        <v>-5.1194539249147181E-3</v>
      </c>
      <c r="M7" s="14">
        <v>-3.6298664660522846E-2</v>
      </c>
      <c r="N7" s="14">
        <v>-1.2127512127512176E-2</v>
      </c>
      <c r="O7" s="14">
        <v>-1.4579191517561223E-2</v>
      </c>
    </row>
    <row r="8" spans="1:15" s="3" customFormat="1" x14ac:dyDescent="0.2">
      <c r="A8" s="1"/>
      <c r="B8" s="4">
        <v>34424</v>
      </c>
      <c r="C8" s="14">
        <v>-4.7132311186825572E-2</v>
      </c>
      <c r="D8" s="14">
        <v>-4.6707503828483876E-2</v>
      </c>
      <c r="E8" s="14">
        <v>-3.6306235201262756E-2</v>
      </c>
      <c r="F8" s="14">
        <v>-1.692420897718901E-2</v>
      </c>
      <c r="G8" s="14">
        <v>-2.9694803409403499E-2</v>
      </c>
      <c r="H8" s="14">
        <v>-4.5353982300884964E-2</v>
      </c>
      <c r="I8" s="14">
        <v>-1.5917602996254675E-2</v>
      </c>
      <c r="J8" s="14">
        <v>-3.7830446672743927E-2</v>
      </c>
      <c r="K8" s="14">
        <v>-3.0999999999999999E-3</v>
      </c>
      <c r="L8" s="14">
        <v>-7.4614065180102843E-2</v>
      </c>
      <c r="M8" s="14">
        <v>-4.5667447306791495E-2</v>
      </c>
      <c r="N8" s="14">
        <v>-4.9105576990529587E-2</v>
      </c>
      <c r="O8" s="14">
        <v>-3.8332212508406203E-2</v>
      </c>
    </row>
    <row r="9" spans="1:15" s="3" customFormat="1" x14ac:dyDescent="0.2">
      <c r="A9" s="1"/>
      <c r="B9" s="4">
        <v>34454</v>
      </c>
      <c r="C9" s="14">
        <v>2.9797377830750892E-2</v>
      </c>
      <c r="D9" s="14">
        <v>2.9718875502007965E-2</v>
      </c>
      <c r="E9" s="14">
        <v>8.1900081900081606E-3</v>
      </c>
      <c r="F9" s="14">
        <v>2.3203592814371159E-2</v>
      </c>
      <c r="G9" s="14">
        <v>7.6508926041372379E-3</v>
      </c>
      <c r="H9" s="14">
        <v>-1.7381228273464697E-2</v>
      </c>
      <c r="I9" s="14">
        <v>-8.563273073263546E-3</v>
      </c>
      <c r="J9" s="14">
        <v>-7.9109426811937389E-2</v>
      </c>
      <c r="K9" s="14">
        <v>-7.4349999999999998E-3</v>
      </c>
      <c r="L9" s="14">
        <v>1.946246524559769E-2</v>
      </c>
      <c r="M9" s="14">
        <v>3.0061349693251506E-2</v>
      </c>
      <c r="N9" s="14">
        <v>3.024714127628169E-2</v>
      </c>
      <c r="O9" s="14">
        <v>1.5384615384615429E-2</v>
      </c>
    </row>
    <row r="10" spans="1:15" s="3" customFormat="1" x14ac:dyDescent="0.2">
      <c r="A10" s="1"/>
      <c r="B10" s="4">
        <v>34485</v>
      </c>
      <c r="C10" s="14">
        <v>7.5231481481480905E-3</v>
      </c>
      <c r="D10" s="14">
        <v>2.2620904836193518E-2</v>
      </c>
      <c r="E10" s="14">
        <v>1.7059301380991133E-2</v>
      </c>
      <c r="F10" s="14">
        <v>2.7798098024872039E-2</v>
      </c>
      <c r="G10" s="14">
        <v>-1.9966254218222745E-2</v>
      </c>
      <c r="H10" s="14">
        <v>-1.1792452830188637E-2</v>
      </c>
      <c r="I10" s="14">
        <v>3.8387715930902999E-3</v>
      </c>
      <c r="J10" s="14">
        <v>8.2304526748971252E-3</v>
      </c>
      <c r="K10" s="14">
        <v>3.9949999999999999E-2</v>
      </c>
      <c r="L10" s="14">
        <v>4.4545454545454562E-2</v>
      </c>
      <c r="M10" s="14">
        <v>4.2684137383363081E-2</v>
      </c>
      <c r="N10" s="14">
        <v>7.1607590404583902E-3</v>
      </c>
      <c r="O10" s="14">
        <v>2.7548209366391085E-2</v>
      </c>
    </row>
    <row r="11" spans="1:15" s="3" customFormat="1" x14ac:dyDescent="0.2">
      <c r="A11" s="1"/>
      <c r="B11" s="4">
        <v>34515</v>
      </c>
      <c r="C11" s="14">
        <v>-2.8144744399770157E-2</v>
      </c>
      <c r="D11" s="14">
        <v>-2.4408848207475228E-2</v>
      </c>
      <c r="E11" s="14">
        <v>-3.1948881789137407E-2</v>
      </c>
      <c r="F11" s="14">
        <v>6.0498220640569367E-2</v>
      </c>
      <c r="G11" s="14">
        <v>-3.1563845050215046E-3</v>
      </c>
      <c r="H11" s="14">
        <v>-1.1933174224343632E-2</v>
      </c>
      <c r="I11" s="14">
        <v>0</v>
      </c>
      <c r="J11" s="14">
        <v>-2.2959183673469351E-2</v>
      </c>
      <c r="K11" s="14">
        <v>-6.3625450180071957E-2</v>
      </c>
      <c r="L11" s="14">
        <v>3.0461270670147922E-2</v>
      </c>
      <c r="M11" s="14">
        <v>-2.3610053313023648E-2</v>
      </c>
      <c r="N11" s="14">
        <v>-2.9505865623889148E-2</v>
      </c>
      <c r="O11" s="14">
        <v>-2.0107238605898053E-2</v>
      </c>
    </row>
    <row r="12" spans="1:15" s="3" customFormat="1" x14ac:dyDescent="0.2">
      <c r="A12" s="1"/>
      <c r="B12" s="4">
        <v>34546</v>
      </c>
      <c r="C12" s="14">
        <v>3.3096926713947913E-2</v>
      </c>
      <c r="D12" s="14">
        <v>2.3455824863174268E-2</v>
      </c>
      <c r="E12" s="14">
        <v>0.15099009900990099</v>
      </c>
      <c r="F12" s="14">
        <v>-3.2885906040268469E-2</v>
      </c>
      <c r="G12" s="14">
        <v>4.4761082325849154E-2</v>
      </c>
      <c r="H12" s="14">
        <v>1.9323671497584554E-2</v>
      </c>
      <c r="I12" s="14">
        <v>1.2428298279158603E-2</v>
      </c>
      <c r="J12" s="14">
        <v>1.879895561357699E-2</v>
      </c>
      <c r="K12" s="14">
        <v>4.615384615384608E-2</v>
      </c>
      <c r="L12" s="14">
        <v>3.4206081081081176E-2</v>
      </c>
      <c r="M12" s="14">
        <v>5.0897035881435244E-2</v>
      </c>
      <c r="N12" s="14">
        <v>0.12820512820512819</v>
      </c>
      <c r="O12" s="14">
        <v>2.872777017783857E-2</v>
      </c>
    </row>
    <row r="13" spans="1:15" s="3" customFormat="1" x14ac:dyDescent="0.2">
      <c r="A13" s="1"/>
      <c r="B13" s="4">
        <v>34577</v>
      </c>
      <c r="C13" s="14">
        <v>4.519450800915327E-2</v>
      </c>
      <c r="D13" s="14">
        <v>5.1184110007639415E-2</v>
      </c>
      <c r="E13" s="14">
        <v>-6.7383512544802959E-2</v>
      </c>
      <c r="F13" s="14">
        <v>-3.4698126301178998E-3</v>
      </c>
      <c r="G13" s="14">
        <v>-1.9148643063782896E-2</v>
      </c>
      <c r="H13" s="14">
        <v>-9.4786729857819982E-3</v>
      </c>
      <c r="I13" s="14">
        <v>-9.4428706326721312E-4</v>
      </c>
      <c r="J13" s="14">
        <v>2.7165556125063942E-2</v>
      </c>
      <c r="K13" s="14">
        <v>6.1274509803921566E-2</v>
      </c>
      <c r="L13" s="14">
        <v>-5.4307880767660341E-2</v>
      </c>
      <c r="M13" s="14">
        <v>1.9298571163481149E-2</v>
      </c>
      <c r="N13" s="14">
        <v>-4.2857142857142864E-2</v>
      </c>
      <c r="O13" s="14">
        <v>2.2606382978723392E-2</v>
      </c>
    </row>
    <row r="14" spans="1:15" s="3" customFormat="1" x14ac:dyDescent="0.2">
      <c r="A14" s="1"/>
      <c r="B14" s="4">
        <v>34607</v>
      </c>
      <c r="C14" s="14">
        <v>-3.1198686371100182E-2</v>
      </c>
      <c r="D14" s="14">
        <v>-3.0523255813953484E-2</v>
      </c>
      <c r="E14" s="14">
        <v>-2.843966179861639E-2</v>
      </c>
      <c r="F14" s="14">
        <v>-2.4373259052924888E-2</v>
      </c>
      <c r="G14" s="14">
        <v>-2.5561797752808892E-2</v>
      </c>
      <c r="H14" s="14">
        <v>-2.990430622009569E-2</v>
      </c>
      <c r="I14" s="14">
        <v>-2.0793950850661519E-2</v>
      </c>
      <c r="J14" s="14">
        <v>-8.9820359281436984E-3</v>
      </c>
      <c r="K14" s="14">
        <v>5.7736720554273334E-3</v>
      </c>
      <c r="L14" s="14">
        <v>3.7996545768566606E-2</v>
      </c>
      <c r="M14" s="14">
        <v>-7.5368651010376861E-2</v>
      </c>
      <c r="N14" s="14">
        <v>-3.1546811397557654E-2</v>
      </c>
      <c r="O14" s="14">
        <v>-1.8855656697009161E-2</v>
      </c>
    </row>
    <row r="15" spans="1:15" s="3" customFormat="1" x14ac:dyDescent="0.2">
      <c r="A15" s="1"/>
      <c r="B15" s="4">
        <v>34638</v>
      </c>
      <c r="C15" s="14">
        <v>2.203389830508478E-2</v>
      </c>
      <c r="D15" s="14">
        <v>1.199400299850076E-2</v>
      </c>
      <c r="E15" s="14">
        <v>2.0569620253164538E-2</v>
      </c>
      <c r="F15" s="14">
        <v>1.8558172733761712E-2</v>
      </c>
      <c r="G15" s="14">
        <v>1.2683770539060181E-2</v>
      </c>
      <c r="H15" s="14">
        <v>-1.1097410604192556E-2</v>
      </c>
      <c r="I15" s="14">
        <v>-3.8610038610039496E-3</v>
      </c>
      <c r="J15" s="14">
        <v>-1.762336354481359E-2</v>
      </c>
      <c r="K15" s="14">
        <v>-1.9517795637198611E-2</v>
      </c>
      <c r="L15" s="14">
        <v>3.9933444259567269E-2</v>
      </c>
      <c r="M15" s="14">
        <v>-5.3160070880093726E-3</v>
      </c>
      <c r="N15" s="14">
        <v>2.1716287215411592E-2</v>
      </c>
      <c r="O15" s="14">
        <v>1.3916500994035842E-2</v>
      </c>
    </row>
    <row r="16" spans="1:15" s="3" customFormat="1" x14ac:dyDescent="0.2">
      <c r="A16" s="1"/>
      <c r="B16" s="4">
        <v>34668</v>
      </c>
      <c r="C16" s="14">
        <v>-3.427307904919831E-2</v>
      </c>
      <c r="D16" s="14">
        <v>-4.592592592592587E-2</v>
      </c>
      <c r="E16" s="14">
        <v>-1.8604651162790715E-2</v>
      </c>
      <c r="F16" s="14">
        <v>-6.7974772249474458E-2</v>
      </c>
      <c r="G16" s="14">
        <v>-3.6151437517791145E-2</v>
      </c>
      <c r="H16" s="14">
        <v>-3.7406483790522896E-3</v>
      </c>
      <c r="I16" s="14">
        <v>-6.7829457364341362E-3</v>
      </c>
      <c r="J16" s="14">
        <v>-2.6652998462326986E-2</v>
      </c>
      <c r="K16" s="14">
        <v>-0.11124121779859486</v>
      </c>
      <c r="L16" s="14">
        <v>-5.1999999999999887E-2</v>
      </c>
      <c r="M16" s="14">
        <v>-6.3341250989707096E-2</v>
      </c>
      <c r="N16" s="14">
        <v>-3.1882070620500504E-2</v>
      </c>
      <c r="O16" s="14">
        <v>-3.9215686274509776E-2</v>
      </c>
    </row>
    <row r="17" spans="1:15" s="3" customFormat="1" x14ac:dyDescent="0.2">
      <c r="A17" s="1"/>
      <c r="B17" s="4">
        <v>34699</v>
      </c>
      <c r="C17" s="14">
        <v>-0.16370921579851178</v>
      </c>
      <c r="D17" s="14">
        <v>-7.7639751552795025E-2</v>
      </c>
      <c r="E17" s="14">
        <v>1.5797788309637717E-3</v>
      </c>
      <c r="F17" s="14">
        <v>-1.127819548872183E-2</v>
      </c>
      <c r="G17" s="14">
        <v>-2.3036030714707653E-2</v>
      </c>
      <c r="H17" s="14">
        <v>7.5093867334168332E-3</v>
      </c>
      <c r="I17" s="14">
        <v>9.7560975609754016E-4</v>
      </c>
      <c r="J17" s="14">
        <v>-6.5824117956819375E-2</v>
      </c>
      <c r="K17" s="14">
        <v>-6.5876152832674562E-2</v>
      </c>
      <c r="L17" s="14">
        <v>-5.9915611814346056E-2</v>
      </c>
      <c r="M17" s="14">
        <v>-8.8757396449704054E-2</v>
      </c>
      <c r="N17" s="14">
        <v>-0.12110481586402272</v>
      </c>
      <c r="O17" s="14">
        <v>-1.3605442176870821E-2</v>
      </c>
    </row>
    <row r="18" spans="1:15" s="3" customFormat="1" x14ac:dyDescent="0.2">
      <c r="A18" s="1"/>
      <c r="B18" s="4">
        <v>34730</v>
      </c>
      <c r="C18" s="14">
        <v>9.5824777549622705E-3</v>
      </c>
      <c r="D18" s="14">
        <v>3.2828282828282873E-2</v>
      </c>
      <c r="E18" s="14">
        <v>-5.8359621451104113E-2</v>
      </c>
      <c r="F18" s="14">
        <v>-8.5931558935361141E-2</v>
      </c>
      <c r="G18" s="14">
        <v>4.0810157194679612E-2</v>
      </c>
      <c r="H18" s="14">
        <v>1.6149068322981242E-2</v>
      </c>
      <c r="I18" s="14">
        <v>1.2670565302144325E-2</v>
      </c>
      <c r="J18" s="14">
        <v>1.6910935738442829E-3</v>
      </c>
      <c r="K18" s="14">
        <v>-0.10578279266572636</v>
      </c>
      <c r="L18" s="14">
        <v>6.2836624775583737E-3</v>
      </c>
      <c r="M18" s="14">
        <v>5.1716141001855211E-2</v>
      </c>
      <c r="N18" s="14">
        <v>1.0475423045930764E-2</v>
      </c>
      <c r="O18" s="14">
        <v>2.5517241379310412E-2</v>
      </c>
    </row>
    <row r="19" spans="1:15" s="3" customFormat="1" x14ac:dyDescent="0.2">
      <c r="A19" s="1"/>
      <c r="B19" s="4">
        <v>34758</v>
      </c>
      <c r="C19" s="14">
        <v>3.3898305084745763E-2</v>
      </c>
      <c r="D19" s="14">
        <v>3.667481662591681E-2</v>
      </c>
      <c r="E19" s="14">
        <v>3.0150753768844171E-2</v>
      </c>
      <c r="F19" s="14">
        <v>-4.6589018302828654E-2</v>
      </c>
      <c r="G19" s="14">
        <v>1.3069997095556283E-2</v>
      </c>
      <c r="H19" s="14">
        <v>2.0782396088019552E-2</v>
      </c>
      <c r="I19" s="14">
        <v>1.6361886429258895E-2</v>
      </c>
      <c r="J19" s="14">
        <v>3.263927968486223E-2</v>
      </c>
      <c r="K19" s="14">
        <v>4.7318611987381673E-2</v>
      </c>
      <c r="L19" s="14">
        <v>6.7796610169491497E-2</v>
      </c>
      <c r="M19" s="14">
        <v>6.3506063947078334E-2</v>
      </c>
      <c r="N19" s="14">
        <v>3.2695374800637965E-2</v>
      </c>
      <c r="O19" s="14">
        <v>3.7659717552118388E-2</v>
      </c>
    </row>
    <row r="20" spans="1:15" s="3" customFormat="1" x14ac:dyDescent="0.2">
      <c r="A20" s="1"/>
      <c r="B20" s="4">
        <v>34789</v>
      </c>
      <c r="C20" s="14">
        <v>2.8196721311475506E-2</v>
      </c>
      <c r="D20" s="14">
        <v>1.9654088050314465E-2</v>
      </c>
      <c r="E20" s="14">
        <v>1.1382113821138257E-2</v>
      </c>
      <c r="F20" s="14">
        <v>8.0279232111692828E-2</v>
      </c>
      <c r="G20" s="14">
        <v>4.0137614678899241E-3</v>
      </c>
      <c r="H20" s="14">
        <v>5.9880239520958937E-3</v>
      </c>
      <c r="I20" s="14">
        <v>-1.8939393939393534E-3</v>
      </c>
      <c r="J20" s="14">
        <v>-1.4168937329700357E-2</v>
      </c>
      <c r="K20" s="14">
        <v>-3.0120481927711534E-3</v>
      </c>
      <c r="L20" s="14">
        <v>5.5137844611528833E-2</v>
      </c>
      <c r="M20" s="14">
        <v>1.7623885548413879E-2</v>
      </c>
      <c r="N20" s="14">
        <v>2.7027027027026997E-2</v>
      </c>
      <c r="O20" s="14">
        <v>2.5275437459494409E-2</v>
      </c>
    </row>
    <row r="21" spans="1:15" s="3" customFormat="1" x14ac:dyDescent="0.2">
      <c r="A21" s="1"/>
      <c r="B21" s="4">
        <v>34819</v>
      </c>
      <c r="C21" s="14">
        <v>3.7627551020408039E-2</v>
      </c>
      <c r="D21" s="14">
        <v>2.9298380878951487E-2</v>
      </c>
      <c r="E21" s="14">
        <v>3.5369774919614107E-2</v>
      </c>
      <c r="F21" s="14">
        <v>1.2116316639741546E-2</v>
      </c>
      <c r="G21" s="14">
        <v>3.3409480296973201E-2</v>
      </c>
      <c r="H21" s="14">
        <v>9.5238095238095316E-3</v>
      </c>
      <c r="I21" s="14">
        <v>9.4876660341555626E-3</v>
      </c>
      <c r="J21" s="14">
        <v>4.2012161415146576E-2</v>
      </c>
      <c r="K21" s="14">
        <v>-4.078549848942592E-2</v>
      </c>
      <c r="L21" s="14">
        <v>6.0965954077592997E-2</v>
      </c>
      <c r="M21" s="14">
        <v>3.1377343113284412E-2</v>
      </c>
      <c r="N21" s="14">
        <v>3.6466165413533792E-2</v>
      </c>
      <c r="O21" s="14">
        <v>3.4766118836915341E-2</v>
      </c>
    </row>
    <row r="22" spans="1:15" s="3" customFormat="1" x14ac:dyDescent="0.2">
      <c r="A22" s="1"/>
      <c r="B22" s="4">
        <v>34850</v>
      </c>
      <c r="C22" s="14">
        <v>4.6711739397664508E-2</v>
      </c>
      <c r="D22" s="14">
        <v>2.8464419475655353E-2</v>
      </c>
      <c r="E22" s="14">
        <v>1.7080745341614956E-2</v>
      </c>
      <c r="F22" s="14">
        <v>-5.6664006384676842E-2</v>
      </c>
      <c r="G22" s="14">
        <v>1.5473887814313211E-2</v>
      </c>
      <c r="H22" s="14">
        <v>5.4245283018868024E-2</v>
      </c>
      <c r="I22" s="14">
        <v>2.5375939849624017E-2</v>
      </c>
      <c r="J22" s="14">
        <v>-1.4854111405835603E-2</v>
      </c>
      <c r="K22" s="14">
        <v>8.9763779527558957E-2</v>
      </c>
      <c r="L22" s="14">
        <v>2.6119402985074598E-2</v>
      </c>
      <c r="M22" s="14">
        <v>5.5511655472145295E-2</v>
      </c>
      <c r="N22" s="14">
        <v>4.4976423648893794E-2</v>
      </c>
      <c r="O22" s="14">
        <v>2.6878436163714187E-2</v>
      </c>
    </row>
    <row r="23" spans="1:15" s="3" customFormat="1" x14ac:dyDescent="0.2">
      <c r="A23" s="1"/>
      <c r="B23" s="4">
        <v>34880</v>
      </c>
      <c r="C23" s="14">
        <v>3.4057545507927084E-2</v>
      </c>
      <c r="D23" s="14">
        <v>5.0983248361252936E-3</v>
      </c>
      <c r="E23" s="14">
        <v>3.5114503816793818E-2</v>
      </c>
      <c r="F23" s="14">
        <v>-1.2690355329949268E-2</v>
      </c>
      <c r="G23" s="14">
        <v>9.7959183673469227E-3</v>
      </c>
      <c r="H23" s="14">
        <v>2.2371364653243366E-3</v>
      </c>
      <c r="I23" s="14">
        <v>1.833180568285937E-3</v>
      </c>
      <c r="J23" s="14">
        <v>2.8540656973613417E-2</v>
      </c>
      <c r="K23" s="14">
        <v>-3.6127167630057806E-2</v>
      </c>
      <c r="L23" s="14">
        <v>-3.4181818181818098E-2</v>
      </c>
      <c r="M23" s="14">
        <v>4.6790192775594238E-3</v>
      </c>
      <c r="N23" s="14">
        <v>3.3668864977438345E-2</v>
      </c>
      <c r="O23" s="14">
        <v>4.1641879833432642E-3</v>
      </c>
    </row>
    <row r="24" spans="1:15" s="3" customFormat="1" x14ac:dyDescent="0.2">
      <c r="A24" s="1"/>
      <c r="B24" s="4">
        <v>34911</v>
      </c>
      <c r="C24" s="14">
        <v>3.5775127768313604E-2</v>
      </c>
      <c r="D24" s="14">
        <v>2.6811594202898494E-2</v>
      </c>
      <c r="E24" s="14">
        <v>2.8761061946902696E-2</v>
      </c>
      <c r="F24" s="14">
        <v>6.5981148243359156E-2</v>
      </c>
      <c r="G24" s="14">
        <v>2.6946914578280787E-2</v>
      </c>
      <c r="H24" s="14">
        <v>-1.5625000000000062E-2</v>
      </c>
      <c r="I24" s="14">
        <v>-3.6596523330282844E-3</v>
      </c>
      <c r="J24" s="14">
        <v>1.7277486910994674E-2</v>
      </c>
      <c r="K24" s="14">
        <v>3.2983508245877161E-2</v>
      </c>
      <c r="L24" s="14">
        <v>4.9698795180722899E-2</v>
      </c>
      <c r="M24" s="14">
        <v>3.3532041728763118E-2</v>
      </c>
      <c r="N24" s="14">
        <v>3.4251175285426448E-2</v>
      </c>
      <c r="O24" s="14">
        <v>4.2061611374407414E-2</v>
      </c>
    </row>
    <row r="25" spans="1:15" s="3" customFormat="1" x14ac:dyDescent="0.2">
      <c r="A25" s="1"/>
      <c r="B25" s="4">
        <v>34942</v>
      </c>
      <c r="C25" s="14">
        <v>8.77192982456141E-3</v>
      </c>
      <c r="D25" s="14">
        <v>1.6231474947071306E-2</v>
      </c>
      <c r="E25" s="14">
        <v>-1.4336917562723709E-3</v>
      </c>
      <c r="F25" s="14">
        <v>-4.0192926045016647E-3</v>
      </c>
      <c r="G25" s="14">
        <v>2.5452637103122698E-2</v>
      </c>
      <c r="H25" s="14">
        <v>1.3605442176870861E-2</v>
      </c>
      <c r="I25" s="14">
        <v>6.4279155188246354E-3</v>
      </c>
      <c r="J25" s="14">
        <v>3.0880082346886332E-2</v>
      </c>
      <c r="K25" s="14">
        <v>-1.1611030478955016E-2</v>
      </c>
      <c r="L25" s="14">
        <v>4.0889526542324264E-2</v>
      </c>
      <c r="M25" s="14">
        <v>3.8932948810382055E-2</v>
      </c>
      <c r="N25" s="14">
        <v>8.7662337662337518E-3</v>
      </c>
      <c r="O25" s="14">
        <v>1.4781125639568026E-2</v>
      </c>
    </row>
    <row r="26" spans="1:15" s="3" customFormat="1" x14ac:dyDescent="0.2">
      <c r="A26" s="1"/>
      <c r="B26" s="4">
        <v>34972</v>
      </c>
      <c r="C26" s="14">
        <v>2.0652173913043421E-2</v>
      </c>
      <c r="D26" s="14">
        <v>1.7361111111111112E-2</v>
      </c>
      <c r="E26" s="14">
        <v>2.5125628140703491E-2</v>
      </c>
      <c r="F26" s="14">
        <v>-2.4213075060532168E-3</v>
      </c>
      <c r="G26" s="14">
        <v>4.7594677584442149E-2</v>
      </c>
      <c r="H26" s="14">
        <v>1.1185682326621883E-2</v>
      </c>
      <c r="I26" s="14">
        <v>-1.8248175182481361E-3</v>
      </c>
      <c r="J26" s="14">
        <v>1.2481278082875686E-2</v>
      </c>
      <c r="K26" s="14">
        <v>-8.8105726872247415E-3</v>
      </c>
      <c r="L26" s="14">
        <v>2.0675396278428226E-3</v>
      </c>
      <c r="M26" s="14">
        <v>5.7078417765440648E-2</v>
      </c>
      <c r="N26" s="14">
        <v>2.0920502092050278E-2</v>
      </c>
      <c r="O26" s="14">
        <v>2.9691876750700341E-2</v>
      </c>
    </row>
    <row r="27" spans="1:15" s="3" customFormat="1" x14ac:dyDescent="0.2">
      <c r="A27" s="1"/>
      <c r="B27" s="4">
        <v>35003</v>
      </c>
      <c r="C27" s="14">
        <v>7.9872204472842684E-3</v>
      </c>
      <c r="D27" s="14">
        <v>-5.4607508532423252E-3</v>
      </c>
      <c r="E27" s="14">
        <v>-7.0028011204480297E-4</v>
      </c>
      <c r="F27" s="14">
        <v>-2.2653721682847985E-2</v>
      </c>
      <c r="G27" s="14">
        <v>9.7703957010258548E-3</v>
      </c>
      <c r="H27" s="14">
        <v>1.4380530973451216E-2</v>
      </c>
      <c r="I27" s="14">
        <v>5.4844606946982373E-3</v>
      </c>
      <c r="J27" s="14">
        <v>-3.5502958579881776E-2</v>
      </c>
      <c r="K27" s="14">
        <v>-3.9999999999999938E-2</v>
      </c>
      <c r="L27" s="14">
        <v>-8.665749656121044E-2</v>
      </c>
      <c r="M27" s="14">
        <v>-2.5603151157065407E-2</v>
      </c>
      <c r="N27" s="14">
        <v>8.1967213114753461E-3</v>
      </c>
      <c r="O27" s="14">
        <v>-3.2644178454842292E-2</v>
      </c>
    </row>
    <row r="28" spans="1:15" s="3" customFormat="1" x14ac:dyDescent="0.2">
      <c r="A28" s="1"/>
      <c r="B28" s="4">
        <v>35033</v>
      </c>
      <c r="C28" s="14">
        <v>2.8526148969889208E-2</v>
      </c>
      <c r="D28" s="14">
        <v>4.4612216884008259E-2</v>
      </c>
      <c r="E28" s="14">
        <v>6.3069376313945238E-3</v>
      </c>
      <c r="F28" s="14">
        <v>1.1589403973509981E-2</v>
      </c>
      <c r="G28" s="14">
        <v>2.2012578616352117E-2</v>
      </c>
      <c r="H28" s="14">
        <v>1.6357688113413343E-2</v>
      </c>
      <c r="I28" s="14">
        <v>5.4545454545455001E-3</v>
      </c>
      <c r="J28" s="14">
        <v>5.6237218813906004E-2</v>
      </c>
      <c r="K28" s="14">
        <v>-5.2469135802469112E-2</v>
      </c>
      <c r="L28" s="14">
        <v>5.6475903614457826E-2</v>
      </c>
      <c r="M28" s="14">
        <v>6.7374094660602998E-2</v>
      </c>
      <c r="N28" s="14">
        <v>2.7204502814258943E-2</v>
      </c>
      <c r="O28" s="14">
        <v>6.0742407199100013E-2</v>
      </c>
    </row>
    <row r="29" spans="1:15" s="3" customFormat="1" x14ac:dyDescent="0.2">
      <c r="A29" s="1"/>
      <c r="B29" s="4">
        <v>35064</v>
      </c>
      <c r="C29" s="14">
        <v>-3.7493579866461242E-2</v>
      </c>
      <c r="D29" s="14">
        <v>-5.7818659658344332E-2</v>
      </c>
      <c r="E29" s="14">
        <v>-4.3871866295264676E-2</v>
      </c>
      <c r="F29" s="14">
        <v>5.3191489361702156E-2</v>
      </c>
      <c r="G29" s="14">
        <v>3.1715976331361029E-2</v>
      </c>
      <c r="H29" s="14">
        <v>1.7167381974248941E-2</v>
      </c>
      <c r="I29" s="14">
        <v>2.7124773960216417E-3</v>
      </c>
      <c r="J29" s="14">
        <v>-4.9854791868344683E-2</v>
      </c>
      <c r="K29" s="14">
        <v>-2.4429967426710154E-2</v>
      </c>
      <c r="L29" s="14">
        <v>8.0541696364932205E-2</v>
      </c>
      <c r="M29" s="14">
        <v>-1.7831781600126283E-2</v>
      </c>
      <c r="N29" s="14">
        <v>-2.2831050228310501E-2</v>
      </c>
      <c r="O29" s="14">
        <v>-2.2269353128313796E-2</v>
      </c>
    </row>
    <row r="30" spans="1:15" s="3" customFormat="1" x14ac:dyDescent="0.2">
      <c r="A30" s="1"/>
      <c r="B30" s="4">
        <v>35095</v>
      </c>
      <c r="C30" s="14">
        <v>1.8676627534685051E-2</v>
      </c>
      <c r="D30" s="14">
        <v>2.1617852161785252E-2</v>
      </c>
      <c r="E30" s="14">
        <v>1.9664967225054595E-2</v>
      </c>
      <c r="F30" s="14">
        <v>-6.9930069930069817E-3</v>
      </c>
      <c r="G30" s="14">
        <v>1.0552879100711191E-2</v>
      </c>
      <c r="H30" s="14">
        <v>-5.2742616033756018E-3</v>
      </c>
      <c r="I30" s="14">
        <v>2.7051397655546562E-3</v>
      </c>
      <c r="J30" s="14">
        <v>3.667855323484475E-2</v>
      </c>
      <c r="K30" s="14">
        <v>7.5125208681135258E-2</v>
      </c>
      <c r="L30" s="14">
        <v>2.1767810026385229E-2</v>
      </c>
      <c r="M30" s="14">
        <v>4.6754498714653016E-2</v>
      </c>
      <c r="N30" s="14">
        <v>1.8691588785046773E-2</v>
      </c>
      <c r="O30" s="14">
        <v>1.9522776572668082E-2</v>
      </c>
    </row>
    <row r="31" spans="1:15" s="3" customFormat="1" x14ac:dyDescent="0.2">
      <c r="A31" s="1"/>
      <c r="B31" s="4">
        <v>35124</v>
      </c>
      <c r="C31" s="14">
        <v>-3.6668412781561176E-3</v>
      </c>
      <c r="D31" s="14">
        <v>1.2969283276450477E-2</v>
      </c>
      <c r="E31" s="14">
        <v>2.5000000000000102E-2</v>
      </c>
      <c r="F31" s="14">
        <v>-2.7386541471048621E-2</v>
      </c>
      <c r="G31" s="14">
        <v>-2.3155505107832076E-2</v>
      </c>
      <c r="H31" s="14">
        <v>-4.3478260869565237E-2</v>
      </c>
      <c r="I31" s="14">
        <v>-1.1690647482014458E-2</v>
      </c>
      <c r="J31" s="14">
        <v>3.1449631449631477E-2</v>
      </c>
      <c r="K31" s="14">
        <v>1.8633540372670822E-2</v>
      </c>
      <c r="L31" s="14">
        <v>3.8734667527437032E-2</v>
      </c>
      <c r="M31" s="14">
        <v>8.4420567920183744E-3</v>
      </c>
      <c r="N31" s="14">
        <v>-4.2813455657492528E-3</v>
      </c>
      <c r="O31" s="14">
        <v>1.4361702127659552E-2</v>
      </c>
    </row>
    <row r="32" spans="1:15" s="3" customFormat="1" x14ac:dyDescent="0.2">
      <c r="A32" s="1"/>
      <c r="B32" s="4">
        <v>35155</v>
      </c>
      <c r="C32" s="14">
        <v>-2.6288117770766118E-3</v>
      </c>
      <c r="D32" s="14">
        <v>1.4824797843665811E-2</v>
      </c>
      <c r="E32" s="14">
        <v>-3.4843205574913382E-3</v>
      </c>
      <c r="F32" s="14">
        <v>2.8157683024939779E-2</v>
      </c>
      <c r="G32" s="14">
        <v>-8.8310481059726362E-3</v>
      </c>
      <c r="H32" s="14">
        <v>-2.3281596452328059E-2</v>
      </c>
      <c r="I32" s="14">
        <v>-9.0991810737033347E-3</v>
      </c>
      <c r="J32" s="14">
        <v>-2.3820867079561693E-2</v>
      </c>
      <c r="K32" s="14">
        <v>-2.7439024390243993E-2</v>
      </c>
      <c r="L32" s="14">
        <v>7.8931013051584814E-2</v>
      </c>
      <c r="M32" s="14">
        <v>1.1872146118721477E-2</v>
      </c>
      <c r="N32" s="14">
        <v>-3.3783783783783608E-3</v>
      </c>
      <c r="O32" s="14">
        <v>2.7267960146827454E-2</v>
      </c>
    </row>
    <row r="33" spans="1:15" s="3" customFormat="1" x14ac:dyDescent="0.2">
      <c r="A33" s="1"/>
      <c r="B33" s="4">
        <v>35185</v>
      </c>
      <c r="C33" s="14">
        <v>1.8977332630469128E-2</v>
      </c>
      <c r="D33" s="14">
        <v>1.5936254980079695E-2</v>
      </c>
      <c r="E33" s="14">
        <v>3.4965034965034961E-2</v>
      </c>
      <c r="F33" s="14">
        <v>6.4162754303599384E-2</v>
      </c>
      <c r="G33" s="14">
        <v>-2.813599062133636E-2</v>
      </c>
      <c r="H33" s="14">
        <v>-1.9296254256526667E-2</v>
      </c>
      <c r="I33" s="14">
        <v>-7.3461891643709885E-3</v>
      </c>
      <c r="J33" s="14">
        <v>-0.32796486090775995</v>
      </c>
      <c r="K33" s="14">
        <v>-4.7021943573666708E-3</v>
      </c>
      <c r="L33" s="14">
        <v>6.9124423963133813E-2</v>
      </c>
      <c r="M33" s="14">
        <v>-3.5499398315282781E-2</v>
      </c>
      <c r="N33" s="14">
        <v>1.848998459167955E-2</v>
      </c>
      <c r="O33" s="14">
        <v>2.7565084226646386E-2</v>
      </c>
    </row>
    <row r="34" spans="1:15" s="3" customFormat="1" x14ac:dyDescent="0.2">
      <c r="A34" s="1"/>
      <c r="B34" s="4">
        <v>35216</v>
      </c>
      <c r="C34" s="14">
        <v>2.1727884117951273E-2</v>
      </c>
      <c r="D34" s="14">
        <v>1.6993464052287566E-2</v>
      </c>
      <c r="E34" s="14">
        <v>2.162162162162164E-2</v>
      </c>
      <c r="F34" s="14">
        <v>-3.6029411764705893E-2</v>
      </c>
      <c r="G34" s="14">
        <v>7.2376357056697549E-4</v>
      </c>
      <c r="H34" s="14">
        <v>-8.1018518518518844E-3</v>
      </c>
      <c r="I34" s="14">
        <v>-9.2506938020351197E-3</v>
      </c>
      <c r="J34" s="14">
        <v>-4.3572984749454414E-3</v>
      </c>
      <c r="K34" s="14">
        <v>1.1023622047243999E-2</v>
      </c>
      <c r="L34" s="14">
        <v>-1.4547413793103614E-2</v>
      </c>
      <c r="M34" s="14">
        <v>2.3237679351216387E-2</v>
      </c>
      <c r="N34" s="14">
        <v>2.0877458396369068E-2</v>
      </c>
      <c r="O34" s="14">
        <v>-4.9677098857434489E-4</v>
      </c>
    </row>
    <row r="35" spans="1:15" s="3" customFormat="1" x14ac:dyDescent="0.2">
      <c r="A35" s="1"/>
      <c r="B35" s="4">
        <v>35246</v>
      </c>
      <c r="C35" s="14">
        <v>7.0886075949367373E-3</v>
      </c>
      <c r="D35" s="14">
        <v>-7.7120822622107465E-3</v>
      </c>
      <c r="E35" s="14">
        <v>6.6137566137564724E-4</v>
      </c>
      <c r="F35" s="14">
        <v>1.7543859649122702E-2</v>
      </c>
      <c r="G35" s="14">
        <v>1.5429122468659608E-2</v>
      </c>
      <c r="H35" s="14">
        <v>1.0501750291715269E-2</v>
      </c>
      <c r="I35" s="14">
        <v>8.4033613445378009E-3</v>
      </c>
      <c r="J35" s="14">
        <v>-7.2210065645514229E-2</v>
      </c>
      <c r="K35" s="14">
        <v>1.5576323987539992E-3</v>
      </c>
      <c r="L35" s="14">
        <v>2.186987424822455E-3</v>
      </c>
      <c r="M35" s="14">
        <v>1.4631915866483889E-2</v>
      </c>
      <c r="N35" s="14">
        <v>-0.66449318316538231</v>
      </c>
      <c r="O35" s="14">
        <v>-1.043737574552688E-2</v>
      </c>
    </row>
    <row r="36" spans="1:15" s="3" customFormat="1" x14ac:dyDescent="0.2">
      <c r="A36" s="1"/>
      <c r="B36" s="4">
        <v>35277</v>
      </c>
      <c r="C36" s="14">
        <v>-3.0668677727501228E-2</v>
      </c>
      <c r="D36" s="14">
        <v>-3.497409326424876E-2</v>
      </c>
      <c r="E36" s="14">
        <v>-3.3046926635822864E-2</v>
      </c>
      <c r="F36" s="14">
        <v>-4.947526236881547E-2</v>
      </c>
      <c r="G36" s="14">
        <v>-4.3684710351377096E-2</v>
      </c>
      <c r="H36" s="14">
        <v>-5.7736720554271287E-3</v>
      </c>
      <c r="I36" s="14">
        <v>-1.8518518518518122E-3</v>
      </c>
      <c r="J36" s="14">
        <v>-4.7955974842767389E-2</v>
      </c>
      <c r="K36" s="14">
        <v>-1.2441679626749622E-2</v>
      </c>
      <c r="L36" s="14">
        <v>-5.5100927441353052E-2</v>
      </c>
      <c r="M36" s="14">
        <v>-2.1781583295778919E-2</v>
      </c>
      <c r="N36" s="14">
        <v>-2.9151943462897532E-2</v>
      </c>
      <c r="O36" s="14">
        <v>-5.0728277247614161E-2</v>
      </c>
    </row>
    <row r="37" spans="1:15" s="3" customFormat="1" x14ac:dyDescent="0.2">
      <c r="A37" s="1"/>
      <c r="B37" s="4">
        <v>35308</v>
      </c>
      <c r="C37" s="14">
        <v>8.2987551867219986E-3</v>
      </c>
      <c r="D37" s="14">
        <v>2.6174496644295341E-2</v>
      </c>
      <c r="E37" s="14">
        <v>2.3923444976076531E-2</v>
      </c>
      <c r="F37" s="14">
        <v>-3.7854889589905391E-2</v>
      </c>
      <c r="G37" s="14">
        <v>2.4826216484602807E-4</v>
      </c>
      <c r="H37" s="14">
        <v>-1.393728222996527E-2</v>
      </c>
      <c r="I37" s="14">
        <v>-5.5658627087198974E-3</v>
      </c>
      <c r="J37" s="14">
        <v>3.5507844756399794E-2</v>
      </c>
      <c r="K37" s="14">
        <v>1.5748031496062656E-3</v>
      </c>
      <c r="L37" s="14">
        <v>6.3510392609699845E-2</v>
      </c>
      <c r="M37" s="14">
        <v>2.9791154791154753E-2</v>
      </c>
      <c r="N37" s="14">
        <v>8.1892629663330163E-3</v>
      </c>
      <c r="O37" s="14">
        <v>3.8624338624338644E-2</v>
      </c>
    </row>
    <row r="38" spans="1:15" s="3" customFormat="1" x14ac:dyDescent="0.2">
      <c r="A38" s="1"/>
      <c r="B38" s="4">
        <v>35338</v>
      </c>
      <c r="C38" s="14">
        <v>4.9897119341563725E-2</v>
      </c>
      <c r="D38" s="14">
        <v>3.204708960104645E-2</v>
      </c>
      <c r="E38" s="14">
        <v>4.0720961281709024E-2</v>
      </c>
      <c r="F38" s="14">
        <v>2.2950819672131095E-2</v>
      </c>
      <c r="G38" s="14">
        <v>1.8118639861007792E-2</v>
      </c>
      <c r="H38" s="14">
        <v>1.8845700824499427E-2</v>
      </c>
      <c r="I38" s="14">
        <v>0</v>
      </c>
      <c r="J38" s="14">
        <v>2.7113237639553416E-2</v>
      </c>
      <c r="K38" s="14">
        <v>0</v>
      </c>
      <c r="L38" s="14">
        <v>3.7459283387622021E-2</v>
      </c>
      <c r="M38" s="14">
        <v>6.6358484938860762E-2</v>
      </c>
      <c r="N38" s="14">
        <v>4.7833935018050645E-2</v>
      </c>
      <c r="O38" s="14">
        <v>4.2791645440652053E-2</v>
      </c>
    </row>
    <row r="39" spans="1:15" s="3" customFormat="1" x14ac:dyDescent="0.2">
      <c r="A39" s="1"/>
      <c r="B39" s="4">
        <v>35369</v>
      </c>
      <c r="C39" s="14">
        <v>3.8216560509554194E-2</v>
      </c>
      <c r="D39" s="14">
        <v>1.6476552598225475E-2</v>
      </c>
      <c r="E39" s="14">
        <v>-4.4900577293136802E-3</v>
      </c>
      <c r="F39" s="14">
        <v>-6.4102564102564152E-2</v>
      </c>
      <c r="G39" s="14">
        <v>4.1930765480253505E-2</v>
      </c>
      <c r="H39" s="14">
        <v>2.7745664739884417E-2</v>
      </c>
      <c r="I39" s="14">
        <v>1.3059701492537365E-2</v>
      </c>
      <c r="J39" s="14">
        <v>-4.6583850931677401E-3</v>
      </c>
      <c r="K39" s="14">
        <v>3.1446540880502474E-3</v>
      </c>
      <c r="L39" s="14">
        <v>0.11145996860282588</v>
      </c>
      <c r="M39" s="14">
        <v>6.3347783526779486E-2</v>
      </c>
      <c r="N39" s="14">
        <v>3.6175710594315236E-2</v>
      </c>
      <c r="O39" s="14">
        <v>1.563263312164144E-2</v>
      </c>
    </row>
    <row r="40" spans="1:15" s="3" customFormat="1" x14ac:dyDescent="0.2">
      <c r="A40" s="1"/>
      <c r="B40" s="4">
        <v>35399</v>
      </c>
      <c r="C40" s="14">
        <v>7.5979235488437907E-2</v>
      </c>
      <c r="D40" s="14">
        <v>5.6733167082294277E-2</v>
      </c>
      <c r="E40" s="14">
        <v>6.6365979381443257E-2</v>
      </c>
      <c r="F40" s="14">
        <v>2.482876712328775E-2</v>
      </c>
      <c r="G40" s="14">
        <v>4.7028544688816051E-2</v>
      </c>
      <c r="H40" s="14">
        <v>2.4746906636670486E-2</v>
      </c>
      <c r="I40" s="14">
        <v>1.0128913443830517E-2</v>
      </c>
      <c r="J40" s="14">
        <v>2.8081123244929753E-2</v>
      </c>
      <c r="K40" s="14">
        <v>7.8369905956112859E-2</v>
      </c>
      <c r="L40" s="14">
        <v>4.048964218455741E-2</v>
      </c>
      <c r="M40" s="14">
        <v>8.5875854813256186E-2</v>
      </c>
      <c r="N40" s="14">
        <v>7.564422277639235E-2</v>
      </c>
      <c r="O40" s="14">
        <v>5.3872053872053745E-2</v>
      </c>
    </row>
    <row r="41" spans="1:15" s="3" customFormat="1" x14ac:dyDescent="0.2">
      <c r="A41" s="1"/>
      <c r="B41" s="4">
        <v>35430</v>
      </c>
      <c r="C41" s="14">
        <v>-0.12149122807017541</v>
      </c>
      <c r="D41" s="14">
        <v>-0.12743362831858399</v>
      </c>
      <c r="E41" s="14">
        <v>-0.11419939577039277</v>
      </c>
      <c r="F41" s="14">
        <v>-4.5948203842940745E-2</v>
      </c>
      <c r="G41" s="14">
        <v>-1.8994413407821261E-2</v>
      </c>
      <c r="H41" s="14">
        <v>-3.5126234906695968E-2</v>
      </c>
      <c r="I41" s="14">
        <v>-1.0938924339106745E-2</v>
      </c>
      <c r="J41" s="14">
        <v>-0.19271623672230648</v>
      </c>
      <c r="K41" s="14">
        <v>9.5930232558139553E-2</v>
      </c>
      <c r="L41" s="14">
        <v>-1.6742081447963846E-2</v>
      </c>
      <c r="M41" s="14">
        <v>-7.2423398328690852E-2</v>
      </c>
      <c r="N41" s="14">
        <v>-0.10278207109737249</v>
      </c>
      <c r="O41" s="14">
        <v>-4.1989958922866187E-2</v>
      </c>
    </row>
    <row r="42" spans="1:15" s="3" customFormat="1" x14ac:dyDescent="0.2">
      <c r="A42" s="1"/>
      <c r="B42" s="4">
        <v>35461</v>
      </c>
      <c r="C42" s="14">
        <v>4.8926610084872708E-2</v>
      </c>
      <c r="D42" s="14">
        <v>3.1778228532792469E-2</v>
      </c>
      <c r="E42" s="14">
        <v>4.0245566166439282E-2</v>
      </c>
      <c r="F42" s="14">
        <v>-7.5306479859894873E-2</v>
      </c>
      <c r="G42" s="14">
        <v>3.0068337129840556E-2</v>
      </c>
      <c r="H42" s="14">
        <v>-9.1012514220705411E-3</v>
      </c>
      <c r="I42" s="14">
        <v>9.216589861752593E-4</v>
      </c>
      <c r="J42" s="14">
        <v>3.1015037593984968E-2</v>
      </c>
      <c r="K42" s="14">
        <v>-2.6525198938991477E-3</v>
      </c>
      <c r="L42" s="14">
        <v>5.5683387022549512E-2</v>
      </c>
      <c r="M42" s="14">
        <v>5.9537798668233478E-2</v>
      </c>
      <c r="N42" s="14">
        <v>4.7372954349698439E-2</v>
      </c>
      <c r="O42" s="14">
        <v>2.6679371129109036E-2</v>
      </c>
    </row>
    <row r="43" spans="1:15" s="3" customFormat="1" x14ac:dyDescent="0.2">
      <c r="A43" s="1"/>
      <c r="B43" s="4">
        <v>35489</v>
      </c>
      <c r="C43" s="14">
        <v>9.0433127082340647E-3</v>
      </c>
      <c r="D43" s="14">
        <v>2.0969855832241053E-2</v>
      </c>
      <c r="E43" s="14">
        <v>-1.3114754098360376E-3</v>
      </c>
      <c r="F43" s="14">
        <v>2.6515151515151453E-2</v>
      </c>
      <c r="G43" s="14">
        <v>1.6585581601061477E-2</v>
      </c>
      <c r="H43" s="14">
        <v>-3.444316877152828E-3</v>
      </c>
      <c r="I43" s="14">
        <v>-1.841620626151137E-3</v>
      </c>
      <c r="J43" s="14">
        <v>-2.0054694621695589E-2</v>
      </c>
      <c r="K43" s="14">
        <v>2.7925531914893612E-2</v>
      </c>
      <c r="L43" s="14">
        <v>-0.10854402789886669</v>
      </c>
      <c r="M43" s="14">
        <v>2.1934688847812706E-2</v>
      </c>
      <c r="N43" s="14">
        <v>1.0690789473684275E-2</v>
      </c>
      <c r="O43" s="14">
        <v>1.7633410672853782E-2</v>
      </c>
    </row>
    <row r="44" spans="1:15" s="3" customFormat="1" x14ac:dyDescent="0.2">
      <c r="A44" s="1"/>
      <c r="B44" s="4">
        <v>35520</v>
      </c>
      <c r="C44" s="14">
        <v>-5.1415094339622637E-2</v>
      </c>
      <c r="D44" s="14">
        <v>-3.3376123234916531E-2</v>
      </c>
      <c r="E44" s="14">
        <v>-8.5357846355875906E-3</v>
      </c>
      <c r="F44" s="14">
        <v>-1.6605166051660489E-2</v>
      </c>
      <c r="G44" s="14">
        <v>-5.3078094409397383E-2</v>
      </c>
      <c r="H44" s="14">
        <v>-2.7649769585253278E-2</v>
      </c>
      <c r="I44" s="14">
        <v>-1.4760147601476028E-2</v>
      </c>
      <c r="J44" s="14">
        <v>-8.0930232558139456E-2</v>
      </c>
      <c r="K44" s="14">
        <v>-1.4230271668822809E-2</v>
      </c>
      <c r="L44" s="14">
        <v>7.0904645476772762E-2</v>
      </c>
      <c r="M44" s="14">
        <v>-7.5003014590618575E-2</v>
      </c>
      <c r="N44" s="14">
        <v>-5.0447518307567205E-2</v>
      </c>
      <c r="O44" s="14">
        <v>-1.3679890560875384E-2</v>
      </c>
    </row>
    <row r="45" spans="1:15" s="3" customFormat="1" x14ac:dyDescent="0.2">
      <c r="A45" s="1"/>
      <c r="B45" s="4">
        <v>35550</v>
      </c>
      <c r="C45" s="14">
        <v>5.0223769269020467E-2</v>
      </c>
      <c r="D45" s="14">
        <v>3.4528552456839279E-2</v>
      </c>
      <c r="E45" s="14">
        <v>3.3774834437086072E-2</v>
      </c>
      <c r="F45" s="14">
        <v>4.8780487804878009E-2</v>
      </c>
      <c r="G45" s="14">
        <v>9.8782448885825803E-3</v>
      </c>
      <c r="H45" s="14">
        <v>1.4218009478672891E-2</v>
      </c>
      <c r="I45" s="14">
        <v>1.0299625468164908E-2</v>
      </c>
      <c r="J45" s="14">
        <v>-0.16396761133603246</v>
      </c>
      <c r="K45" s="14">
        <v>5.905511811023624E-2</v>
      </c>
      <c r="L45" s="14">
        <v>-6.8949771689497785E-2</v>
      </c>
      <c r="M45" s="14">
        <v>3.2459913961673768E-2</v>
      </c>
      <c r="N45" s="14">
        <v>4.7129391602399373E-2</v>
      </c>
      <c r="O45" s="14">
        <v>3.698566805362908E-2</v>
      </c>
    </row>
    <row r="46" spans="1:15" s="3" customFormat="1" x14ac:dyDescent="0.2">
      <c r="A46" s="1"/>
      <c r="B46" s="4">
        <v>35581</v>
      </c>
      <c r="C46" s="14">
        <v>6.4393939393939365E-2</v>
      </c>
      <c r="D46" s="14">
        <v>6.6110397946084684E-2</v>
      </c>
      <c r="E46" s="14">
        <v>6.6623959000640665E-2</v>
      </c>
      <c r="F46" s="14">
        <v>0.11627906976744193</v>
      </c>
      <c r="G46" s="14">
        <v>6.5741583257506842E-2</v>
      </c>
      <c r="H46" s="14">
        <v>3.5046728971961866E-3</v>
      </c>
      <c r="I46" s="14">
        <v>4.6339202965707997E-3</v>
      </c>
      <c r="J46" s="14">
        <v>9.6852300242130845E-2</v>
      </c>
      <c r="K46" s="14">
        <v>5.2044609665427496E-2</v>
      </c>
      <c r="L46" s="14">
        <v>0.13879352623835223</v>
      </c>
      <c r="M46" s="14">
        <v>3.2828282828282755E-2</v>
      </c>
      <c r="N46" s="14">
        <v>6.2193126022913235E-2</v>
      </c>
      <c r="O46" s="14">
        <v>5.6620597414177583E-2</v>
      </c>
    </row>
    <row r="47" spans="1:15" s="3" customFormat="1" x14ac:dyDescent="0.2">
      <c r="A47" s="1"/>
      <c r="B47" s="4">
        <v>35611</v>
      </c>
      <c r="C47" s="14">
        <v>3.2028469750889785E-2</v>
      </c>
      <c r="D47" s="14">
        <v>2.8296207104154269E-2</v>
      </c>
      <c r="E47" s="14">
        <v>3.8438438438438256E-2</v>
      </c>
      <c r="F47" s="14">
        <v>5.448717948717946E-2</v>
      </c>
      <c r="G47" s="14">
        <v>3.0522945570971179E-2</v>
      </c>
      <c r="H47" s="14">
        <v>1.6298020954598438E-2</v>
      </c>
      <c r="I47" s="14">
        <v>6.4575645756457826E-3</v>
      </c>
      <c r="J47" s="14">
        <v>2.428256070640164E-2</v>
      </c>
      <c r="K47" s="14">
        <v>1.2956419316843278E-2</v>
      </c>
      <c r="L47" s="14">
        <v>6.5460809646856133E-2</v>
      </c>
      <c r="M47" s="14">
        <v>5.3178484107579568E-2</v>
      </c>
      <c r="N47" s="14">
        <v>3.0046224961479243E-2</v>
      </c>
      <c r="O47" s="14">
        <v>2.7848101265822638E-2</v>
      </c>
    </row>
    <row r="48" spans="1:15" s="3" customFormat="1" x14ac:dyDescent="0.2">
      <c r="A48" s="1"/>
      <c r="B48" s="4">
        <v>35642</v>
      </c>
      <c r="C48" s="14">
        <v>7.5862068965517143E-2</v>
      </c>
      <c r="D48" s="14">
        <v>8.6065573770491732E-2</v>
      </c>
      <c r="E48" s="14">
        <v>6.4777327935222728E-2</v>
      </c>
      <c r="F48" s="14">
        <v>2.6595744680851036E-2</v>
      </c>
      <c r="G48" s="14">
        <v>2.3819386909693426E-2</v>
      </c>
      <c r="H48" s="14">
        <v>5.0400916380297762E-2</v>
      </c>
      <c r="I48" s="14">
        <v>1.2832263978001884E-2</v>
      </c>
      <c r="J48" s="14">
        <v>4.8491379310344945E-2</v>
      </c>
      <c r="K48" s="14">
        <v>7.4418604651162859E-2</v>
      </c>
      <c r="L48" s="14">
        <v>0.1572352465642684</v>
      </c>
      <c r="M48" s="14">
        <v>0.11201392919326761</v>
      </c>
      <c r="N48" s="14">
        <v>7.404637247569186E-2</v>
      </c>
      <c r="O48" s="14">
        <v>7.1428571428571508E-2</v>
      </c>
    </row>
    <row r="49" spans="1:15" s="3" customFormat="1" x14ac:dyDescent="0.2">
      <c r="A49" s="1"/>
      <c r="B49" s="4">
        <v>35673</v>
      </c>
      <c r="C49" s="14">
        <v>-3.6057692307692249E-2</v>
      </c>
      <c r="D49" s="14">
        <v>-2.210242587601079E-2</v>
      </c>
      <c r="E49" s="14">
        <v>-3.9652362846279217E-2</v>
      </c>
      <c r="F49" s="14">
        <v>-0.11769059955588453</v>
      </c>
      <c r="G49" s="14">
        <v>-4.4911996763099309E-2</v>
      </c>
      <c r="H49" s="14">
        <v>-3.0534351145038097E-2</v>
      </c>
      <c r="I49" s="14">
        <v>-6.3348416289593012E-3</v>
      </c>
      <c r="J49" s="14">
        <v>-7.1942446043165758E-3</v>
      </c>
      <c r="K49" s="14">
        <v>1.1904761904761843E-2</v>
      </c>
      <c r="L49" s="14">
        <v>7.0904645476772526E-2</v>
      </c>
      <c r="M49" s="14">
        <v>-5.6889352818371632E-2</v>
      </c>
      <c r="N49" s="14">
        <v>-3.6908077994429044E-2</v>
      </c>
      <c r="O49" s="14">
        <v>-1.7624521072796967E-2</v>
      </c>
    </row>
    <row r="50" spans="1:15" s="3" customFormat="1" x14ac:dyDescent="0.2">
      <c r="A50" s="1"/>
      <c r="B50" s="4">
        <v>35703</v>
      </c>
      <c r="C50" s="14">
        <v>4.2394014962593492E-2</v>
      </c>
      <c r="D50" s="14">
        <v>3.9140022050716691E-2</v>
      </c>
      <c r="E50" s="14">
        <v>3.1108597285067915E-2</v>
      </c>
      <c r="F50" s="14">
        <v>1.1744966442953067E-2</v>
      </c>
      <c r="G50" s="14">
        <v>8.8116924380427952E-2</v>
      </c>
      <c r="H50" s="14">
        <v>1.9122609673790768E-2</v>
      </c>
      <c r="I50" s="14">
        <v>-1.8214936247722745E-3</v>
      </c>
      <c r="J50" s="14">
        <v>7.9710144927536183E-2</v>
      </c>
      <c r="K50" s="14">
        <v>-5.6684491978609558E-2</v>
      </c>
      <c r="L50" s="14">
        <v>0.10437051532941942</v>
      </c>
      <c r="M50" s="14">
        <v>6.4194798007747605E-2</v>
      </c>
      <c r="N50" s="14">
        <v>4.1214750542299367E-2</v>
      </c>
      <c r="O50" s="14">
        <v>4.1731669266770681E-2</v>
      </c>
    </row>
    <row r="51" spans="1:15" s="3" customFormat="1" x14ac:dyDescent="0.2">
      <c r="A51" s="1"/>
      <c r="B51" s="4">
        <v>35734</v>
      </c>
      <c r="C51" s="14">
        <v>-2.0334928229665133E-2</v>
      </c>
      <c r="D51" s="14">
        <v>-3.6074270557029157E-2</v>
      </c>
      <c r="E51" s="14">
        <v>-4.0043883708173363E-2</v>
      </c>
      <c r="F51" s="14">
        <v>-7.9601990049751312E-2</v>
      </c>
      <c r="G51" s="14">
        <v>2.7253260657971686E-3</v>
      </c>
      <c r="H51" s="14">
        <v>1.7660044150110389E-2</v>
      </c>
      <c r="I51" s="14">
        <v>5.4744525547445709E-3</v>
      </c>
      <c r="J51" s="14">
        <v>-4.9856184084371966E-2</v>
      </c>
      <c r="K51" s="14">
        <v>-0.24036281179138322</v>
      </c>
      <c r="L51" s="14">
        <v>3.8098050797401035E-2</v>
      </c>
      <c r="M51" s="14">
        <v>-1.3312532501300062E-2</v>
      </c>
      <c r="N51" s="14">
        <v>-2.0138888888888828E-2</v>
      </c>
      <c r="O51" s="14">
        <v>-4.3055035567203241E-2</v>
      </c>
    </row>
    <row r="52" spans="1:15" s="3" customFormat="1" x14ac:dyDescent="0.2">
      <c r="A52" s="1"/>
      <c r="B52" s="4">
        <v>35764</v>
      </c>
      <c r="C52" s="14">
        <v>3.6223036223036242E-2</v>
      </c>
      <c r="D52" s="14">
        <v>3.2471106219042367E-2</v>
      </c>
      <c r="E52" s="14">
        <v>1.028571428571427E-2</v>
      </c>
      <c r="F52" s="14">
        <v>-3.6036036036035911E-2</v>
      </c>
      <c r="G52" s="14">
        <v>6.0570762958648751E-2</v>
      </c>
      <c r="H52" s="14">
        <v>1.0845986984815387E-3</v>
      </c>
      <c r="I52" s="14">
        <v>-1.8148820326679988E-3</v>
      </c>
      <c r="J52" s="14">
        <v>8.0726538849646891E-3</v>
      </c>
      <c r="K52" s="14">
        <v>-9.7014925373134248E-2</v>
      </c>
      <c r="L52" s="14">
        <v>-0.12233285917496436</v>
      </c>
      <c r="M52" s="14">
        <v>3.3835775271423986E-2</v>
      </c>
      <c r="N52" s="14">
        <v>3.6853295535081466E-2</v>
      </c>
      <c r="O52" s="14">
        <v>2.1517996870109572E-2</v>
      </c>
    </row>
    <row r="53" spans="1:15" s="3" customFormat="1" x14ac:dyDescent="0.2">
      <c r="A53" s="1"/>
      <c r="B53" s="4">
        <v>35795</v>
      </c>
      <c r="C53" s="14">
        <v>-7.1484681853888454E-2</v>
      </c>
      <c r="D53" s="14">
        <v>-0.18976545842217485</v>
      </c>
      <c r="E53" s="14">
        <v>-0.15214932126696831</v>
      </c>
      <c r="F53" s="14">
        <v>-6.3551401869158849E-2</v>
      </c>
      <c r="G53" s="14">
        <v>-0.10525352370492402</v>
      </c>
      <c r="H53" s="14">
        <v>3.2502708559045894E-3</v>
      </c>
      <c r="I53" s="14">
        <v>9.0909090909088968E-4</v>
      </c>
      <c r="J53" s="14">
        <v>1.501501501501505E-2</v>
      </c>
      <c r="K53" s="14">
        <v>-4.1322314049586771E-2</v>
      </c>
      <c r="L53" s="14">
        <v>-1.2965964343598008E-2</v>
      </c>
      <c r="M53" s="14">
        <v>-2.1411092985318049E-2</v>
      </c>
      <c r="N53" s="14">
        <v>-5.7416267942583719E-2</v>
      </c>
      <c r="O53" s="14">
        <v>-2.3362696284948407E-2</v>
      </c>
    </row>
    <row r="54" spans="1:15" s="3" customFormat="1" x14ac:dyDescent="0.2">
      <c r="A54" s="1"/>
      <c r="B54" s="4">
        <v>35826</v>
      </c>
      <c r="C54" s="14">
        <v>3.8071065989847656E-3</v>
      </c>
      <c r="D54" s="14">
        <v>-1.9736842105263904E-3</v>
      </c>
      <c r="E54" s="14">
        <v>8.6724482988659625E-3</v>
      </c>
      <c r="F54" s="14">
        <v>6.3872255489021826E-2</v>
      </c>
      <c r="G54" s="14">
        <v>3.8666121112929636E-2</v>
      </c>
      <c r="H54" s="14">
        <v>6.4794816414687362E-3</v>
      </c>
      <c r="I54" s="14">
        <v>4.5413260672116902E-3</v>
      </c>
      <c r="J54" s="14">
        <v>-8.9743589743589758E-2</v>
      </c>
      <c r="K54" s="14">
        <v>-0.21896551724137936</v>
      </c>
      <c r="L54" s="14">
        <v>-0.14154351395730713</v>
      </c>
      <c r="M54" s="14">
        <v>-1.0731402375494907E-2</v>
      </c>
      <c r="N54" s="14">
        <v>3.6258158085568479E-3</v>
      </c>
      <c r="O54" s="14">
        <v>6.2745098039215744E-3</v>
      </c>
    </row>
    <row r="55" spans="1:15" s="3" customFormat="1" x14ac:dyDescent="0.2">
      <c r="A55" s="1"/>
      <c r="B55" s="4">
        <v>35854</v>
      </c>
      <c r="C55" s="14">
        <v>6.4475347661188412E-2</v>
      </c>
      <c r="D55" s="14">
        <v>7.712590639419907E-2</v>
      </c>
      <c r="E55" s="14">
        <v>5.8862433862433894E-2</v>
      </c>
      <c r="F55" s="14">
        <v>-1.5947467166979354E-2</v>
      </c>
      <c r="G55" s="14">
        <v>5.3574945834154002E-2</v>
      </c>
      <c r="H55" s="14">
        <v>-7.5107296137339359E-3</v>
      </c>
      <c r="I55" s="14">
        <v>-2.7124773960216417E-3</v>
      </c>
      <c r="J55" s="14">
        <v>5.9588299024918627E-2</v>
      </c>
      <c r="K55" s="14">
        <v>0.30242825607064017</v>
      </c>
      <c r="L55" s="14">
        <v>7.192042846212697E-2</v>
      </c>
      <c r="M55" s="14">
        <v>8.7625065824118026E-2</v>
      </c>
      <c r="N55" s="14">
        <v>6.6473988439306478E-2</v>
      </c>
      <c r="O55" s="14">
        <v>6.5081839438815348E-2</v>
      </c>
    </row>
    <row r="56" spans="1:15" s="3" customFormat="1" x14ac:dyDescent="0.2">
      <c r="A56" s="1"/>
      <c r="B56" s="4">
        <v>35885</v>
      </c>
      <c r="C56" s="14">
        <v>3.246239113222487E-2</v>
      </c>
      <c r="D56" s="14">
        <v>3.916768665850677E-2</v>
      </c>
      <c r="E56" s="14">
        <v>3.1855090568394626E-2</v>
      </c>
      <c r="F56" s="14">
        <v>-6.3870352716873205E-2</v>
      </c>
      <c r="G56" s="14">
        <v>6.8050102822957564E-2</v>
      </c>
      <c r="H56" s="14">
        <v>-1.0810810810810773E-2</v>
      </c>
      <c r="I56" s="14">
        <v>-1.8132366273799954E-3</v>
      </c>
      <c r="J56" s="14">
        <v>4.0899795501022532E-2</v>
      </c>
      <c r="K56" s="14">
        <v>-1.8644067796610223E-2</v>
      </c>
      <c r="L56" s="14">
        <v>7.4946466809421894E-2</v>
      </c>
      <c r="M56" s="14">
        <v>5.4323617701171674E-2</v>
      </c>
      <c r="N56" s="14">
        <v>3.1842818428184198E-2</v>
      </c>
      <c r="O56" s="14">
        <v>3.402854006586168E-2</v>
      </c>
    </row>
    <row r="57" spans="1:15" s="3" customFormat="1" x14ac:dyDescent="0.2">
      <c r="A57" s="1"/>
      <c r="B57" s="4">
        <v>35915</v>
      </c>
      <c r="C57" s="14">
        <v>-1.9171779141104565E-3</v>
      </c>
      <c r="D57" s="14">
        <v>-3.5335689045935641E-3</v>
      </c>
      <c r="E57" s="14">
        <v>4.2372881355932377E-3</v>
      </c>
      <c r="F57" s="14">
        <v>4.5824847250509275E-2</v>
      </c>
      <c r="G57" s="14">
        <v>-3.9033782601085185E-2</v>
      </c>
      <c r="H57" s="14">
        <v>1.0928961748633646E-3</v>
      </c>
      <c r="I57" s="14">
        <v>9.0826521344246716E-4</v>
      </c>
      <c r="J57" s="14">
        <v>-5.8939096267189312E-3</v>
      </c>
      <c r="K57" s="14">
        <v>-8.1174438687392006E-2</v>
      </c>
      <c r="L57" s="14">
        <v>2.2908366533864584E-2</v>
      </c>
      <c r="M57" s="14">
        <v>-7.7057310800881698E-2</v>
      </c>
      <c r="N57" s="14">
        <v>-5.2527905449770238E-3</v>
      </c>
      <c r="O57" s="14">
        <v>1.2031139419674446E-2</v>
      </c>
    </row>
    <row r="58" spans="1:15" s="3" customFormat="1" x14ac:dyDescent="0.2">
      <c r="A58" s="1"/>
      <c r="B58" s="4">
        <v>35946</v>
      </c>
      <c r="C58" s="14">
        <v>-8.4517864003072936E-3</v>
      </c>
      <c r="D58" s="14">
        <v>-2.1276595744680816E-2</v>
      </c>
      <c r="E58" s="14">
        <v>-3.6769138034960784E-2</v>
      </c>
      <c r="F58" s="14">
        <v>-3.1158714703018522E-2</v>
      </c>
      <c r="G58" s="14">
        <v>-1.2021857923497335E-2</v>
      </c>
      <c r="H58" s="14">
        <v>1.3100436681222816E-2</v>
      </c>
      <c r="I58" s="14">
        <v>1.8148820326678377E-3</v>
      </c>
      <c r="J58" s="14">
        <v>-3.2608695652173919E-2</v>
      </c>
      <c r="K58" s="14">
        <v>-0.11278195488721797</v>
      </c>
      <c r="L58" s="14">
        <v>-6.4264849074975663E-2</v>
      </c>
      <c r="M58" s="14">
        <v>-1.8708329186983876E-2</v>
      </c>
      <c r="N58" s="14">
        <v>-1.2541254125412508E-2</v>
      </c>
      <c r="O58" s="14">
        <v>-1.9930069930069939E-2</v>
      </c>
    </row>
    <row r="59" spans="1:15" s="3" customFormat="1" x14ac:dyDescent="0.2">
      <c r="A59" s="1"/>
      <c r="B59" s="4">
        <v>35976</v>
      </c>
      <c r="C59" s="14">
        <v>2.5571483920960873E-2</v>
      </c>
      <c r="D59" s="14">
        <v>-2.0531400966183562E-2</v>
      </c>
      <c r="E59" s="14">
        <v>7.5093867334168332E-3</v>
      </c>
      <c r="F59" s="14">
        <v>2.0100502512562382E-3</v>
      </c>
      <c r="G59" s="14">
        <v>7.3746312684364209E-4</v>
      </c>
      <c r="H59" s="14">
        <v>8.6206896551724206E-3</v>
      </c>
      <c r="I59" s="14">
        <v>0</v>
      </c>
      <c r="J59" s="14">
        <v>-1.3278855975485268E-2</v>
      </c>
      <c r="K59" s="14">
        <v>-0.13347457627118658</v>
      </c>
      <c r="L59" s="14">
        <v>-0.1304197016996185</v>
      </c>
      <c r="M59" s="14">
        <v>4.5634317006388807E-2</v>
      </c>
      <c r="N59" s="14">
        <v>5.5481283422459893E-2</v>
      </c>
      <c r="O59" s="14">
        <v>-1.1416339636104184E-2</v>
      </c>
    </row>
    <row r="60" spans="1:15" s="3" customFormat="1" x14ac:dyDescent="0.2">
      <c r="A60" s="1"/>
      <c r="B60" s="4">
        <v>36007</v>
      </c>
      <c r="C60" s="14">
        <v>3.4000755572345994E-3</v>
      </c>
      <c r="D60" s="14">
        <v>-3.6991368680641269E-2</v>
      </c>
      <c r="E60" s="14">
        <v>-5.031055900621121E-2</v>
      </c>
      <c r="F60" s="14">
        <v>2.5075225677031091E-2</v>
      </c>
      <c r="G60" s="14">
        <v>2.2291820191599129E-2</v>
      </c>
      <c r="H60" s="14">
        <v>-1.2820512820512926E-2</v>
      </c>
      <c r="I60" s="14">
        <v>-9.0579710144925597E-4</v>
      </c>
      <c r="J60" s="14">
        <v>-4.5548654244306368E-2</v>
      </c>
      <c r="K60" s="14">
        <v>-0.15403422982885084</v>
      </c>
      <c r="L60" s="14">
        <v>-0.22018348623853209</v>
      </c>
      <c r="M60" s="14">
        <v>3.2004655222579045E-3</v>
      </c>
      <c r="N60" s="14">
        <v>8.233058898036669E-3</v>
      </c>
      <c r="O60" s="14">
        <v>-2.9592204980151578E-2</v>
      </c>
    </row>
    <row r="61" spans="1:15" s="3" customFormat="1" x14ac:dyDescent="0.2">
      <c r="A61" s="1"/>
      <c r="B61" s="4">
        <v>36038</v>
      </c>
      <c r="C61" s="14">
        <v>-0.1298945783132531</v>
      </c>
      <c r="D61" s="14">
        <v>-0.14148527528809224</v>
      </c>
      <c r="E61" s="14">
        <v>-0.14323086984957484</v>
      </c>
      <c r="F61" s="14">
        <v>-0.10176125244618403</v>
      </c>
      <c r="G61" s="14">
        <v>-8.5240583888988947E-2</v>
      </c>
      <c r="H61" s="14">
        <v>4.3290043290044287E-3</v>
      </c>
      <c r="I61" s="14">
        <v>3.6264732547596685E-3</v>
      </c>
      <c r="J61" s="14">
        <v>-0.14208242950108466</v>
      </c>
      <c r="K61" s="14">
        <v>-0.17630057803468205</v>
      </c>
      <c r="L61" s="14">
        <v>-0.31662404092071605</v>
      </c>
      <c r="M61" s="14">
        <v>-0.22660479505027079</v>
      </c>
      <c r="N61" s="14">
        <v>-0.15452261306532658</v>
      </c>
      <c r="O61" s="14">
        <v>-0.12123465972480468</v>
      </c>
    </row>
    <row r="62" spans="1:15" s="3" customFormat="1" x14ac:dyDescent="0.2">
      <c r="A62" s="1"/>
      <c r="B62" s="4">
        <v>36068</v>
      </c>
      <c r="C62" s="14">
        <v>6.3608827347468741E-2</v>
      </c>
      <c r="D62" s="14">
        <v>3.8777032065622767E-2</v>
      </c>
      <c r="E62" s="14">
        <v>6.4885496183206076E-2</v>
      </c>
      <c r="F62" s="14">
        <v>1.0893246187363989E-2</v>
      </c>
      <c r="G62" s="14">
        <v>9.8896769109534974E-2</v>
      </c>
      <c r="H62" s="14">
        <v>2.9094827586206847E-2</v>
      </c>
      <c r="I62" s="14">
        <v>4.5167118337850684E-3</v>
      </c>
      <c r="J62" s="14">
        <v>2.7812895069532318E-2</v>
      </c>
      <c r="K62" s="14">
        <v>0.21403508771929819</v>
      </c>
      <c r="L62" s="14">
        <v>0.22380239520958084</v>
      </c>
      <c r="M62" s="14">
        <v>3.4375000000000003E-2</v>
      </c>
      <c r="N62" s="14">
        <v>4.5319465081723583E-2</v>
      </c>
      <c r="O62" s="14">
        <v>3.5971223021582642E-2</v>
      </c>
    </row>
    <row r="63" spans="1:15" s="3" customFormat="1" x14ac:dyDescent="0.2">
      <c r="A63" s="1"/>
      <c r="B63" s="4">
        <v>36099</v>
      </c>
      <c r="C63" s="14">
        <v>7.648494711147269E-2</v>
      </c>
      <c r="D63" s="14">
        <v>9.1888011486001384E-2</v>
      </c>
      <c r="E63" s="14">
        <v>2.652329749103937E-2</v>
      </c>
      <c r="F63" s="14">
        <v>8.6206896551724019E-2</v>
      </c>
      <c r="G63" s="14">
        <v>6.3105055575475133E-2</v>
      </c>
      <c r="H63" s="14">
        <v>-3.0366492146596952E-2</v>
      </c>
      <c r="I63" s="14">
        <v>-1.3489208633093556E-2</v>
      </c>
      <c r="J63" s="14">
        <v>5.7810578105780913E-2</v>
      </c>
      <c r="K63" s="14">
        <v>0.13583815028901741</v>
      </c>
      <c r="L63" s="14">
        <v>0.14556574923547394</v>
      </c>
      <c r="M63" s="14">
        <v>0.10030211480362551</v>
      </c>
      <c r="N63" s="14">
        <v>7.8180525941719939E-2</v>
      </c>
      <c r="O63" s="14">
        <v>6.4542483660130795E-2</v>
      </c>
    </row>
    <row r="64" spans="1:15" s="3" customFormat="1" x14ac:dyDescent="0.2">
      <c r="A64" s="1"/>
      <c r="B64" s="4">
        <v>36129</v>
      </c>
      <c r="C64" s="14">
        <v>6.3869992441421053E-2</v>
      </c>
      <c r="D64" s="14">
        <v>5.6541748849441117E-2</v>
      </c>
      <c r="E64" s="14">
        <v>5.2374301675977654E-2</v>
      </c>
      <c r="F64" s="14">
        <v>6.9444444444444545E-2</v>
      </c>
      <c r="G64" s="14">
        <v>3.8617200674536237E-2</v>
      </c>
      <c r="H64" s="14">
        <v>1.8358531317494594E-2</v>
      </c>
      <c r="I64" s="14">
        <v>2.7347310847766052E-3</v>
      </c>
      <c r="J64" s="14">
        <v>7.0930232558139683E-2</v>
      </c>
      <c r="K64" s="14">
        <v>3.053435114503808E-2</v>
      </c>
      <c r="L64" s="14">
        <v>-0.23812066203950877</v>
      </c>
      <c r="M64" s="14">
        <v>5.7331136738055996E-2</v>
      </c>
      <c r="N64" s="14">
        <v>6.723796967699415E-2</v>
      </c>
      <c r="O64" s="14">
        <v>4.1059094397544134E-2</v>
      </c>
    </row>
    <row r="65" spans="1:15" s="3" customFormat="1" x14ac:dyDescent="0.2">
      <c r="A65" s="1"/>
      <c r="B65" s="4">
        <v>36160</v>
      </c>
      <c r="C65" s="14">
        <v>-4.3339253996447683E-2</v>
      </c>
      <c r="D65" s="14">
        <v>-0.10765401369010581</v>
      </c>
      <c r="E65" s="14">
        <v>2.7869940278699396E-2</v>
      </c>
      <c r="F65" s="14">
        <v>4.8237476808905333E-2</v>
      </c>
      <c r="G65" s="14">
        <v>-1.0553661308653978E-2</v>
      </c>
      <c r="H65" s="14">
        <v>-1.48462354188758E-2</v>
      </c>
      <c r="I65" s="14">
        <v>-1.8181818181818118E-2</v>
      </c>
      <c r="J65" s="14">
        <v>-5.1031487513572268E-2</v>
      </c>
      <c r="K65" s="14">
        <v>-5.9259259259259206E-2</v>
      </c>
      <c r="L65" s="14">
        <v>1.4015416958654469E-2</v>
      </c>
      <c r="M65" s="14">
        <v>2.4514386620961868E-2</v>
      </c>
      <c r="N65" s="14">
        <v>-0.12106238418777027</v>
      </c>
      <c r="O65" s="14">
        <v>-2.3221525985993457E-2</v>
      </c>
    </row>
    <row r="66" spans="1:15" s="3" customFormat="1" x14ac:dyDescent="0.2">
      <c r="A66" s="1"/>
      <c r="B66" s="4">
        <v>36191</v>
      </c>
      <c r="C66" s="14">
        <v>1.0397326401782441E-2</v>
      </c>
      <c r="D66" s="14">
        <v>3.4867503486750843E-3</v>
      </c>
      <c r="E66" s="14">
        <v>1.6139444803098774E-2</v>
      </c>
      <c r="F66" s="14">
        <v>-7.9646017699114922E-3</v>
      </c>
      <c r="G66" s="14">
        <v>2.9865441417787991E-2</v>
      </c>
      <c r="H66" s="14">
        <v>9.6878363832077347E-3</v>
      </c>
      <c r="I66" s="14">
        <v>9.2592592592590612E-4</v>
      </c>
      <c r="J66" s="14">
        <v>1.1441647597253964E-2</v>
      </c>
      <c r="K66" s="14">
        <v>-0.11811023622047237</v>
      </c>
      <c r="L66" s="14">
        <v>-4.6302695231513466E-2</v>
      </c>
      <c r="M66" s="14">
        <v>1.8756970495792297E-2</v>
      </c>
      <c r="N66" s="14">
        <v>3.7245256500351452E-2</v>
      </c>
      <c r="O66" s="14">
        <v>-2.0754716981131967E-2</v>
      </c>
    </row>
    <row r="67" spans="1:15" s="3" customFormat="1" x14ac:dyDescent="0.2">
      <c r="A67" s="1"/>
      <c r="B67" s="4">
        <v>36219</v>
      </c>
      <c r="C67" s="14">
        <v>-4.6306504961411171E-2</v>
      </c>
      <c r="D67" s="14">
        <v>-9.0340514246003475E-3</v>
      </c>
      <c r="E67" s="14">
        <v>-1.588310038119441E-2</v>
      </c>
      <c r="F67" s="14">
        <v>-6.2444246208742445E-3</v>
      </c>
      <c r="G67" s="14">
        <v>-1.8801784576163154E-2</v>
      </c>
      <c r="H67" s="14">
        <v>-4.1577825159914768E-2</v>
      </c>
      <c r="I67" s="14">
        <v>-7.4005550416281285E-3</v>
      </c>
      <c r="J67" s="14">
        <v>-6.221719457013563E-2</v>
      </c>
      <c r="K67" s="14">
        <v>-5.9523809523809573E-3</v>
      </c>
      <c r="L67" s="14">
        <v>-5.14492753623189E-2</v>
      </c>
      <c r="M67" s="14">
        <v>3.3837579617834734E-3</v>
      </c>
      <c r="N67" s="14">
        <v>-2.5067750677506839E-2</v>
      </c>
      <c r="O67" s="14">
        <v>1.3102119460500956E-2</v>
      </c>
    </row>
    <row r="68" spans="1:15" s="3" customFormat="1" x14ac:dyDescent="0.2">
      <c r="A68" s="1"/>
      <c r="B68" s="4">
        <v>36250</v>
      </c>
      <c r="C68" s="14">
        <v>2.5818882466281237E-2</v>
      </c>
      <c r="D68" s="14">
        <v>1.8232819074333783E-2</v>
      </c>
      <c r="E68" s="14">
        <v>2.775984506132987E-2</v>
      </c>
      <c r="F68" s="14">
        <v>0.14901256732495513</v>
      </c>
      <c r="G68" s="14">
        <v>2.7606365703150303E-2</v>
      </c>
      <c r="H68" s="14">
        <v>-1.0011123470522788E-2</v>
      </c>
      <c r="I68" s="14">
        <v>2.7958993476234258E-3</v>
      </c>
      <c r="J68" s="14">
        <v>-1.447527141133908E-2</v>
      </c>
      <c r="K68" s="14">
        <v>0.1077844311377245</v>
      </c>
      <c r="L68" s="14">
        <v>0.40412528647822787</v>
      </c>
      <c r="M68" s="14">
        <v>3.4417774251140634E-2</v>
      </c>
      <c r="N68" s="14">
        <v>4.3085476025017444E-2</v>
      </c>
      <c r="O68" s="14">
        <v>1.2932674020540123E-2</v>
      </c>
    </row>
    <row r="69" spans="1:15" s="3" customFormat="1" x14ac:dyDescent="0.2">
      <c r="A69" s="1"/>
      <c r="B69" s="4">
        <v>36280</v>
      </c>
      <c r="C69" s="14">
        <v>4.2824943651389953E-2</v>
      </c>
      <c r="D69" s="14">
        <v>0.11294765840220376</v>
      </c>
      <c r="E69" s="14">
        <v>5.3391959798994956E-2</v>
      </c>
      <c r="F69" s="14">
        <v>6.7187499999999956E-2</v>
      </c>
      <c r="G69" s="14">
        <v>1.8805309734513238E-2</v>
      </c>
      <c r="H69" s="14">
        <v>-6.7415730337079208E-3</v>
      </c>
      <c r="I69" s="14">
        <v>-9.2936802973975718E-4</v>
      </c>
      <c r="J69" s="14">
        <v>3.6719706242350152E-2</v>
      </c>
      <c r="K69" s="14">
        <v>0.20810810810810823</v>
      </c>
      <c r="L69" s="14">
        <v>0.16594124047878112</v>
      </c>
      <c r="M69" s="14">
        <v>5.8298974014766497E-2</v>
      </c>
      <c r="N69" s="14">
        <v>2.2651565622918042E-2</v>
      </c>
      <c r="O69" s="14">
        <v>9.0499436725497553E-2</v>
      </c>
    </row>
    <row r="70" spans="1:15" s="3" customFormat="1" x14ac:dyDescent="0.2">
      <c r="A70" s="1"/>
      <c r="B70" s="4">
        <v>36311</v>
      </c>
      <c r="C70" s="14">
        <v>-6.1239193083574102E-3</v>
      </c>
      <c r="D70" s="14">
        <v>-1.1138613861386121E-2</v>
      </c>
      <c r="E70" s="14">
        <v>-7.1556350626116542E-3</v>
      </c>
      <c r="F70" s="14">
        <v>-4.0263543191800803E-2</v>
      </c>
      <c r="G70" s="14">
        <v>2.5593299208934477E-2</v>
      </c>
      <c r="H70" s="14">
        <v>-2.1493212669683202E-2</v>
      </c>
      <c r="I70" s="14">
        <v>-8.3720930232558007E-3</v>
      </c>
      <c r="J70" s="14">
        <v>2.715466351829993E-2</v>
      </c>
      <c r="K70" s="14">
        <v>-2.4608501118568302E-2</v>
      </c>
      <c r="L70" s="14">
        <v>-3.3131124591693761E-2</v>
      </c>
      <c r="M70" s="14">
        <v>-6.4872700915103707E-2</v>
      </c>
      <c r="N70" s="14">
        <v>-2.8013029315961006E-2</v>
      </c>
      <c r="O70" s="14">
        <v>6.8870523415977712E-3</v>
      </c>
    </row>
    <row r="71" spans="1:15" s="3" customFormat="1" x14ac:dyDescent="0.2">
      <c r="A71" s="1"/>
      <c r="B71" s="4">
        <v>36341</v>
      </c>
      <c r="C71" s="14">
        <v>4.4218919898514043E-2</v>
      </c>
      <c r="D71" s="14">
        <v>3.8798498122653381E-2</v>
      </c>
      <c r="E71" s="14">
        <v>4.9849849849849741E-2</v>
      </c>
      <c r="F71" s="14">
        <v>0.1670480549199084</v>
      </c>
      <c r="G71" s="14">
        <v>2.2534785238959389E-2</v>
      </c>
      <c r="H71" s="14">
        <v>-1.7341040462427786E-2</v>
      </c>
      <c r="I71" s="14">
        <v>-8.4427767354596488E-3</v>
      </c>
      <c r="J71" s="14">
        <v>1.7241379310344661E-2</v>
      </c>
      <c r="K71" s="14">
        <v>0.27981651376146782</v>
      </c>
      <c r="L71" s="14">
        <v>7.3841698841698722E-2</v>
      </c>
      <c r="M71" s="14">
        <v>3.9821722701288628E-2</v>
      </c>
      <c r="N71" s="14">
        <v>5.7640750670241367E-2</v>
      </c>
      <c r="O71" s="14">
        <v>3.7961696306429524E-2</v>
      </c>
    </row>
    <row r="72" spans="1:15" s="3" customFormat="1" x14ac:dyDescent="0.2">
      <c r="A72" s="1"/>
      <c r="B72" s="4">
        <v>36372</v>
      </c>
      <c r="C72" s="14">
        <v>-2.2214508851093388E-2</v>
      </c>
      <c r="D72" s="14">
        <v>-3.1927710843373557E-2</v>
      </c>
      <c r="E72" s="14">
        <v>-2.3455377574370717E-2</v>
      </c>
      <c r="F72" s="14">
        <v>0.12679738562091511</v>
      </c>
      <c r="G72" s="14">
        <v>7.9869841739388589E-3</v>
      </c>
      <c r="H72" s="14">
        <v>-1.5294117647058706E-2</v>
      </c>
      <c r="I72" s="14">
        <v>-1.0406811731314988E-2</v>
      </c>
      <c r="J72" s="14">
        <v>-4.632768361581923E-2</v>
      </c>
      <c r="K72" s="14">
        <v>-5.0179211469534094E-2</v>
      </c>
      <c r="L72" s="14">
        <v>3.1460674157303498E-2</v>
      </c>
      <c r="M72" s="14">
        <v>-5.2646291464778283E-2</v>
      </c>
      <c r="N72" s="14">
        <v>-2.9150823827629964E-2</v>
      </c>
      <c r="O72" s="14">
        <v>-3.657331136738054E-2</v>
      </c>
    </row>
    <row r="73" spans="1:15" s="3" customFormat="1" x14ac:dyDescent="0.2">
      <c r="A73" s="1"/>
      <c r="B73" s="4">
        <v>36403</v>
      </c>
      <c r="C73" s="14">
        <v>-2.4849130280440158E-2</v>
      </c>
      <c r="D73" s="14">
        <v>-3.7336652146857476E-2</v>
      </c>
      <c r="E73" s="14">
        <v>9.3731693028705418E-3</v>
      </c>
      <c r="F73" s="14">
        <v>9.1067285382830626E-2</v>
      </c>
      <c r="G73" s="14">
        <v>-4.8569332355099075E-2</v>
      </c>
      <c r="H73" s="14">
        <v>-9.5579450418160176E-3</v>
      </c>
      <c r="I73" s="14">
        <v>-5.7361376673040624E-3</v>
      </c>
      <c r="J73" s="14">
        <v>-6.0426540284360064E-2</v>
      </c>
      <c r="K73" s="14">
        <v>5.6603773584906134E-3</v>
      </c>
      <c r="L73" s="14">
        <v>4.8366013071895392E-2</v>
      </c>
      <c r="M73" s="14">
        <v>-5.291629782630073E-2</v>
      </c>
      <c r="N73" s="14">
        <v>-1.370757180156652E-2</v>
      </c>
      <c r="O73" s="14">
        <v>-5.5745554035567677E-2</v>
      </c>
    </row>
    <row r="74" spans="1:15" s="3" customFormat="1" x14ac:dyDescent="0.2">
      <c r="A74" s="1"/>
      <c r="B74" s="4">
        <v>36433</v>
      </c>
      <c r="C74" s="14">
        <v>-3.3855114670549677E-2</v>
      </c>
      <c r="D74" s="14">
        <v>-4.9127343244990289E-2</v>
      </c>
      <c r="E74" s="14">
        <v>-9.8665118978524761E-3</v>
      </c>
      <c r="F74" s="14">
        <v>7.5491759702285915E-2</v>
      </c>
      <c r="G74" s="14">
        <v>-1.0795805058606937E-3</v>
      </c>
      <c r="H74" s="14">
        <v>3.618817852834663E-3</v>
      </c>
      <c r="I74" s="14">
        <v>9.6153846153845812E-3</v>
      </c>
      <c r="J74" s="14">
        <v>2.7742749054224431E-2</v>
      </c>
      <c r="K74" s="14">
        <v>-5.2532833020637944E-2</v>
      </c>
      <c r="L74" s="14">
        <v>-9.6009975062344224E-2</v>
      </c>
      <c r="M74" s="14">
        <v>-3.4063765707757827E-2</v>
      </c>
      <c r="N74" s="14">
        <v>-2.3163467902051597E-2</v>
      </c>
      <c r="O74" s="14">
        <v>-6.1934081854400601E-2</v>
      </c>
    </row>
    <row r="75" spans="1:15" s="3" customFormat="1" x14ac:dyDescent="0.2">
      <c r="A75" s="1"/>
      <c r="B75" s="4">
        <v>36464</v>
      </c>
      <c r="C75" s="14">
        <v>3.9186134137151434E-2</v>
      </c>
      <c r="D75" s="14">
        <v>4.6906866077498263E-2</v>
      </c>
      <c r="E75" s="14">
        <v>5.5685814771395024E-2</v>
      </c>
      <c r="F75" s="14">
        <v>7.6124567474048402E-2</v>
      </c>
      <c r="G75" s="14">
        <v>6.7623899953682412E-2</v>
      </c>
      <c r="H75" s="14">
        <v>-3.6057692307691538E-3</v>
      </c>
      <c r="I75" s="14">
        <v>-9.5238095238093211E-4</v>
      </c>
      <c r="J75" s="14">
        <v>6.7484662576687199E-2</v>
      </c>
      <c r="K75" s="14">
        <v>-9.9009900990098664E-3</v>
      </c>
      <c r="L75" s="14">
        <v>-2.2988505747126436E-2</v>
      </c>
      <c r="M75" s="14">
        <v>0.14009246317600257</v>
      </c>
      <c r="N75" s="14">
        <v>4.4715447154471427E-2</v>
      </c>
      <c r="O75" s="14">
        <v>1.5830115830115836E-2</v>
      </c>
    </row>
    <row r="76" spans="1:15" s="3" customFormat="1" x14ac:dyDescent="0.2">
      <c r="A76" s="1"/>
      <c r="B76" s="4">
        <v>36494</v>
      </c>
      <c r="C76" s="14">
        <v>1.0877447425671188E-3</v>
      </c>
      <c r="D76" s="14">
        <v>-1.0389610389610398E-2</v>
      </c>
      <c r="E76" s="14">
        <v>5.5524708495279214E-3</v>
      </c>
      <c r="F76" s="14">
        <v>0.13734497014239788</v>
      </c>
      <c r="G76" s="14">
        <v>6.5075921908894115E-3</v>
      </c>
      <c r="H76" s="14">
        <v>-7.2376357056695402E-3</v>
      </c>
      <c r="I76" s="14">
        <v>-5.7197330791230218E-3</v>
      </c>
      <c r="J76" s="14">
        <v>3.9080459770114921E-2</v>
      </c>
      <c r="K76" s="14">
        <v>0.10800000000000001</v>
      </c>
      <c r="L76" s="14">
        <v>4.799999999999998E-2</v>
      </c>
      <c r="M76" s="14">
        <v>-5.4507732930969451E-2</v>
      </c>
      <c r="N76" s="14">
        <v>4.3450064850843059E-2</v>
      </c>
      <c r="O76" s="14">
        <v>-2.4705435195743142E-2</v>
      </c>
    </row>
    <row r="77" spans="1:15" s="3" customFormat="1" x14ac:dyDescent="0.2">
      <c r="A77" s="1"/>
      <c r="B77" s="4">
        <v>36525</v>
      </c>
      <c r="C77" s="14">
        <v>-0.11879753712423038</v>
      </c>
      <c r="D77" s="14">
        <v>-0.11089238845144353</v>
      </c>
      <c r="E77" s="14">
        <v>-8.0618442849254415E-2</v>
      </c>
      <c r="F77" s="14">
        <v>0.10177705977382873</v>
      </c>
      <c r="G77" s="14">
        <v>-5.0287356321839075E-2</v>
      </c>
      <c r="H77" s="14">
        <v>-1.458080194410683E-2</v>
      </c>
      <c r="I77" s="14">
        <v>-9.5877277085330437E-3</v>
      </c>
      <c r="J77" s="14">
        <v>5.8628318584070721E-2</v>
      </c>
      <c r="K77" s="14">
        <v>7.9422382671480218E-2</v>
      </c>
      <c r="L77" s="14">
        <v>0.11854512797485409</v>
      </c>
      <c r="M77" s="14">
        <v>-5.7251147017753787E-2</v>
      </c>
      <c r="N77" s="14">
        <v>9.3225605966440108E-3</v>
      </c>
      <c r="O77" s="14">
        <v>-8.3008573655494897E-2</v>
      </c>
    </row>
    <row r="78" spans="1:15" s="3" customFormat="1" x14ac:dyDescent="0.2">
      <c r="A78" s="1"/>
      <c r="B78" s="4">
        <v>36556</v>
      </c>
      <c r="C78" s="14">
        <v>-7.3160706946157048E-2</v>
      </c>
      <c r="D78" s="14">
        <v>-5.387453874538748E-2</v>
      </c>
      <c r="E78" s="14">
        <v>-4.8648648648648672E-2</v>
      </c>
      <c r="F78" s="14">
        <v>-7.2214076246334261E-2</v>
      </c>
      <c r="G78" s="14">
        <v>4.0544629349470382E-2</v>
      </c>
      <c r="H78" s="14">
        <v>-3.6991368680642581E-3</v>
      </c>
      <c r="I78" s="14">
        <v>-1.0648596321393942E-2</v>
      </c>
      <c r="J78" s="14">
        <v>-6.7920585161964503E-2</v>
      </c>
      <c r="K78" s="14">
        <v>5.0167224080267967E-3</v>
      </c>
      <c r="L78" s="14">
        <v>-8.8317944600561568E-3</v>
      </c>
      <c r="M78" s="14">
        <v>-4.9407532797291591E-2</v>
      </c>
      <c r="N78" s="14">
        <v>-4.618226600985232E-2</v>
      </c>
      <c r="O78" s="14">
        <v>-5.7373565660858536E-2</v>
      </c>
    </row>
    <row r="79" spans="1:15" s="3" customFormat="1" x14ac:dyDescent="0.2">
      <c r="A79" s="1"/>
      <c r="B79" s="4">
        <v>36585</v>
      </c>
      <c r="C79" s="14">
        <v>2.2616407982261711E-2</v>
      </c>
      <c r="D79" s="14">
        <v>-8.1123244929797125E-2</v>
      </c>
      <c r="E79" s="14">
        <v>-2.4621212121212155E-2</v>
      </c>
      <c r="F79" s="14">
        <v>4.8202291584353962E-2</v>
      </c>
      <c r="G79" s="14">
        <v>7.2695551032272694E-4</v>
      </c>
      <c r="H79" s="14">
        <v>2.4752475247524224E-3</v>
      </c>
      <c r="I79" s="14">
        <v>6.8493150684931781E-3</v>
      </c>
      <c r="J79" s="14">
        <v>-1.7937219730941721E-2</v>
      </c>
      <c r="K79" s="14">
        <v>6.6555740432612212E-2</v>
      </c>
      <c r="L79" s="14">
        <v>0.17415957877683275</v>
      </c>
      <c r="M79" s="14">
        <v>-9.5158597662771405E-2</v>
      </c>
      <c r="N79" s="14">
        <v>3.6152356358941283E-2</v>
      </c>
      <c r="O79" s="14">
        <v>-6.8981064021641003E-2</v>
      </c>
    </row>
    <row r="80" spans="1:15" s="3" customFormat="1" x14ac:dyDescent="0.2">
      <c r="A80" s="1"/>
      <c r="B80" s="4">
        <v>36616</v>
      </c>
      <c r="C80" s="14">
        <v>1.9080659150043266E-2</v>
      </c>
      <c r="D80" s="14">
        <v>0.12903225806451607</v>
      </c>
      <c r="E80" s="14">
        <v>5.7605177993527427E-2</v>
      </c>
      <c r="F80" s="14">
        <v>-1.2061816811157191E-2</v>
      </c>
      <c r="G80" s="14">
        <v>8.3393868952491776E-2</v>
      </c>
      <c r="H80" s="14">
        <v>9.8765432098765517E-3</v>
      </c>
      <c r="I80" s="14">
        <v>5.8309037900873386E-3</v>
      </c>
      <c r="J80" s="14">
        <v>9.7031963470319602E-2</v>
      </c>
      <c r="K80" s="14">
        <v>3.9001560062402497E-2</v>
      </c>
      <c r="L80" s="14">
        <v>0.16833390824422223</v>
      </c>
      <c r="M80" s="14">
        <v>0.15682656826568284</v>
      </c>
      <c r="N80" s="14">
        <v>4.7975077881619907E-2</v>
      </c>
      <c r="O80" s="14">
        <v>0.12929782082324445</v>
      </c>
    </row>
    <row r="81" spans="1:15" s="3" customFormat="1" x14ac:dyDescent="0.2">
      <c r="A81" s="1"/>
      <c r="B81" s="4">
        <v>36646</v>
      </c>
      <c r="C81" s="14">
        <v>-5.0212765957446795E-2</v>
      </c>
      <c r="D81" s="14">
        <v>1.5037593984962084E-3</v>
      </c>
      <c r="E81" s="14">
        <v>-1.8359853121175076E-2</v>
      </c>
      <c r="F81" s="14">
        <v>-9.1949637542922555E-2</v>
      </c>
      <c r="G81" s="14">
        <v>-7.5097224084752695E-2</v>
      </c>
      <c r="H81" s="14">
        <v>-1.8337408312958263E-2</v>
      </c>
      <c r="I81" s="14">
        <v>-5.7971014492752392E-3</v>
      </c>
      <c r="J81" s="14">
        <v>-1.3527575442247556E-2</v>
      </c>
      <c r="K81" s="14">
        <v>-0.10210210210210206</v>
      </c>
      <c r="L81" s="14">
        <v>-9.7431355181578205E-3</v>
      </c>
      <c r="M81" s="14">
        <v>-4.2955874534821963E-2</v>
      </c>
      <c r="N81" s="14">
        <v>-6.0642092746730054E-2</v>
      </c>
      <c r="O81" s="14">
        <v>-1.7152658662092258E-3</v>
      </c>
    </row>
    <row r="82" spans="1:15" s="3" customFormat="1" x14ac:dyDescent="0.2">
      <c r="A82" s="1"/>
      <c r="B82" s="4">
        <v>36677</v>
      </c>
      <c r="C82" s="14">
        <v>-4.0322580645161227E-2</v>
      </c>
      <c r="D82" s="14">
        <v>3.0030030030030058E-2</v>
      </c>
      <c r="E82" s="14">
        <v>-1.4339152119700665E-2</v>
      </c>
      <c r="F82" s="14">
        <v>-6.8907563025210103E-2</v>
      </c>
      <c r="G82" s="14">
        <v>-5.5821371610845216E-2</v>
      </c>
      <c r="H82" s="14">
        <v>-1.9925280199252927E-2</v>
      </c>
      <c r="I82" s="14">
        <v>-6.8027210884354008E-3</v>
      </c>
      <c r="J82" s="14">
        <v>5.6962025316455604E-2</v>
      </c>
      <c r="K82" s="14">
        <v>-5.351170568561877E-2</v>
      </c>
      <c r="L82" s="14">
        <v>8.199165175909362E-2</v>
      </c>
      <c r="M82" s="14">
        <v>6.1548716809243481E-2</v>
      </c>
      <c r="N82" s="14">
        <v>-4.9367088607594894E-2</v>
      </c>
      <c r="O82" s="14">
        <v>3.0927835051546341E-2</v>
      </c>
    </row>
    <row r="83" spans="1:15" s="3" customFormat="1" x14ac:dyDescent="0.2">
      <c r="A83" s="1"/>
      <c r="B83" s="4">
        <v>36707</v>
      </c>
      <c r="C83" s="14">
        <v>6.1624649859943988E-2</v>
      </c>
      <c r="D83" s="14">
        <v>-5.9037900874635604E-2</v>
      </c>
      <c r="E83" s="14">
        <v>0</v>
      </c>
      <c r="F83" s="14">
        <v>6.7689530685920582E-2</v>
      </c>
      <c r="G83" s="14">
        <v>4.683660933660929E-2</v>
      </c>
      <c r="H83" s="14">
        <v>2.4142312579415553E-2</v>
      </c>
      <c r="I83" s="14">
        <v>1.5655577299412929E-2</v>
      </c>
      <c r="J83" s="14">
        <v>-1.497005988023938E-2</v>
      </c>
      <c r="K83" s="14">
        <v>7.9505300353356914E-2</v>
      </c>
      <c r="L83" s="14">
        <v>-2.342243042160359E-2</v>
      </c>
      <c r="M83" s="14">
        <v>-3.7153322867608696E-2</v>
      </c>
      <c r="N83" s="14">
        <v>7.3235685752330193E-2</v>
      </c>
      <c r="O83" s="14">
        <v>-7.8333333333333297E-2</v>
      </c>
    </row>
    <row r="84" spans="1:15" s="3" customFormat="1" x14ac:dyDescent="0.2">
      <c r="A84" s="1"/>
      <c r="B84" s="4">
        <v>36738</v>
      </c>
      <c r="C84" s="14">
        <v>-3.2981530343007916E-2</v>
      </c>
      <c r="D84" s="14">
        <v>1.7815646785437678E-2</v>
      </c>
      <c r="E84" s="14">
        <v>-5.5660974067046107E-2</v>
      </c>
      <c r="F84" s="14">
        <v>-0.10185967878275572</v>
      </c>
      <c r="G84" s="14">
        <v>-2.3177350740795046E-2</v>
      </c>
      <c r="H84" s="14">
        <v>9.9255583126550955E-3</v>
      </c>
      <c r="I84" s="14">
        <v>1.9267822736030416E-3</v>
      </c>
      <c r="J84" s="14">
        <v>1.6210739614994765E-2</v>
      </c>
      <c r="K84" s="14">
        <v>4.9099836333879295E-3</v>
      </c>
      <c r="L84" s="14">
        <v>-5.474040632054189E-2</v>
      </c>
      <c r="M84" s="14">
        <v>8.1739130434782717E-2</v>
      </c>
      <c r="N84" s="14">
        <v>-3.2878411910669932E-2</v>
      </c>
      <c r="O84" s="14">
        <v>1.4466546112115744E-2</v>
      </c>
    </row>
    <row r="85" spans="1:15" s="3" customFormat="1" x14ac:dyDescent="0.2">
      <c r="A85" s="1"/>
      <c r="B85" s="4">
        <v>36769</v>
      </c>
      <c r="C85" s="14">
        <v>7.5034106412005391E-2</v>
      </c>
      <c r="D85" s="14">
        <v>5.0228310502283116E-2</v>
      </c>
      <c r="E85" s="14">
        <v>6.2960482250502312E-2</v>
      </c>
      <c r="F85" s="14">
        <v>0.11435294117647057</v>
      </c>
      <c r="G85" s="14">
        <v>6.8028232467337454E-2</v>
      </c>
      <c r="H85" s="14">
        <v>8.5995085995086342E-3</v>
      </c>
      <c r="I85" s="14">
        <v>8.6538461538461404E-3</v>
      </c>
      <c r="J85" s="14">
        <v>5.08474576271188E-2</v>
      </c>
      <c r="K85" s="14">
        <v>-2.1172638436482066E-2</v>
      </c>
      <c r="L85" s="14">
        <v>0.13671641791044772</v>
      </c>
      <c r="M85" s="14">
        <v>8.2797427652733055E-2</v>
      </c>
      <c r="N85" s="14">
        <v>8.0179602309172426E-2</v>
      </c>
      <c r="O85" s="14">
        <v>5.6595365418894809E-2</v>
      </c>
    </row>
    <row r="86" spans="1:15" s="3" customFormat="1" x14ac:dyDescent="0.2">
      <c r="A86" s="1"/>
      <c r="B86" s="4">
        <v>36799</v>
      </c>
      <c r="C86" s="14">
        <v>-6.5566835871404425E-2</v>
      </c>
      <c r="D86" s="14">
        <v>-2.3913043478260874E-2</v>
      </c>
      <c r="E86" s="14">
        <v>-6.7422810333963468E-2</v>
      </c>
      <c r="F86" s="14">
        <v>-5.3631756756756736E-2</v>
      </c>
      <c r="G86" s="14">
        <v>-1.3498312710911247E-2</v>
      </c>
      <c r="H86" s="14">
        <v>-2.4360535931789978E-3</v>
      </c>
      <c r="I86" s="14">
        <v>3.8131553860820708E-3</v>
      </c>
      <c r="J86" s="14">
        <v>-3.7950664136623263E-3</v>
      </c>
      <c r="K86" s="14">
        <v>-8.3194675540765387E-2</v>
      </c>
      <c r="L86" s="14">
        <v>-6.8277310924369228E-3</v>
      </c>
      <c r="M86" s="14">
        <v>4.5564216778025204E-2</v>
      </c>
      <c r="N86" s="14">
        <v>-4.2161520190023803E-2</v>
      </c>
      <c r="O86" s="14">
        <v>-1.2652889076339126E-2</v>
      </c>
    </row>
    <row r="87" spans="1:15" s="3" customFormat="1" x14ac:dyDescent="0.2">
      <c r="A87" s="1"/>
      <c r="B87" s="4">
        <v>36830</v>
      </c>
      <c r="C87" s="14">
        <v>-3.1235853327297319E-2</v>
      </c>
      <c r="D87" s="14">
        <v>3.0438010393466972E-2</v>
      </c>
      <c r="E87" s="14">
        <v>-1.5540540540540569E-2</v>
      </c>
      <c r="F87" s="14">
        <v>-8.7907184292726412E-2</v>
      </c>
      <c r="G87" s="14">
        <v>-4.7462941847206362E-2</v>
      </c>
      <c r="H87" s="14">
        <v>1.2210012210011948E-3</v>
      </c>
      <c r="I87" s="14">
        <v>9.4966761633426267E-4</v>
      </c>
      <c r="J87" s="14">
        <v>6.3809523809523802E-2</v>
      </c>
      <c r="K87" s="14">
        <v>-8.8929219600725987E-2</v>
      </c>
      <c r="L87" s="14">
        <v>-0.124537281861449</v>
      </c>
      <c r="M87" s="14">
        <v>6.5678530221000182E-3</v>
      </c>
      <c r="N87" s="14">
        <v>-3.7197768133911176E-3</v>
      </c>
      <c r="O87" s="14">
        <v>1.2815036309269574E-2</v>
      </c>
    </row>
    <row r="88" spans="1:15" s="3" customFormat="1" x14ac:dyDescent="0.2">
      <c r="A88" s="1"/>
      <c r="B88" s="4">
        <v>36860</v>
      </c>
      <c r="C88" s="14">
        <v>-9.8598130841121456E-2</v>
      </c>
      <c r="D88" s="14">
        <v>-3.2420749279538849E-2</v>
      </c>
      <c r="E88" s="14">
        <v>-5.6280027453671944E-2</v>
      </c>
      <c r="F88" s="14">
        <v>-5.1859099804305218E-2</v>
      </c>
      <c r="G88" s="14">
        <v>-0.15038156516534487</v>
      </c>
      <c r="H88" s="14">
        <v>9.7560975609756167E-3</v>
      </c>
      <c r="I88" s="14">
        <v>9.4876660341555626E-3</v>
      </c>
      <c r="J88" s="14">
        <v>-2.9543419874664287E-2</v>
      </c>
      <c r="K88" s="14">
        <v>-5.3784860557769008E-2</v>
      </c>
      <c r="L88" s="14">
        <v>-0.13470250679552997</v>
      </c>
      <c r="M88" s="14">
        <v>-4.4264174235076358E-2</v>
      </c>
      <c r="N88" s="14">
        <v>-0.1182327317983821</v>
      </c>
      <c r="O88" s="14">
        <v>-1.1387600168705169E-2</v>
      </c>
    </row>
    <row r="89" spans="1:15" s="3" customFormat="1" x14ac:dyDescent="0.2">
      <c r="A89" s="1"/>
      <c r="B89" s="4">
        <v>36891</v>
      </c>
      <c r="C89" s="14">
        <v>-0.19388284085018151</v>
      </c>
      <c r="D89" s="14">
        <v>4.4676098287416199E-2</v>
      </c>
      <c r="E89" s="14">
        <v>-0.19563636363636361</v>
      </c>
      <c r="F89" s="14">
        <v>-0.29050567595459248</v>
      </c>
      <c r="G89" s="14">
        <v>-0.10531877421627328</v>
      </c>
      <c r="H89" s="14">
        <v>2.0531400966183562E-2</v>
      </c>
      <c r="I89" s="14">
        <v>1.1278195488721731E-2</v>
      </c>
      <c r="J89" s="14">
        <v>-0.13653136531365317</v>
      </c>
      <c r="K89" s="14">
        <v>8.4210526315789541E-3</v>
      </c>
      <c r="L89" s="14">
        <v>0.30715532286212915</v>
      </c>
      <c r="M89" s="14">
        <v>7.5191438324568732E-2</v>
      </c>
      <c r="N89" s="14">
        <v>-0.14114326040931546</v>
      </c>
      <c r="O89" s="14">
        <v>8.2764505119453977E-2</v>
      </c>
    </row>
    <row r="90" spans="1:15" s="3" customFormat="1" x14ac:dyDescent="0.2">
      <c r="A90" s="1"/>
      <c r="B90" s="4">
        <v>36922</v>
      </c>
      <c r="C90" s="14">
        <v>1.9935691318328005E-2</v>
      </c>
      <c r="D90" s="14">
        <v>3.5637918745545255E-2</v>
      </c>
      <c r="E90" s="14">
        <v>9.674502712477398E-2</v>
      </c>
      <c r="F90" s="14">
        <v>-3.6363636363635587E-3</v>
      </c>
      <c r="G90" s="14">
        <v>0.10177165354330711</v>
      </c>
      <c r="H90" s="14">
        <v>2.1301775147928959E-2</v>
      </c>
      <c r="I90" s="14">
        <v>6.5055762081784648E-3</v>
      </c>
      <c r="J90" s="14">
        <v>5.4487179487179654E-2</v>
      </c>
      <c r="K90" s="14">
        <v>4.1753653444676443E-2</v>
      </c>
      <c r="L90" s="14">
        <v>1.8157543391188243E-2</v>
      </c>
      <c r="M90" s="14">
        <v>-1.6732452376866335E-2</v>
      </c>
      <c r="N90" s="14">
        <v>4.190632703368953E-2</v>
      </c>
      <c r="O90" s="14">
        <v>7.0921985815602714E-3</v>
      </c>
    </row>
    <row r="91" spans="1:15" s="3" customFormat="1" x14ac:dyDescent="0.2">
      <c r="A91" s="1"/>
      <c r="B91" s="4">
        <v>36950</v>
      </c>
      <c r="C91" s="14">
        <v>-9.4577553593947025E-2</v>
      </c>
      <c r="D91" s="14">
        <v>-3.5788024776324937E-2</v>
      </c>
      <c r="E91" s="14">
        <v>-9.6455070074196195E-2</v>
      </c>
      <c r="F91" s="14">
        <v>-9.7080291970802923E-2</v>
      </c>
      <c r="G91" s="14">
        <v>-0.10005360014293373</v>
      </c>
      <c r="H91" s="14">
        <v>6.9524913093859204E-3</v>
      </c>
      <c r="I91" s="14">
        <v>9.2336103416433861E-4</v>
      </c>
      <c r="J91" s="14">
        <v>-2.938196555217841E-2</v>
      </c>
      <c r="K91" s="14">
        <v>-5.0100200400801598E-2</v>
      </c>
      <c r="L91" s="14">
        <v>9.9659061106740759E-3</v>
      </c>
      <c r="M91" s="14">
        <v>-5.2360589929313202E-2</v>
      </c>
      <c r="N91" s="14">
        <v>-8.9905362776025274E-2</v>
      </c>
      <c r="O91" s="14">
        <v>6.6510172143974229E-3</v>
      </c>
    </row>
    <row r="92" spans="1:15" s="3" customFormat="1" x14ac:dyDescent="0.2">
      <c r="A92" s="1"/>
      <c r="B92" s="4">
        <v>36981</v>
      </c>
      <c r="C92" s="14">
        <v>-7.033426183844009E-2</v>
      </c>
      <c r="D92" s="14">
        <v>-3.6402569593147735E-2</v>
      </c>
      <c r="E92" s="14">
        <v>-6.1131386861313856E-2</v>
      </c>
      <c r="F92" s="14">
        <v>-2.7485852869846387E-2</v>
      </c>
      <c r="G92" s="14">
        <v>-6.8096088941830446E-2</v>
      </c>
      <c r="H92" s="14">
        <v>-6.9044879171462009E-3</v>
      </c>
      <c r="I92" s="14">
        <v>0</v>
      </c>
      <c r="J92" s="14">
        <v>-6.6805845511482317E-2</v>
      </c>
      <c r="K92" s="14">
        <v>-8.4388185654008518E-3</v>
      </c>
      <c r="L92" s="14">
        <v>-6.3360166190599962E-2</v>
      </c>
      <c r="M92" s="14">
        <v>-3.0665807164563939E-2</v>
      </c>
      <c r="N92" s="14">
        <v>-5.8925476603119552E-2</v>
      </c>
      <c r="O92" s="14">
        <v>-2.6428293820443052E-2</v>
      </c>
    </row>
    <row r="93" spans="1:15" s="3" customFormat="1" x14ac:dyDescent="0.2">
      <c r="A93" s="1"/>
      <c r="B93" s="4">
        <v>37011</v>
      </c>
      <c r="C93" s="14">
        <v>8.4644194756554228E-2</v>
      </c>
      <c r="D93" s="14">
        <v>6.4444444444444512E-2</v>
      </c>
      <c r="E93" s="14">
        <v>8.5519922254616021E-2</v>
      </c>
      <c r="F93" s="14">
        <v>0.11055694098088113</v>
      </c>
      <c r="G93" s="14">
        <v>4.6868342564976469E-2</v>
      </c>
      <c r="H93" s="14">
        <v>-1.9698725376593271E-2</v>
      </c>
      <c r="I93" s="14">
        <v>-5.5350553505533872E-3</v>
      </c>
      <c r="J93" s="14">
        <v>5.3691275167785282E-2</v>
      </c>
      <c r="K93" s="14">
        <v>4.0425531914893696E-2</v>
      </c>
      <c r="L93" s="14">
        <v>0.13279733850845576</v>
      </c>
      <c r="M93" s="14">
        <v>6.840205206156174E-3</v>
      </c>
      <c r="N93" s="14">
        <v>0.10957642725598521</v>
      </c>
      <c r="O93" s="14">
        <v>5.9081836327345323E-2</v>
      </c>
    </row>
    <row r="94" spans="1:15" s="3" customFormat="1" x14ac:dyDescent="0.2">
      <c r="A94" s="1"/>
      <c r="B94" s="4">
        <v>37042</v>
      </c>
      <c r="C94" s="14">
        <v>-1.3812154696132301E-3</v>
      </c>
      <c r="D94" s="14">
        <v>2.435629784272788E-2</v>
      </c>
      <c r="E94" s="14">
        <v>-1.4324082363473602E-2</v>
      </c>
      <c r="F94" s="14">
        <v>-8.9820359281437868E-3</v>
      </c>
      <c r="G94" s="14">
        <v>-2.421652421652417E-2</v>
      </c>
      <c r="H94" s="14">
        <v>2.3640661938533771E-3</v>
      </c>
      <c r="I94" s="14">
        <v>1.8552875695732442E-3</v>
      </c>
      <c r="J94" s="14">
        <v>4.670912951167723E-2</v>
      </c>
      <c r="K94" s="14">
        <v>3.2719836400817839E-2</v>
      </c>
      <c r="L94" s="14">
        <v>-5.0171316691140409E-2</v>
      </c>
      <c r="M94" s="14">
        <v>3.5478392149462211E-2</v>
      </c>
      <c r="N94" s="14">
        <v>8.2987551867219622E-3</v>
      </c>
      <c r="O94" s="14">
        <v>3.0531473803241563E-2</v>
      </c>
    </row>
    <row r="95" spans="1:15" s="3" customFormat="1" x14ac:dyDescent="0.2">
      <c r="A95" s="1"/>
      <c r="B95" s="4">
        <v>37072</v>
      </c>
      <c r="C95" s="14">
        <v>-1.6597510373443997E-2</v>
      </c>
      <c r="D95" s="14">
        <v>-1.2228260869565197E-2</v>
      </c>
      <c r="E95" s="14">
        <v>-2.8156221616711965E-2</v>
      </c>
      <c r="F95" s="14">
        <v>-5.8912386706948594E-2</v>
      </c>
      <c r="G95" s="14">
        <v>-3.3368091762252375E-2</v>
      </c>
      <c r="H95" s="14">
        <v>0</v>
      </c>
      <c r="I95" s="14">
        <v>-2.7777777777777185E-3</v>
      </c>
      <c r="J95" s="14">
        <v>-6.0851926977686334E-3</v>
      </c>
      <c r="K95" s="14">
        <v>-2.5742574257425724E-2</v>
      </c>
      <c r="L95" s="14">
        <v>-0.18758052048441126</v>
      </c>
      <c r="M95" s="14">
        <v>-3.918352469473362E-3</v>
      </c>
      <c r="N95" s="14">
        <v>-1.0699588477366172E-2</v>
      </c>
      <c r="O95" s="14">
        <v>-3.2187271397220156E-2</v>
      </c>
    </row>
    <row r="96" spans="1:15" s="3" customFormat="1" x14ac:dyDescent="0.2">
      <c r="A96" s="1"/>
      <c r="B96" s="4">
        <v>37103</v>
      </c>
      <c r="C96" s="14">
        <v>-2.7426160337552782E-2</v>
      </c>
      <c r="D96" s="14">
        <v>1.8569463548830781E-2</v>
      </c>
      <c r="E96" s="14">
        <v>-4.1121495327102922E-2</v>
      </c>
      <c r="F96" s="14">
        <v>-9.871589085072234E-2</v>
      </c>
      <c r="G96" s="14">
        <v>-7.7669902912621235E-3</v>
      </c>
      <c r="H96" s="14">
        <v>3.3018867924528225E-2</v>
      </c>
      <c r="I96" s="14">
        <v>1.2999071494893108E-2</v>
      </c>
      <c r="J96" s="14">
        <v>6.1224489795917054E-3</v>
      </c>
      <c r="K96" s="14">
        <v>-8.333333333333337E-2</v>
      </c>
      <c r="L96" s="14">
        <v>-8.9755788138280945E-2</v>
      </c>
      <c r="M96" s="14">
        <v>-1.5918031287164895E-2</v>
      </c>
      <c r="N96" s="14">
        <v>-2.5790349417637311E-2</v>
      </c>
      <c r="O96" s="14">
        <v>3.4013605442176817E-3</v>
      </c>
    </row>
    <row r="97" spans="1:15" s="3" customFormat="1" x14ac:dyDescent="0.2">
      <c r="A97" s="1"/>
      <c r="B97" s="4">
        <v>37134</v>
      </c>
      <c r="C97" s="14">
        <v>-6.8691250903832199E-2</v>
      </c>
      <c r="D97" s="14">
        <v>-3.173531397704258E-2</v>
      </c>
      <c r="E97" s="14">
        <v>-6.9200779727095429E-2</v>
      </c>
      <c r="F97" s="14">
        <v>-6.9456812110418459E-2</v>
      </c>
      <c r="G97" s="14">
        <v>-8.6975429441182861E-2</v>
      </c>
      <c r="H97" s="14">
        <v>1.2557077625570914E-2</v>
      </c>
      <c r="I97" s="14">
        <v>3.666361136572037E-3</v>
      </c>
      <c r="J97" s="14">
        <v>2.0283975659230579E-3</v>
      </c>
      <c r="K97" s="14">
        <v>-7.7605321507760464E-2</v>
      </c>
      <c r="L97" s="14">
        <v>-0.11742160278745647</v>
      </c>
      <c r="M97" s="14">
        <v>-4.8061727247373814E-2</v>
      </c>
      <c r="N97" s="14">
        <v>-4.7822374039282703E-2</v>
      </c>
      <c r="O97" s="14">
        <v>-1.6572504708097843E-2</v>
      </c>
    </row>
    <row r="98" spans="1:15" s="3" customFormat="1" x14ac:dyDescent="0.2">
      <c r="A98" s="1"/>
      <c r="B98" s="4">
        <v>37164</v>
      </c>
      <c r="C98" s="14">
        <v>-0.10248447204968945</v>
      </c>
      <c r="D98" s="14">
        <v>-0.10529986052998604</v>
      </c>
      <c r="E98" s="14">
        <v>-9.3193717277486959E-2</v>
      </c>
      <c r="F98" s="14">
        <v>-0.11770334928229668</v>
      </c>
      <c r="G98" s="14">
        <v>-4.3105501309835724E-2</v>
      </c>
      <c r="H98" s="14">
        <v>-1.4656144306651721E-2</v>
      </c>
      <c r="I98" s="14">
        <v>8.2191780821917679E-3</v>
      </c>
      <c r="J98" s="14">
        <v>-7.9959514170040574E-2</v>
      </c>
      <c r="K98" s="14">
        <v>-0.11298076923076916</v>
      </c>
      <c r="L98" s="14">
        <v>-0.16028424792735893</v>
      </c>
      <c r="M98" s="14">
        <v>-6.2988281250000028E-2</v>
      </c>
      <c r="N98" s="14">
        <v>-9.0582959641255581E-2</v>
      </c>
      <c r="O98" s="14">
        <v>-7.6981999234010015E-2</v>
      </c>
    </row>
    <row r="99" spans="1:15" s="3" customFormat="1" x14ac:dyDescent="0.2">
      <c r="A99" s="1"/>
      <c r="B99" s="4">
        <v>37195</v>
      </c>
      <c r="C99" s="14">
        <v>3.9792387543252671E-2</v>
      </c>
      <c r="D99" s="14">
        <v>1.4029618082618839E-2</v>
      </c>
      <c r="E99" s="14">
        <v>5.1963048498845386E-2</v>
      </c>
      <c r="F99" s="14">
        <v>4.8806941431670199E-2</v>
      </c>
      <c r="G99" s="14">
        <v>-9.18367346938775E-2</v>
      </c>
      <c r="H99" s="14">
        <v>4.0045766590388977E-2</v>
      </c>
      <c r="I99" s="14">
        <v>9.057971014492721E-3</v>
      </c>
      <c r="J99" s="14">
        <v>3.6303630363036313E-2</v>
      </c>
      <c r="K99" s="14">
        <v>3.7940379403793946E-2</v>
      </c>
      <c r="L99" s="14">
        <v>0.24447578749412333</v>
      </c>
      <c r="M99" s="14">
        <v>-1.3652944241792624E-2</v>
      </c>
      <c r="N99" s="14">
        <v>2.4654832347140037E-2</v>
      </c>
      <c r="O99" s="14">
        <v>1.4107883817427379E-2</v>
      </c>
    </row>
    <row r="100" spans="1:15" s="3" customFormat="1" x14ac:dyDescent="0.2">
      <c r="A100" s="1"/>
      <c r="B100" s="4">
        <v>37225</v>
      </c>
      <c r="C100" s="14">
        <v>7.1547420965058187E-2</v>
      </c>
      <c r="D100" s="14">
        <v>7.9169869331283713E-2</v>
      </c>
      <c r="E100" s="14">
        <v>6.1470911086717747E-2</v>
      </c>
      <c r="F100" s="14">
        <v>1.0341261633919118E-3</v>
      </c>
      <c r="G100" s="14">
        <v>3.4530008221430472E-2</v>
      </c>
      <c r="H100" s="14">
        <v>-2.7502750275027504E-2</v>
      </c>
      <c r="I100" s="14">
        <v>-1.1669658886894144E-2</v>
      </c>
      <c r="J100" s="14">
        <v>6.9002123142250571E-2</v>
      </c>
      <c r="K100" s="14">
        <v>7.0496083550913954E-2</v>
      </c>
      <c r="L100" s="14">
        <v>-9.0668681526256886E-3</v>
      </c>
      <c r="M100" s="14">
        <v>6.7096365173288333E-2</v>
      </c>
      <c r="N100" s="14">
        <v>5.7747834456207854E-2</v>
      </c>
      <c r="O100" s="14">
        <v>5.6055646481178431E-2</v>
      </c>
    </row>
    <row r="101" spans="1:15" s="3" customFormat="1" x14ac:dyDescent="0.2">
      <c r="A101" s="1"/>
      <c r="B101" s="4">
        <v>37256</v>
      </c>
      <c r="C101" s="14">
        <v>-1.0869565217391347E-2</v>
      </c>
      <c r="D101" s="14">
        <v>2.4928774928774902E-2</v>
      </c>
      <c r="E101" s="14">
        <v>-9.3071354705274084E-2</v>
      </c>
      <c r="F101" s="14">
        <v>-5.9917355371900835E-2</v>
      </c>
      <c r="G101" s="14">
        <v>2.2251655629139163E-2</v>
      </c>
      <c r="H101" s="14">
        <v>-1.8099547511312233E-2</v>
      </c>
      <c r="I101" s="14">
        <v>-1.089918256130783E-2</v>
      </c>
      <c r="J101" s="14">
        <v>-2.9791459781528659E-3</v>
      </c>
      <c r="K101" s="14">
        <v>1.4634146341463317E-2</v>
      </c>
      <c r="L101" s="14">
        <v>0.12771635531833783</v>
      </c>
      <c r="M101" s="14">
        <v>1.0892167541340669E-3</v>
      </c>
      <c r="N101" s="14">
        <v>-5.4595086442220655E-3</v>
      </c>
      <c r="O101" s="14">
        <v>-1.2010848508330191E-2</v>
      </c>
    </row>
    <row r="102" spans="1:15" s="3" customFormat="1" x14ac:dyDescent="0.2">
      <c r="A102" s="1"/>
      <c r="B102" s="4">
        <v>37287</v>
      </c>
      <c r="C102" s="14">
        <v>-9.419152276295072E-3</v>
      </c>
      <c r="D102" s="14">
        <v>-1.1118832522585139E-2</v>
      </c>
      <c r="E102" s="14">
        <v>-3.7628278221208476E-2</v>
      </c>
      <c r="F102" s="14">
        <v>-9.8901098901098744E-2</v>
      </c>
      <c r="G102" s="14">
        <v>-5.7009587976159695E-2</v>
      </c>
      <c r="H102" s="14">
        <v>9.2165898617511607E-3</v>
      </c>
      <c r="I102" s="14">
        <v>5.5096418732782822E-3</v>
      </c>
      <c r="J102" s="14">
        <v>-3.9840637450200122E-3</v>
      </c>
      <c r="K102" s="14">
        <v>2.4038461538461453E-2</v>
      </c>
      <c r="L102" s="14">
        <v>-2.8397565922920885E-2</v>
      </c>
      <c r="M102" s="14">
        <v>-2.5717111770524738E-3</v>
      </c>
      <c r="N102" s="14">
        <v>-2.7447392497712132E-3</v>
      </c>
      <c r="O102" s="14">
        <v>-2.0392156862745082E-2</v>
      </c>
    </row>
    <row r="103" spans="1:15" s="3" customFormat="1" x14ac:dyDescent="0.2">
      <c r="A103" s="1"/>
      <c r="B103" s="4">
        <v>37315</v>
      </c>
      <c r="C103" s="14">
        <v>-2.2187004754358249E-2</v>
      </c>
      <c r="D103" s="14">
        <v>3.5137034434294242E-3</v>
      </c>
      <c r="E103" s="14">
        <v>-3.554502369668254E-2</v>
      </c>
      <c r="F103" s="14">
        <v>5.8536585365853488E-2</v>
      </c>
      <c r="G103" s="14">
        <v>-5.6883759274525977E-2</v>
      </c>
      <c r="H103" s="14">
        <v>6.8493150684932076E-3</v>
      </c>
      <c r="I103" s="14">
        <v>6.3926940639269661E-3</v>
      </c>
      <c r="J103" s="14">
        <v>8.9999999999999854E-3</v>
      </c>
      <c r="K103" s="14">
        <v>-1.1737089201877894E-2</v>
      </c>
      <c r="L103" s="14">
        <v>6.9937369519832912E-2</v>
      </c>
      <c r="M103" s="14">
        <v>-8.8258627528758488E-3</v>
      </c>
      <c r="N103" s="14">
        <v>-1.7431192660550411E-2</v>
      </c>
      <c r="O103" s="14">
        <v>2.9623698959167413E-2</v>
      </c>
    </row>
    <row r="104" spans="1:15" s="3" customFormat="1" x14ac:dyDescent="0.2">
      <c r="A104" s="1"/>
      <c r="B104" s="4">
        <v>37346</v>
      </c>
      <c r="C104" s="14">
        <v>3.8087520259319337E-2</v>
      </c>
      <c r="D104" s="14">
        <v>5.1120448179271735E-2</v>
      </c>
      <c r="E104" s="14">
        <v>4.9140049140049179E-2</v>
      </c>
      <c r="F104" s="14">
        <v>7.0276497695852674E-2</v>
      </c>
      <c r="G104" s="14">
        <v>1.0780885780885914E-2</v>
      </c>
      <c r="H104" s="14">
        <v>-3.7414965986394565E-2</v>
      </c>
      <c r="I104" s="14">
        <v>-1.2704174228675187E-2</v>
      </c>
      <c r="J104" s="14">
        <v>2.1803766105054571E-2</v>
      </c>
      <c r="K104" s="14">
        <v>4.9881235154394292E-2</v>
      </c>
      <c r="L104" s="14">
        <v>0.11447154471544725</v>
      </c>
      <c r="M104" s="14">
        <v>5.5627813906953497E-2</v>
      </c>
      <c r="N104" s="14">
        <v>1.8674136321195078E-2</v>
      </c>
      <c r="O104" s="14">
        <v>3.5381026438569212E-2</v>
      </c>
    </row>
    <row r="105" spans="1:15" s="3" customFormat="1" x14ac:dyDescent="0.2">
      <c r="A105" s="1"/>
      <c r="B105" s="4">
        <v>37376</v>
      </c>
      <c r="C105" s="14">
        <v>-5.6986729117876687E-2</v>
      </c>
      <c r="D105" s="14">
        <v>-2.0652898067954728E-2</v>
      </c>
      <c r="E105" s="14">
        <v>-6.3231850117096117E-2</v>
      </c>
      <c r="F105" s="14">
        <v>5.2744886975242211E-2</v>
      </c>
      <c r="G105" s="14">
        <v>-9.6281349091957416E-2</v>
      </c>
      <c r="H105" s="14">
        <v>2.1201413427561804E-2</v>
      </c>
      <c r="I105" s="14">
        <v>1.3786764705882384E-2</v>
      </c>
      <c r="J105" s="14">
        <v>-5.8195926285160519E-3</v>
      </c>
      <c r="K105" s="14">
        <v>2.7149321266968351E-2</v>
      </c>
      <c r="L105" s="14">
        <v>5.3691275167785123E-2</v>
      </c>
      <c r="M105" s="14">
        <v>-2.3599658800113683E-2</v>
      </c>
      <c r="N105" s="14">
        <v>-4.1246562786434397E-2</v>
      </c>
      <c r="O105" s="14">
        <v>-1.1265490048817548E-3</v>
      </c>
    </row>
    <row r="106" spans="1:15" s="3" customFormat="1" x14ac:dyDescent="0.2">
      <c r="A106" s="1"/>
      <c r="B106" s="4">
        <v>37407</v>
      </c>
      <c r="C106" s="14">
        <v>-9.1059602649006151E-3</v>
      </c>
      <c r="D106" s="14">
        <v>-2.0408163265306896E-3</v>
      </c>
      <c r="E106" s="14">
        <v>-1.4999999999999902E-2</v>
      </c>
      <c r="F106" s="14">
        <v>4.9079754601226849E-2</v>
      </c>
      <c r="G106" s="14">
        <v>-6.3795853269536112E-4</v>
      </c>
      <c r="H106" s="14">
        <v>5.767012687427994E-3</v>
      </c>
      <c r="I106" s="14">
        <v>2.7198549410697515E-3</v>
      </c>
      <c r="J106" s="14">
        <v>-1.1707317073170655E-2</v>
      </c>
      <c r="K106" s="14">
        <v>-2.2026431718061203E-3</v>
      </c>
      <c r="L106" s="14">
        <v>-1.1908058709498745E-2</v>
      </c>
      <c r="M106" s="14">
        <v>2.0384391380313892E-3</v>
      </c>
      <c r="N106" s="14">
        <v>-1.9120458891012976E-3</v>
      </c>
      <c r="O106" s="14">
        <v>-4.8872180451127439E-3</v>
      </c>
    </row>
    <row r="107" spans="1:15" s="3" customFormat="1" x14ac:dyDescent="0.2">
      <c r="A107" s="1"/>
      <c r="B107" s="4">
        <v>37437</v>
      </c>
      <c r="C107" s="14">
        <v>-6.5998329156223973E-2</v>
      </c>
      <c r="D107" s="14">
        <v>-0.10224948875255624</v>
      </c>
      <c r="E107" s="14">
        <v>-8.121827411167519E-2</v>
      </c>
      <c r="F107" s="14">
        <v>-4.1910331384015564E-2</v>
      </c>
      <c r="G107" s="14">
        <v>-0.10979891477816793</v>
      </c>
      <c r="H107" s="14">
        <v>-1.1467889908256636E-3</v>
      </c>
      <c r="I107" s="14">
        <v>4.5207956600362307E-3</v>
      </c>
      <c r="J107" s="14">
        <v>-5.6268509378084919E-2</v>
      </c>
      <c r="K107" s="14">
        <v>-3.3112582781457033E-2</v>
      </c>
      <c r="L107" s="14">
        <v>-0.12443946188340801</v>
      </c>
      <c r="M107" s="14">
        <v>-4.8241790177274084E-2</v>
      </c>
      <c r="N107" s="14">
        <v>-5.4597701149425311E-2</v>
      </c>
      <c r="O107" s="14">
        <v>-4.7223271628258401E-2</v>
      </c>
    </row>
    <row r="108" spans="1:15" s="3" customFormat="1" x14ac:dyDescent="0.2">
      <c r="A108" s="1"/>
      <c r="B108" s="4">
        <v>37468</v>
      </c>
      <c r="C108" s="14">
        <v>-7.423971377459751E-2</v>
      </c>
      <c r="D108" s="14">
        <v>-7.2892938496583071E-2</v>
      </c>
      <c r="E108" s="14">
        <v>-8.4254143646408888E-2</v>
      </c>
      <c r="F108" s="14">
        <v>-7.8331637843336674E-2</v>
      </c>
      <c r="G108" s="14">
        <v>-8.605234851201142E-2</v>
      </c>
      <c r="H108" s="14">
        <v>-1.1481056257175413E-3</v>
      </c>
      <c r="I108" s="14">
        <v>6.300630063006166E-3</v>
      </c>
      <c r="J108" s="14">
        <v>-6.5899581589958234E-2</v>
      </c>
      <c r="K108" s="14">
        <v>-6.6210045662100467E-2</v>
      </c>
      <c r="L108" s="14">
        <v>-0.1296414852752881</v>
      </c>
      <c r="M108" s="14">
        <v>-6.8396946564885486E-2</v>
      </c>
      <c r="N108" s="14">
        <v>-8.611955420466072E-2</v>
      </c>
      <c r="O108" s="14">
        <v>-9.2783505154639165E-2</v>
      </c>
    </row>
    <row r="109" spans="1:15" s="3" customFormat="1" x14ac:dyDescent="0.2">
      <c r="A109" s="1"/>
      <c r="B109" s="4">
        <v>37499</v>
      </c>
      <c r="C109" s="14">
        <v>-2.8985507246376196E-3</v>
      </c>
      <c r="D109" s="14">
        <v>1.638001638001603E-3</v>
      </c>
      <c r="E109" s="14">
        <v>1.5082956259427865E-3</v>
      </c>
      <c r="F109" s="14">
        <v>-4.4150110375276953E-3</v>
      </c>
      <c r="G109" s="14">
        <v>2.7854060415849383E-2</v>
      </c>
      <c r="H109" s="14">
        <v>4.252873563218381E-2</v>
      </c>
      <c r="I109" s="14">
        <v>4.4722719141324432E-3</v>
      </c>
      <c r="J109" s="14">
        <v>3.3594624860023669E-3</v>
      </c>
      <c r="K109" s="14">
        <v>-3.6674816625916741E-2</v>
      </c>
      <c r="L109" s="14">
        <v>1.8756895917616829E-2</v>
      </c>
      <c r="M109" s="14">
        <v>2.1195236534469548E-2</v>
      </c>
      <c r="N109" s="14">
        <v>2.1064301552106573E-2</v>
      </c>
      <c r="O109" s="14">
        <v>1.3986013986013996E-2</v>
      </c>
    </row>
    <row r="110" spans="1:15" s="3" customFormat="1" x14ac:dyDescent="0.2">
      <c r="A110" s="1"/>
      <c r="B110" s="4">
        <v>37529</v>
      </c>
      <c r="C110" s="14">
        <v>-9.7868217054263545E-2</v>
      </c>
      <c r="D110" s="14">
        <v>-0.12837285363859363</v>
      </c>
      <c r="E110" s="14">
        <v>-9.0361445783132599E-2</v>
      </c>
      <c r="F110" s="14">
        <v>-3.2150776053214987E-2</v>
      </c>
      <c r="G110" s="14">
        <v>-8.396946564885506E-2</v>
      </c>
      <c r="H110" s="14">
        <v>2.094818081587646E-2</v>
      </c>
      <c r="I110" s="14">
        <v>3.5618878005343655E-3</v>
      </c>
      <c r="J110" s="14">
        <v>-8.0357142857142919E-2</v>
      </c>
      <c r="K110" s="14">
        <v>-8.375634517766499E-2</v>
      </c>
      <c r="L110" s="14">
        <v>-5.8844765342960376E-2</v>
      </c>
      <c r="M110" s="14">
        <v>-0.1070931849791376</v>
      </c>
      <c r="N110" s="14">
        <v>-8.6862106406080414E-2</v>
      </c>
      <c r="O110" s="14">
        <v>-9.2672413793103522E-2</v>
      </c>
    </row>
    <row r="111" spans="1:15" s="3" customFormat="1" x14ac:dyDescent="0.2">
      <c r="A111" s="1"/>
      <c r="B111" s="4">
        <v>37560</v>
      </c>
      <c r="C111" s="14">
        <v>7.3039742212674508E-2</v>
      </c>
      <c r="D111" s="14">
        <v>7.2232645403377066E-2</v>
      </c>
      <c r="E111" s="14">
        <v>7.4503311258278179E-2</v>
      </c>
      <c r="F111" s="14">
        <v>-5.6128293241695326E-2</v>
      </c>
      <c r="G111" s="14">
        <v>5.6666666666666789E-2</v>
      </c>
      <c r="H111" s="14">
        <v>-4.3196544276457728E-2</v>
      </c>
      <c r="I111" s="14">
        <v>8.8731144631763845E-4</v>
      </c>
      <c r="J111" s="14">
        <v>2.9126213592233035E-2</v>
      </c>
      <c r="K111" s="14">
        <v>8.3102493074791693E-3</v>
      </c>
      <c r="L111" s="14">
        <v>7.2497123130034549E-2</v>
      </c>
      <c r="M111" s="14">
        <v>7.7162712676731332E-2</v>
      </c>
      <c r="N111" s="14">
        <v>8.2045184304399457E-2</v>
      </c>
      <c r="O111" s="14">
        <v>5.5106888361045138E-2</v>
      </c>
    </row>
    <row r="112" spans="1:15" s="3" customFormat="1" x14ac:dyDescent="0.2">
      <c r="A112" s="1"/>
      <c r="B112" s="4">
        <v>37590</v>
      </c>
      <c r="C112" s="14">
        <v>4.8048048048048089E-2</v>
      </c>
      <c r="D112" s="14">
        <v>5.7742782152230984E-2</v>
      </c>
      <c r="E112" s="14">
        <v>4.4684129429892146E-2</v>
      </c>
      <c r="F112" s="14">
        <v>4.733009708737871E-2</v>
      </c>
      <c r="G112" s="14">
        <v>6.9400630914826414E-2</v>
      </c>
      <c r="H112" s="14">
        <v>7.900677200902765E-3</v>
      </c>
      <c r="I112" s="14">
        <v>-2.6595744680852069E-3</v>
      </c>
      <c r="J112" s="14">
        <v>7.6650943396226454E-2</v>
      </c>
      <c r="K112" s="14">
        <v>4.6703296703296683E-2</v>
      </c>
      <c r="L112" s="14">
        <v>4.6494992846924203E-2</v>
      </c>
      <c r="M112" s="14">
        <v>3.7931034482758579E-2</v>
      </c>
      <c r="N112" s="14">
        <v>5.7142857142857294E-2</v>
      </c>
      <c r="O112" s="14">
        <v>5.4479963980189137E-2</v>
      </c>
    </row>
    <row r="113" spans="1:15" s="3" customFormat="1" x14ac:dyDescent="0.2">
      <c r="A113" s="1"/>
      <c r="B113" s="4">
        <v>37621</v>
      </c>
      <c r="C113" s="14">
        <v>-6.8767908309455644E-2</v>
      </c>
      <c r="D113" s="14">
        <v>-6.4516129032258007E-2</v>
      </c>
      <c r="E113" s="14">
        <v>-5.6047197640117979E-2</v>
      </c>
      <c r="F113" s="14">
        <v>-2.3174971031286334E-2</v>
      </c>
      <c r="G113" s="14">
        <v>-2.6548672566371639E-2</v>
      </c>
      <c r="H113" s="14">
        <v>3.359462486002248E-2</v>
      </c>
      <c r="I113" s="14">
        <v>8.8888888888886996E-4</v>
      </c>
      <c r="J113" s="14">
        <v>-4.8192771084337484E-2</v>
      </c>
      <c r="K113" s="14">
        <v>-4.1994750656167902E-2</v>
      </c>
      <c r="L113" s="14">
        <v>4.1011619958988719E-3</v>
      </c>
      <c r="M113" s="14">
        <v>-4.8547851248526432E-2</v>
      </c>
      <c r="N113" s="14">
        <v>-4.7817047817047903E-2</v>
      </c>
      <c r="O113" s="14">
        <v>-5.0384286934244217E-2</v>
      </c>
    </row>
    <row r="114" spans="1:15" s="3" customFormat="1" x14ac:dyDescent="0.2">
      <c r="A114" s="1"/>
      <c r="B114" s="4">
        <v>37652</v>
      </c>
      <c r="C114" s="14">
        <v>-2.8717948717948652E-2</v>
      </c>
      <c r="D114" s="14">
        <v>-8.8417329796639816E-3</v>
      </c>
      <c r="E114" s="14">
        <v>-1.4062499999999978E-2</v>
      </c>
      <c r="F114" s="14">
        <v>-4.2704626334519505E-2</v>
      </c>
      <c r="G114" s="14">
        <v>-2.8787878787878845E-2</v>
      </c>
      <c r="H114" s="14">
        <v>-3.2502708559045894E-3</v>
      </c>
      <c r="I114" s="14">
        <v>-8.8809946714030078E-4</v>
      </c>
      <c r="J114" s="14">
        <v>-2.9919447640966605E-2</v>
      </c>
      <c r="K114" s="14">
        <v>3.0136986301369826E-2</v>
      </c>
      <c r="L114" s="14">
        <v>-4.9012933968686223E-2</v>
      </c>
      <c r="M114" s="14">
        <v>-2.0838026582563576E-2</v>
      </c>
      <c r="N114" s="14">
        <v>-1.6375545851528422E-2</v>
      </c>
      <c r="O114" s="14">
        <v>-4.271582733812946E-2</v>
      </c>
    </row>
    <row r="115" spans="1:15" s="3" customFormat="1" x14ac:dyDescent="0.2">
      <c r="A115" s="1"/>
      <c r="B115" s="4">
        <v>37680</v>
      </c>
      <c r="C115" s="14">
        <v>-4.2238648363253344E-3</v>
      </c>
      <c r="D115" s="14">
        <v>-2.7653880463871586E-2</v>
      </c>
      <c r="E115" s="14">
        <v>7.9239302694136E-3</v>
      </c>
      <c r="F115" s="14">
        <v>8.6741016109046203E-3</v>
      </c>
      <c r="G115" s="14">
        <v>-4.6801872074882969E-2</v>
      </c>
      <c r="H115" s="14">
        <v>2.4999999999999849E-2</v>
      </c>
      <c r="I115" s="14">
        <v>4.4444444444445078E-3</v>
      </c>
      <c r="J115" s="14">
        <v>-9.4899169632265811E-3</v>
      </c>
      <c r="K115" s="14">
        <v>0</v>
      </c>
      <c r="L115" s="14">
        <v>6.4065855404438043E-2</v>
      </c>
      <c r="M115" s="14">
        <v>-3.2094788910617809E-2</v>
      </c>
      <c r="N115" s="14">
        <v>-7.769145394006494E-3</v>
      </c>
      <c r="O115" s="14">
        <v>-3.9924847346171972E-2</v>
      </c>
    </row>
    <row r="116" spans="1:15" s="3" customFormat="1" x14ac:dyDescent="0.2">
      <c r="A116" s="1"/>
      <c r="B116" s="4">
        <v>37711</v>
      </c>
      <c r="C116" s="14">
        <v>7.4231177094379944E-3</v>
      </c>
      <c r="D116" s="14">
        <v>2.7522935779815925E-3</v>
      </c>
      <c r="E116" s="14">
        <v>0</v>
      </c>
      <c r="F116" s="14">
        <v>-3.6855036855036834E-2</v>
      </c>
      <c r="G116" s="14">
        <v>2.9459901800327284E-2</v>
      </c>
      <c r="H116" s="14">
        <v>-1.5906680805938343E-2</v>
      </c>
      <c r="I116" s="14">
        <v>-8.849557522123705E-4</v>
      </c>
      <c r="J116" s="14">
        <v>7.1856287425150298E-3</v>
      </c>
      <c r="K116" s="14">
        <v>-4.2553191489361736E-2</v>
      </c>
      <c r="L116" s="14">
        <v>-4.2045072317524385E-2</v>
      </c>
      <c r="M116" s="14">
        <v>-9.507962918944413E-4</v>
      </c>
      <c r="N116" s="14">
        <v>-1.0067114093959913E-2</v>
      </c>
      <c r="O116" s="14">
        <v>4.8923679060666053E-3</v>
      </c>
    </row>
    <row r="117" spans="1:15" s="3" customFormat="1" x14ac:dyDescent="0.2">
      <c r="A117" s="1"/>
      <c r="B117" s="4">
        <v>37741</v>
      </c>
      <c r="C117" s="14">
        <v>7.0526315789473673E-2</v>
      </c>
      <c r="D117" s="14">
        <v>6.8618481244281798E-2</v>
      </c>
      <c r="E117" s="14">
        <v>7.8616352201257858E-2</v>
      </c>
      <c r="F117" s="14">
        <v>1.0204081632653069E-2</v>
      </c>
      <c r="G117" s="14">
        <v>0.10651828298887121</v>
      </c>
      <c r="H117" s="14">
        <v>1.9396551724137897E-2</v>
      </c>
      <c r="I117" s="14">
        <v>2.6572187776793053E-3</v>
      </c>
      <c r="J117" s="14">
        <v>9.0368608799048719E-2</v>
      </c>
      <c r="K117" s="14">
        <v>5.5555555555555601E-3</v>
      </c>
      <c r="L117" s="14">
        <v>1.2289325842696678E-2</v>
      </c>
      <c r="M117" s="14">
        <v>0.1125386628598621</v>
      </c>
      <c r="N117" s="14">
        <v>5.6497175141242938E-2</v>
      </c>
      <c r="O117" s="14">
        <v>8.6660175267770076E-2</v>
      </c>
    </row>
    <row r="118" spans="1:15" s="3" customFormat="1" x14ac:dyDescent="0.2">
      <c r="A118" s="1"/>
      <c r="B118" s="4">
        <v>37772</v>
      </c>
      <c r="C118" s="14">
        <v>4.8180924287118995E-2</v>
      </c>
      <c r="D118" s="14">
        <v>7.1917808219178217E-2</v>
      </c>
      <c r="E118" s="14">
        <v>6.2682215743440184E-2</v>
      </c>
      <c r="F118" s="14">
        <v>3.7878787878787852E-2</v>
      </c>
      <c r="G118" s="14">
        <v>9.5545977011494254E-2</v>
      </c>
      <c r="H118" s="14">
        <v>4.8625792811839222E-2</v>
      </c>
      <c r="I118" s="14">
        <v>0</v>
      </c>
      <c r="J118" s="14">
        <v>6.2159214830970588E-2</v>
      </c>
      <c r="K118" s="14">
        <v>0.11325966850828732</v>
      </c>
      <c r="L118" s="14">
        <v>0.16649323621227888</v>
      </c>
      <c r="M118" s="14">
        <v>5.1325919589392609E-2</v>
      </c>
      <c r="N118" s="14">
        <v>5.3475935828877004E-2</v>
      </c>
      <c r="O118" s="14">
        <v>7.213261648745517E-2</v>
      </c>
    </row>
    <row r="119" spans="1:15" s="3" customFormat="1" x14ac:dyDescent="0.2">
      <c r="A119" s="1"/>
      <c r="B119" s="4">
        <v>37802</v>
      </c>
      <c r="C119" s="14">
        <v>3.7523452157599366E-3</v>
      </c>
      <c r="D119" s="14">
        <v>7.1884984025558981E-3</v>
      </c>
      <c r="E119" s="14">
        <v>9.6021947873800115E-3</v>
      </c>
      <c r="F119" s="14">
        <v>7.7858880778588865E-2</v>
      </c>
      <c r="G119" s="14">
        <v>1.6065573770491868E-2</v>
      </c>
      <c r="H119" s="14">
        <v>-1.713709677419354E-2</v>
      </c>
      <c r="I119" s="14">
        <v>8.8339222614839102E-4</v>
      </c>
      <c r="J119" s="14">
        <v>-2.0533880903490323E-3</v>
      </c>
      <c r="K119" s="14">
        <v>3.4739454094292722E-2</v>
      </c>
      <c r="L119" s="14">
        <v>-7.3148974130240879E-2</v>
      </c>
      <c r="M119" s="14">
        <v>-1.0170870626530833E-4</v>
      </c>
      <c r="N119" s="14">
        <v>1.1167512690355453E-2</v>
      </c>
      <c r="O119" s="14">
        <v>8.3577099874635533E-3</v>
      </c>
    </row>
    <row r="120" spans="1:15" s="3" customFormat="1" x14ac:dyDescent="0.2">
      <c r="A120" s="1"/>
      <c r="B120" s="4">
        <v>37833</v>
      </c>
      <c r="C120" s="14">
        <v>2.5233644859813043E-2</v>
      </c>
      <c r="D120" s="14">
        <v>2.5376685170499624E-2</v>
      </c>
      <c r="E120" s="14">
        <v>1.0869565217391313E-2</v>
      </c>
      <c r="F120" s="14">
        <v>4.5146726862302318E-2</v>
      </c>
      <c r="G120" s="14">
        <v>-5.0338818973862609E-2</v>
      </c>
      <c r="H120" s="14">
        <v>-9.0256410256410152E-2</v>
      </c>
      <c r="I120" s="14">
        <v>-1.9417475728155241E-2</v>
      </c>
      <c r="J120" s="14">
        <v>3.4979423868312744E-2</v>
      </c>
      <c r="K120" s="14">
        <v>9.3525179856115248E-2</v>
      </c>
      <c r="L120" s="14">
        <v>-8.2771896053898036E-2</v>
      </c>
      <c r="M120" s="14">
        <v>4.2213406571050813E-2</v>
      </c>
      <c r="N120" s="14">
        <v>-3.0120481927711981E-3</v>
      </c>
      <c r="O120" s="14">
        <v>-3.3153750518028114E-3</v>
      </c>
    </row>
    <row r="121" spans="1:15" s="3" customFormat="1" x14ac:dyDescent="0.2">
      <c r="A121" s="1"/>
      <c r="B121" s="4">
        <v>37864</v>
      </c>
      <c r="C121" s="14">
        <v>1.9143117593436561E-2</v>
      </c>
      <c r="D121" s="14">
        <v>1.7014694508893955E-2</v>
      </c>
      <c r="E121" s="14">
        <v>1.8817204301075224E-2</v>
      </c>
      <c r="F121" s="14">
        <v>9.0712742980561548E-2</v>
      </c>
      <c r="G121" s="14">
        <v>8.8345225959905391E-3</v>
      </c>
      <c r="H121" s="14">
        <v>1.3528748590755266E-2</v>
      </c>
      <c r="I121" s="14">
        <v>7.2007200720072065E-3</v>
      </c>
      <c r="J121" s="14">
        <v>3.1809145129224677E-2</v>
      </c>
      <c r="K121" s="14">
        <v>7.67543859649122E-2</v>
      </c>
      <c r="L121" s="14">
        <v>7.6949982511367712E-2</v>
      </c>
      <c r="M121" s="14">
        <v>-9.7599063049003045E-4</v>
      </c>
      <c r="N121" s="14">
        <v>1.9133937562940715E-2</v>
      </c>
      <c r="O121" s="14">
        <v>2.7442827442827448E-2</v>
      </c>
    </row>
    <row r="122" spans="1:15" s="3" customFormat="1" x14ac:dyDescent="0.2">
      <c r="A122" s="1"/>
      <c r="B122" s="4">
        <v>37894</v>
      </c>
      <c r="C122" s="14">
        <v>-1.073345259391764E-2</v>
      </c>
      <c r="D122" s="14">
        <v>-1.4448669201520874E-2</v>
      </c>
      <c r="E122" s="14">
        <v>7.9155672823219645E-3</v>
      </c>
      <c r="F122" s="14">
        <v>3.5643564356435765E-2</v>
      </c>
      <c r="G122" s="14">
        <v>2.0208824520039988E-3</v>
      </c>
      <c r="H122" s="14">
        <v>4.5606229143492785E-2</v>
      </c>
      <c r="I122" s="14">
        <v>1.6979445933869481E-2</v>
      </c>
      <c r="J122" s="14">
        <v>-2.6011560693641748E-2</v>
      </c>
      <c r="K122" s="14">
        <v>3.2586558044806542E-2</v>
      </c>
      <c r="L122" s="14">
        <v>-5.4238389087366078E-2</v>
      </c>
      <c r="M122" s="14">
        <v>5.9593591246580643E-3</v>
      </c>
      <c r="N122" s="14">
        <v>-9.8814229249011495E-3</v>
      </c>
      <c r="O122" s="14">
        <v>-1.4973694860380452E-2</v>
      </c>
    </row>
    <row r="123" spans="1:15" s="3" customFormat="1" x14ac:dyDescent="0.2">
      <c r="A123" s="1"/>
      <c r="B123" s="4">
        <v>37925</v>
      </c>
      <c r="C123" s="14">
        <v>5.1537070524412323E-2</v>
      </c>
      <c r="D123" s="14">
        <v>4.3209876543209909E-2</v>
      </c>
      <c r="E123" s="14">
        <v>3.2722513089005235E-2</v>
      </c>
      <c r="F123" s="14">
        <v>6.8833652007648072E-2</v>
      </c>
      <c r="G123" s="14">
        <v>6.9243697478991673E-2</v>
      </c>
      <c r="H123" s="14">
        <v>-2.2340425531914794E-2</v>
      </c>
      <c r="I123" s="14">
        <v>-6.1511423550088115E-3</v>
      </c>
      <c r="J123" s="14">
        <v>5.6379821958457005E-2</v>
      </c>
      <c r="K123" s="14">
        <v>0.17159763313609469</v>
      </c>
      <c r="L123" s="14">
        <v>-1.3049450549450515E-2</v>
      </c>
      <c r="M123" s="14">
        <v>7.128289793143637E-2</v>
      </c>
      <c r="N123" s="14">
        <v>2.9940119760478931E-2</v>
      </c>
      <c r="O123" s="14">
        <v>4.8069022185702616E-2</v>
      </c>
    </row>
    <row r="124" spans="1:15" s="3" customFormat="1" x14ac:dyDescent="0.2">
      <c r="A124" s="1"/>
      <c r="B124" s="4">
        <v>37955</v>
      </c>
      <c r="C124" s="14">
        <v>7.7386070507308559E-3</v>
      </c>
      <c r="D124" s="14">
        <v>1.5532544378698155E-2</v>
      </c>
      <c r="E124" s="14">
        <v>2.5348542458808075E-3</v>
      </c>
      <c r="F124" s="14">
        <v>-3.4883720930232454E-2</v>
      </c>
      <c r="G124" s="14">
        <v>-9.4309965419679571E-3</v>
      </c>
      <c r="H124" s="14">
        <v>0</v>
      </c>
      <c r="I124" s="14">
        <v>-8.841732979663825E-4</v>
      </c>
      <c r="J124" s="14">
        <v>2.7153558052434544E-2</v>
      </c>
      <c r="K124" s="14">
        <v>2.8619528619528607E-2</v>
      </c>
      <c r="L124" s="14">
        <v>-1.7397355601948501E-2</v>
      </c>
      <c r="M124" s="14">
        <v>4.532680627322999E-3</v>
      </c>
      <c r="N124" s="14">
        <v>3.8759689922481513E-3</v>
      </c>
      <c r="O124" s="14">
        <v>2.2344178753430036E-2</v>
      </c>
    </row>
    <row r="125" spans="1:15" s="3" customFormat="1" x14ac:dyDescent="0.2">
      <c r="A125" s="1"/>
      <c r="B125" s="4">
        <v>37986</v>
      </c>
      <c r="C125" s="14">
        <v>3.754266211604091E-2</v>
      </c>
      <c r="D125" s="14">
        <v>4.5884923525127512E-2</v>
      </c>
      <c r="E125" s="14">
        <v>4.9304677623261767E-2</v>
      </c>
      <c r="F125" s="14">
        <v>6.9508804448563485E-2</v>
      </c>
      <c r="G125" s="14">
        <v>4.5382418279911241E-2</v>
      </c>
      <c r="H125" s="14">
        <v>8.7051142546244048E-3</v>
      </c>
      <c r="I125" s="14">
        <v>-7.079646017699121E-3</v>
      </c>
      <c r="J125" s="14">
        <v>8.2041932543299775E-3</v>
      </c>
      <c r="K125" s="14">
        <v>7.3649754500818357E-2</v>
      </c>
      <c r="L125" s="14">
        <v>0.11933427762039663</v>
      </c>
      <c r="M125" s="14">
        <v>3.709051529645338E-2</v>
      </c>
      <c r="N125" s="14">
        <v>5.5019305019304868E-2</v>
      </c>
      <c r="O125" s="14">
        <v>5.5214723926380278E-2</v>
      </c>
    </row>
    <row r="126" spans="1:15" s="3" customFormat="1" x14ac:dyDescent="0.2">
      <c r="A126" s="1"/>
      <c r="B126" s="4">
        <v>38017</v>
      </c>
      <c r="C126" s="14">
        <v>2.4671052631579007E-2</v>
      </c>
      <c r="D126" s="14">
        <v>3.0640668523676844E-2</v>
      </c>
      <c r="E126" s="14">
        <v>2.1686746987951772E-2</v>
      </c>
      <c r="F126" s="14">
        <v>-6.9324090121317215E-3</v>
      </c>
      <c r="G126" s="14">
        <v>8.5003035822706127E-3</v>
      </c>
      <c r="H126" s="14">
        <v>1.4023732470334498E-2</v>
      </c>
      <c r="I126" s="14">
        <v>3.5650623885917243E-3</v>
      </c>
      <c r="J126" s="14">
        <v>2.9837251356238704E-2</v>
      </c>
      <c r="K126" s="14">
        <v>6.0975609756097606E-3</v>
      </c>
      <c r="L126" s="14">
        <v>6.9281872825055393E-2</v>
      </c>
      <c r="M126" s="14">
        <v>2.8193525931082569E-2</v>
      </c>
      <c r="N126" s="14">
        <v>8.2342177493139653E-3</v>
      </c>
      <c r="O126" s="14">
        <v>2.1802325581396177E-3</v>
      </c>
    </row>
    <row r="127" spans="1:15" s="3" customFormat="1" x14ac:dyDescent="0.2">
      <c r="A127" s="1"/>
      <c r="B127" s="4">
        <v>38046</v>
      </c>
      <c r="C127" s="14">
        <v>4.8154093097913719E-3</v>
      </c>
      <c r="D127" s="14">
        <v>8.7837837837838363E-3</v>
      </c>
      <c r="E127" s="14">
        <v>1.4150943396226322E-2</v>
      </c>
      <c r="F127" s="14">
        <v>-1.1343804537521882E-2</v>
      </c>
      <c r="G127" s="14">
        <v>2.1673690547862914E-2</v>
      </c>
      <c r="H127" s="14">
        <v>1.1702127659574407E-2</v>
      </c>
      <c r="I127" s="14">
        <v>5.3285968028419627E-3</v>
      </c>
      <c r="J127" s="14">
        <v>2.3705004389815588E-2</v>
      </c>
      <c r="K127" s="14">
        <v>5.6060606060606075E-2</v>
      </c>
      <c r="L127" s="14">
        <v>5.4733727810650709E-2</v>
      </c>
      <c r="M127" s="14">
        <v>2.4796885578876035E-2</v>
      </c>
      <c r="N127" s="14">
        <v>7.2595281306713508E-3</v>
      </c>
      <c r="O127" s="14">
        <v>1.6678752719361888E-2</v>
      </c>
    </row>
    <row r="128" spans="1:15" s="3" customFormat="1" x14ac:dyDescent="0.2">
      <c r="A128" s="1"/>
      <c r="B128" s="4">
        <v>38077</v>
      </c>
      <c r="C128" s="14">
        <v>-1.5974440894568773E-2</v>
      </c>
      <c r="D128" s="14">
        <v>-1.138647019423978E-2</v>
      </c>
      <c r="E128" s="14">
        <v>-1.7441860465116116E-2</v>
      </c>
      <c r="F128" s="14">
        <v>0.15445719329214475</v>
      </c>
      <c r="G128" s="14">
        <v>-1.0901591043017222E-2</v>
      </c>
      <c r="H128" s="14">
        <v>8.4121976866456446E-3</v>
      </c>
      <c r="I128" s="14">
        <v>8.8339222614839102E-4</v>
      </c>
      <c r="J128" s="14">
        <v>7.7186963979416689E-3</v>
      </c>
      <c r="K128" s="14">
        <v>-3.2998565279770506E-2</v>
      </c>
      <c r="L128" s="14">
        <v>-2.6086956521739122E-2</v>
      </c>
      <c r="M128" s="14">
        <v>-7.2673218267404029E-3</v>
      </c>
      <c r="N128" s="14">
        <v>-1.8918918918918837E-2</v>
      </c>
      <c r="O128" s="14">
        <v>-3.5663338088445583E-3</v>
      </c>
    </row>
    <row r="129" spans="1:15" s="3" customFormat="1" x14ac:dyDescent="0.2">
      <c r="A129" s="1"/>
      <c r="B129" s="4">
        <v>38107</v>
      </c>
      <c r="C129" s="14">
        <v>-2.4350649350649265E-2</v>
      </c>
      <c r="D129" s="14">
        <v>-6.7750677506776026E-3</v>
      </c>
      <c r="E129" s="14">
        <v>-9.4674556213017822E-3</v>
      </c>
      <c r="F129" s="14">
        <v>-5.2752293577981613E-2</v>
      </c>
      <c r="G129" s="14">
        <v>-5.9577003276723329E-4</v>
      </c>
      <c r="H129" s="14">
        <v>-5.6308654848800745E-2</v>
      </c>
      <c r="I129" s="14">
        <v>-1.9417475728155241E-2</v>
      </c>
      <c r="J129" s="14">
        <v>-1.7872340425531836E-2</v>
      </c>
      <c r="K129" s="14">
        <v>-0.10089020771513349</v>
      </c>
      <c r="L129" s="14">
        <v>-2.304147465437739E-3</v>
      </c>
      <c r="M129" s="14">
        <v>-7.2539722152899083E-2</v>
      </c>
      <c r="N129" s="14">
        <v>9.1827364554635318E-4</v>
      </c>
      <c r="O129" s="14">
        <v>-6.4423765211166677E-3</v>
      </c>
    </row>
    <row r="130" spans="1:15" s="3" customFormat="1" x14ac:dyDescent="0.2">
      <c r="A130" s="1"/>
      <c r="B130" s="4">
        <v>38138</v>
      </c>
      <c r="C130" s="14">
        <v>1.6638935108153018E-2</v>
      </c>
      <c r="D130" s="14">
        <v>2.0463847203274991E-3</v>
      </c>
      <c r="E130" s="14">
        <v>1.0752688172042993E-2</v>
      </c>
      <c r="F130" s="14">
        <v>-1.7756255044390688E-2</v>
      </c>
      <c r="G130" s="14">
        <v>-5.6631892697467899E-3</v>
      </c>
      <c r="H130" s="14">
        <v>-1.1049723756906037E-2</v>
      </c>
      <c r="I130" s="14">
        <v>-4.5004500450045639E-3</v>
      </c>
      <c r="J130" s="14">
        <v>6.0658578856151212E-3</v>
      </c>
      <c r="K130" s="14">
        <v>-4.9504950495049913E-3</v>
      </c>
      <c r="L130" s="14">
        <v>-4.185912240184745E-2</v>
      </c>
      <c r="M130" s="14">
        <v>1.6862498878823171E-2</v>
      </c>
      <c r="N130" s="14">
        <v>-1.0091743119266002E-2</v>
      </c>
      <c r="O130" s="14">
        <v>6.8443804034582587E-3</v>
      </c>
    </row>
    <row r="131" spans="1:15" s="3" customFormat="1" x14ac:dyDescent="0.2">
      <c r="A131" s="1"/>
      <c r="B131" s="4">
        <v>38168</v>
      </c>
      <c r="C131" s="14">
        <v>2.1276595744680833E-2</v>
      </c>
      <c r="D131" s="14">
        <v>1.633764465622874E-2</v>
      </c>
      <c r="E131" s="14">
        <v>1.7730496453900749E-2</v>
      </c>
      <c r="F131" s="14">
        <v>5.9161873459326268E-2</v>
      </c>
      <c r="G131" s="14">
        <v>3.0275779376498956E-2</v>
      </c>
      <c r="H131" s="14">
        <v>3.3519553072624978E-3</v>
      </c>
      <c r="I131" s="14">
        <v>4.5207956600362307E-3</v>
      </c>
      <c r="J131" s="14">
        <v>1.2058570198105131E-2</v>
      </c>
      <c r="K131" s="14">
        <v>-2.8192371475953552E-2</v>
      </c>
      <c r="L131" s="14">
        <v>9.2799035854172873E-2</v>
      </c>
      <c r="M131" s="14">
        <v>1.1378671606245092E-2</v>
      </c>
      <c r="N131" s="14">
        <v>1.4828544949026889E-2</v>
      </c>
      <c r="O131" s="14">
        <v>3.613595706618955E-2</v>
      </c>
    </row>
    <row r="132" spans="1:15" s="3" customFormat="1" x14ac:dyDescent="0.2">
      <c r="A132" s="1"/>
      <c r="B132" s="4">
        <v>38199</v>
      </c>
      <c r="C132" s="14">
        <v>-5.3685897435897426E-2</v>
      </c>
      <c r="D132" s="14">
        <v>-2.0763563295378464E-2</v>
      </c>
      <c r="E132" s="14">
        <v>-3.1358885017421755E-2</v>
      </c>
      <c r="F132" s="14">
        <v>-9.387121799844847E-2</v>
      </c>
      <c r="G132" s="14">
        <v>1.1638056444573714E-2</v>
      </c>
      <c r="H132" s="14">
        <v>1.2249443207126886E-2</v>
      </c>
      <c r="I132" s="14">
        <v>5.4005400540052852E-3</v>
      </c>
      <c r="J132" s="14">
        <v>-3.0638297872340379E-2</v>
      </c>
      <c r="K132" s="14">
        <v>-1.0238907849829284E-2</v>
      </c>
      <c r="L132" s="14">
        <v>3.8047973531844373E-2</v>
      </c>
      <c r="M132" s="14">
        <v>-2.128030699459281E-2</v>
      </c>
      <c r="N132" s="14">
        <v>-1.8264840182648498E-2</v>
      </c>
      <c r="O132" s="14">
        <v>-2.3480662983425403E-2</v>
      </c>
    </row>
    <row r="133" spans="1:15" s="3" customFormat="1" x14ac:dyDescent="0.2">
      <c r="A133" s="1"/>
      <c r="B133" s="4">
        <v>38230</v>
      </c>
      <c r="C133" s="14">
        <v>-5.0804403048264604E-3</v>
      </c>
      <c r="D133" s="14">
        <v>1.0259917920656659E-2</v>
      </c>
      <c r="E133" s="14">
        <v>0</v>
      </c>
      <c r="F133" s="14">
        <v>1.3698630136986314E-2</v>
      </c>
      <c r="G133" s="14">
        <v>1.7543859649122789E-2</v>
      </c>
      <c r="H133" s="14">
        <v>3.1903190319032007E-2</v>
      </c>
      <c r="I133" s="14">
        <v>1.3428827215756523E-2</v>
      </c>
      <c r="J133" s="14">
        <v>2.6338893766461244E-3</v>
      </c>
      <c r="K133" s="14">
        <v>8.6206896551723824E-3</v>
      </c>
      <c r="L133" s="14">
        <v>-1.938911022576353E-2</v>
      </c>
      <c r="M133" s="14">
        <v>2.8337194795936615E-2</v>
      </c>
      <c r="N133" s="14">
        <v>5.5813953488372554E-3</v>
      </c>
      <c r="O133" s="14">
        <v>2.4752475247524853E-3</v>
      </c>
    </row>
    <row r="134" spans="1:15" s="3" customFormat="1" x14ac:dyDescent="0.2">
      <c r="A134" s="1"/>
      <c r="B134" s="4">
        <v>38260</v>
      </c>
      <c r="C134" s="14">
        <v>8.510638297872462E-3</v>
      </c>
      <c r="D134" s="14">
        <v>-1.3540961408260899E-3</v>
      </c>
      <c r="E134" s="14">
        <v>2.8776978417266213E-2</v>
      </c>
      <c r="F134" s="14">
        <v>-3.1249999999999934E-2</v>
      </c>
      <c r="G134" s="14">
        <v>3.3352176370830967E-2</v>
      </c>
      <c r="H134" s="14">
        <v>5.3304904051171571E-3</v>
      </c>
      <c r="I134" s="14">
        <v>-2.6501766784451731E-3</v>
      </c>
      <c r="J134" s="14">
        <v>1.8388791593695348E-2</v>
      </c>
      <c r="K134" s="14">
        <v>6.8376068376068272E-2</v>
      </c>
      <c r="L134" s="14">
        <v>0.10563380281690136</v>
      </c>
      <c r="M134" s="14">
        <v>8.6655112651690781E-5</v>
      </c>
      <c r="N134" s="14">
        <v>2.0351526364477394E-2</v>
      </c>
      <c r="O134" s="14">
        <v>2.1164021164021211E-2</v>
      </c>
    </row>
    <row r="135" spans="1:15" s="3" customFormat="1" x14ac:dyDescent="0.2">
      <c r="A135" s="1"/>
      <c r="B135" s="4">
        <v>38291</v>
      </c>
      <c r="C135" s="14">
        <v>1.7721518987341693E-2</v>
      </c>
      <c r="D135" s="14">
        <v>1.6949152542372881E-2</v>
      </c>
      <c r="E135" s="14">
        <v>-1.1655011655011406E-3</v>
      </c>
      <c r="F135" s="14">
        <v>1.3949433304272025E-2</v>
      </c>
      <c r="G135" s="14">
        <v>4.8140043763676088E-2</v>
      </c>
      <c r="H135" s="14">
        <v>1.0604453870625814E-2</v>
      </c>
      <c r="I135" s="14">
        <v>5.3144375553587685E-3</v>
      </c>
      <c r="J135" s="14">
        <v>2.8374892519346523E-2</v>
      </c>
      <c r="K135" s="14">
        <v>1.6000000000001081E-3</v>
      </c>
      <c r="L135" s="14">
        <v>-9.0641842234198289E-3</v>
      </c>
      <c r="M135" s="14">
        <v>1.1524131357767942E-2</v>
      </c>
      <c r="N135" s="14">
        <v>1.1786038077969083E-2</v>
      </c>
      <c r="O135" s="14">
        <v>2.4179620034542409E-3</v>
      </c>
    </row>
    <row r="136" spans="1:15" s="3" customFormat="1" x14ac:dyDescent="0.2">
      <c r="A136" s="1"/>
      <c r="B136" s="4">
        <v>38321</v>
      </c>
      <c r="C136" s="14">
        <v>4.2288557213930329E-2</v>
      </c>
      <c r="D136" s="14">
        <v>4.7333333333333387E-2</v>
      </c>
      <c r="E136" s="14">
        <v>2.8004667444574121E-2</v>
      </c>
      <c r="F136" s="14">
        <v>5.0730868443680119E-2</v>
      </c>
      <c r="G136" s="14">
        <v>3.5490605427974935E-2</v>
      </c>
      <c r="H136" s="14">
        <v>-1.9937040923399922E-2</v>
      </c>
      <c r="I136" s="14">
        <v>-6.1674008810572931E-3</v>
      </c>
      <c r="J136" s="14">
        <v>5.1003344481605303E-2</v>
      </c>
      <c r="K136" s="14">
        <v>6.3897763578274674E-2</v>
      </c>
      <c r="L136" s="14">
        <v>6.7985166872682315E-2</v>
      </c>
      <c r="M136" s="14">
        <v>3.6234366969333472E-2</v>
      </c>
      <c r="N136" s="14">
        <v>4.0322580645161386E-2</v>
      </c>
      <c r="O136" s="14">
        <v>4.8931771192281114E-2</v>
      </c>
    </row>
    <row r="137" spans="1:15" s="3" customFormat="1" x14ac:dyDescent="0.2">
      <c r="A137" s="1"/>
      <c r="B137" s="4">
        <v>38352</v>
      </c>
      <c r="C137" s="14">
        <v>2.0684168655529019E-2</v>
      </c>
      <c r="D137" s="14">
        <v>3.9465308720560213E-2</v>
      </c>
      <c r="E137" s="14">
        <v>2.8376844494892167E-2</v>
      </c>
      <c r="F137" s="14">
        <v>4.7463175122749592E-2</v>
      </c>
      <c r="G137" s="14">
        <v>1.4616935483871104E-2</v>
      </c>
      <c r="H137" s="14">
        <v>2.2483940042826642E-2</v>
      </c>
      <c r="I137" s="14">
        <v>-3.5460992907802233E-3</v>
      </c>
      <c r="J137" s="14">
        <v>-3.9777247414479484E-3</v>
      </c>
      <c r="K137" s="14">
        <v>3.0030030030030724E-3</v>
      </c>
      <c r="L137" s="14">
        <v>-1.273148148148158E-2</v>
      </c>
      <c r="M137" s="14">
        <v>-3.1247416714887882E-2</v>
      </c>
      <c r="N137" s="14">
        <v>2.6701119724375427E-2</v>
      </c>
      <c r="O137" s="14">
        <v>0</v>
      </c>
    </row>
    <row r="138" spans="1:15" s="3" customFormat="1" x14ac:dyDescent="0.2">
      <c r="A138" s="1"/>
      <c r="B138" s="4">
        <v>38383</v>
      </c>
      <c r="C138" s="14">
        <v>-2.5720966484801253E-2</v>
      </c>
      <c r="D138" s="14">
        <v>-9.7979179424372391E-3</v>
      </c>
      <c r="E138" s="14">
        <v>-1.6556291390728516E-2</v>
      </c>
      <c r="F138" s="14">
        <v>-1.2500000000000011E-2</v>
      </c>
      <c r="G138" s="14">
        <v>-2.4093392945852107E-2</v>
      </c>
      <c r="H138" s="14">
        <v>2.1989528795811421E-2</v>
      </c>
      <c r="I138" s="14">
        <v>1.7793594306049442E-3</v>
      </c>
      <c r="J138" s="14">
        <v>-3.1150159744408851E-2</v>
      </c>
      <c r="K138" s="14">
        <v>-3.2934131736527039E-2</v>
      </c>
      <c r="L138" s="14">
        <v>4.5955451348182907E-2</v>
      </c>
      <c r="M138" s="14">
        <v>-1.7834286201894388E-2</v>
      </c>
      <c r="N138" s="14">
        <v>-5.4530201342281759E-2</v>
      </c>
      <c r="O138" s="14">
        <v>-2.5295663600525608E-2</v>
      </c>
    </row>
    <row r="139" spans="1:15" s="3" customFormat="1" x14ac:dyDescent="0.2">
      <c r="A139" s="1"/>
      <c r="B139" s="4">
        <v>38411</v>
      </c>
      <c r="C139" s="14">
        <v>7.1999999999999885E-3</v>
      </c>
      <c r="D139" s="14">
        <v>2.9066171923314708E-2</v>
      </c>
      <c r="E139" s="14">
        <v>2.24466891133559E-2</v>
      </c>
      <c r="F139" s="14">
        <v>1.8987341772151913E-2</v>
      </c>
      <c r="G139" s="14">
        <v>1.9088826673453806E-2</v>
      </c>
      <c r="H139" s="14">
        <v>-1.331967213114744E-2</v>
      </c>
      <c r="I139" s="14">
        <v>-6.216696269982106E-3</v>
      </c>
      <c r="J139" s="14">
        <v>2.3907666941467363E-2</v>
      </c>
      <c r="K139" s="14">
        <v>9.1331269349845312E-2</v>
      </c>
      <c r="L139" s="14">
        <v>0.10827168796234041</v>
      </c>
      <c r="M139" s="14">
        <v>-3.4752389226759832E-3</v>
      </c>
      <c r="N139" s="14">
        <v>0</v>
      </c>
      <c r="O139" s="14">
        <v>3.4715200539265287E-2</v>
      </c>
    </row>
    <row r="140" spans="1:15" s="3" customFormat="1" x14ac:dyDescent="0.2">
      <c r="A140" s="1"/>
      <c r="B140" s="4">
        <v>38442</v>
      </c>
      <c r="C140" s="14">
        <v>-1.6679904686258861E-2</v>
      </c>
      <c r="D140" s="14">
        <v>-4.2067307692307864E-3</v>
      </c>
      <c r="E140" s="14">
        <v>-1.6465422612513759E-2</v>
      </c>
      <c r="F140" s="14">
        <v>-1.8633540372670822E-2</v>
      </c>
      <c r="G140" s="14">
        <v>-4.9950049950040019E-4</v>
      </c>
      <c r="H140" s="14">
        <v>-1.4537902388369736E-2</v>
      </c>
      <c r="I140" s="14">
        <v>-7.1492403932082275E-3</v>
      </c>
      <c r="J140" s="14">
        <v>-2.4154589371980163E-3</v>
      </c>
      <c r="K140" s="14">
        <v>-3.1205673758865335E-2</v>
      </c>
      <c r="L140" s="14">
        <v>-7.4838187702266287E-3</v>
      </c>
      <c r="M140" s="14">
        <v>-4.6469049694856129E-2</v>
      </c>
      <c r="N140" s="14">
        <v>-2.7506654835847424E-2</v>
      </c>
      <c r="O140" s="14">
        <v>-1.1400651465798091E-2</v>
      </c>
    </row>
    <row r="141" spans="1:15" s="3" customFormat="1" x14ac:dyDescent="0.2">
      <c r="A141" s="1"/>
      <c r="B141" s="4">
        <v>38472</v>
      </c>
      <c r="C141" s="14">
        <v>-2.7463651050080761E-2</v>
      </c>
      <c r="D141" s="14">
        <v>-1.9915509957754877E-2</v>
      </c>
      <c r="E141" s="14">
        <v>-2.4553571428571497E-2</v>
      </c>
      <c r="F141" s="14">
        <v>-1.5822784810126524E-2</v>
      </c>
      <c r="G141" s="14">
        <v>6.2468765617191401E-3</v>
      </c>
      <c r="H141" s="14">
        <v>2.3182297154899962E-2</v>
      </c>
      <c r="I141" s="14">
        <v>8.1008100810080873E-3</v>
      </c>
      <c r="J141" s="14">
        <v>-3.3091202582728019E-2</v>
      </c>
      <c r="K141" s="14">
        <v>-1.756954612005858E-2</v>
      </c>
      <c r="L141" s="14">
        <v>-7.7644181781128904E-2</v>
      </c>
      <c r="M141" s="14">
        <v>-6.6105879125902933E-2</v>
      </c>
      <c r="N141" s="14">
        <v>-1.1861313868613209E-2</v>
      </c>
      <c r="O141" s="14">
        <v>-4.9423393739702988E-3</v>
      </c>
    </row>
    <row r="142" spans="1:15" s="3" customFormat="1" x14ac:dyDescent="0.2">
      <c r="A142" s="1"/>
      <c r="B142" s="4">
        <v>38503</v>
      </c>
      <c r="C142" s="14">
        <v>4.1528239202657802E-2</v>
      </c>
      <c r="D142" s="14">
        <v>2.5862068965517123E-2</v>
      </c>
      <c r="E142" s="14">
        <v>3.3180778032036722E-2</v>
      </c>
      <c r="F142" s="14">
        <v>-2.572347266881031E-2</v>
      </c>
      <c r="G142" s="14">
        <v>1.3409485969704472E-2</v>
      </c>
      <c r="H142" s="14">
        <v>1.8537590113285242E-2</v>
      </c>
      <c r="I142" s="14">
        <v>5.3571428571427427E-3</v>
      </c>
      <c r="J142" s="14">
        <v>2.42070116861435E-2</v>
      </c>
      <c r="K142" s="14">
        <v>-1.3412816691505194E-2</v>
      </c>
      <c r="L142" s="14">
        <v>4.9491825011047166E-2</v>
      </c>
      <c r="M142" s="14">
        <v>3.4854121793616626E-2</v>
      </c>
      <c r="N142" s="14">
        <v>3.5087719298245688E-2</v>
      </c>
      <c r="O142" s="14">
        <v>2.2516556291390717E-2</v>
      </c>
    </row>
    <row r="143" spans="1:15" s="3" customFormat="1" x14ac:dyDescent="0.2">
      <c r="A143" s="1"/>
      <c r="B143" s="4">
        <v>38533</v>
      </c>
      <c r="C143" s="14">
        <v>1.1164274322169104E-2</v>
      </c>
      <c r="D143" s="14">
        <v>1.2004801920768264E-2</v>
      </c>
      <c r="E143" s="14">
        <v>-2.2148394241418988E-3</v>
      </c>
      <c r="F143" s="14">
        <v>1.2376237623762405E-2</v>
      </c>
      <c r="G143" s="14">
        <v>3.9451114922813023E-2</v>
      </c>
      <c r="H143" s="14">
        <v>1.3144590495450028E-2</v>
      </c>
      <c r="I143" s="14">
        <v>0</v>
      </c>
      <c r="J143" s="14">
        <v>9.7799511002445803E-3</v>
      </c>
      <c r="K143" s="14">
        <v>3.7764350453172203E-2</v>
      </c>
      <c r="L143" s="14">
        <v>9.6210526315789482E-2</v>
      </c>
      <c r="M143" s="14">
        <v>2.1665089877010466E-2</v>
      </c>
      <c r="N143" s="14">
        <v>8.9206066012488521E-3</v>
      </c>
      <c r="O143" s="14">
        <v>1.3277202072538864E-2</v>
      </c>
    </row>
    <row r="144" spans="1:15" s="3" customFormat="1" x14ac:dyDescent="0.2">
      <c r="A144" s="1"/>
      <c r="B144" s="4">
        <v>38564</v>
      </c>
      <c r="C144" s="14">
        <v>5.8359621451103974E-2</v>
      </c>
      <c r="D144" s="14">
        <v>2.1945432977461508E-2</v>
      </c>
      <c r="E144" s="14">
        <v>3.8845726970033453E-2</v>
      </c>
      <c r="F144" s="14">
        <v>1.0594947025264791E-2</v>
      </c>
      <c r="G144" s="14">
        <v>3.5124941065535167E-2</v>
      </c>
      <c r="H144" s="14">
        <v>-2.8942115768463162E-2</v>
      </c>
      <c r="I144" s="14">
        <v>-7.9928952042628652E-3</v>
      </c>
      <c r="J144" s="14">
        <v>3.712671509281671E-2</v>
      </c>
      <c r="K144" s="14">
        <v>3.6390101892285295E-2</v>
      </c>
      <c r="L144" s="14">
        <v>0.10063376224313428</v>
      </c>
      <c r="M144" s="14">
        <v>2.9076766367256229E-2</v>
      </c>
      <c r="N144" s="14">
        <v>3.8903625110521617E-2</v>
      </c>
      <c r="O144" s="14">
        <v>3.7711728986896648E-2</v>
      </c>
    </row>
    <row r="145" spans="1:15" s="3" customFormat="1" x14ac:dyDescent="0.2">
      <c r="A145" s="1"/>
      <c r="B145" s="4">
        <v>38595</v>
      </c>
      <c r="C145" s="14">
        <v>-1.0432190760059523E-2</v>
      </c>
      <c r="D145" s="14">
        <v>-9.2861288450377336E-3</v>
      </c>
      <c r="E145" s="14">
        <v>-7.4786324786325084E-3</v>
      </c>
      <c r="F145" s="14">
        <v>0.10241935483870963</v>
      </c>
      <c r="G145" s="14">
        <v>4.5547711227509847E-3</v>
      </c>
      <c r="H145" s="14">
        <v>2.2610483042137784E-2</v>
      </c>
      <c r="I145" s="14">
        <v>5.3715308863026409E-3</v>
      </c>
      <c r="J145" s="14">
        <v>3.8910505836576431E-3</v>
      </c>
      <c r="K145" s="14">
        <v>-5.6179775280898927E-3</v>
      </c>
      <c r="L145" s="14">
        <v>6.8748909439888289E-2</v>
      </c>
      <c r="M145" s="14">
        <v>-1.5297399442094867E-2</v>
      </c>
      <c r="N145" s="14">
        <v>-5.1063829787232956E-3</v>
      </c>
      <c r="O145" s="14">
        <v>7.6994148444718205E-3</v>
      </c>
    </row>
    <row r="146" spans="1:15" s="3" customFormat="1" x14ac:dyDescent="0.2">
      <c r="A146" s="1"/>
      <c r="B146" s="4">
        <v>38625</v>
      </c>
      <c r="C146" s="14">
        <v>1.7319277108433631E-2</v>
      </c>
      <c r="D146" s="14">
        <v>2.3432923257175834E-3</v>
      </c>
      <c r="E146" s="14">
        <v>-4.3057050592035439E-3</v>
      </c>
      <c r="F146" s="14">
        <v>0.10095098756400883</v>
      </c>
      <c r="G146" s="14">
        <v>1.7456359102244461E-2</v>
      </c>
      <c r="H146" s="14">
        <v>-3.8190954773869419E-2</v>
      </c>
      <c r="I146" s="14">
        <v>-9.7951914514692283E-3</v>
      </c>
      <c r="J146" s="14">
        <v>-1.3178294573643405E-2</v>
      </c>
      <c r="K146" s="14">
        <v>5.5084745762711947E-2</v>
      </c>
      <c r="L146" s="14">
        <v>4.6530612244898101E-2</v>
      </c>
      <c r="M146" s="14">
        <v>1.3890158091930878E-2</v>
      </c>
      <c r="N146" s="14">
        <v>1.8819503849443871E-2</v>
      </c>
      <c r="O146" s="14">
        <v>5.5012224938875221E-3</v>
      </c>
    </row>
    <row r="147" spans="1:15" s="3" customFormat="1" x14ac:dyDescent="0.2">
      <c r="A147" s="1"/>
      <c r="B147" s="4">
        <v>38656</v>
      </c>
      <c r="C147" s="14">
        <v>9.6225018504811823E-3</v>
      </c>
      <c r="D147" s="14">
        <v>-2.8053769725306658E-2</v>
      </c>
      <c r="E147" s="14">
        <v>-2.3783783783783662E-2</v>
      </c>
      <c r="F147" s="14">
        <v>-3.986710963455182E-3</v>
      </c>
      <c r="G147" s="14">
        <v>-3.9661319073083803E-2</v>
      </c>
      <c r="H147" s="14">
        <v>-2.5078369905956133E-2</v>
      </c>
      <c r="I147" s="14">
        <v>-9.8920863309353603E-3</v>
      </c>
      <c r="J147" s="14">
        <v>-2.9850746268656778E-2</v>
      </c>
      <c r="K147" s="14">
        <v>-6.0240963855421707E-2</v>
      </c>
      <c r="L147" s="14">
        <v>-5.7098283931357303E-2</v>
      </c>
      <c r="M147" s="14">
        <v>1.6223524109959416E-2</v>
      </c>
      <c r="N147" s="14">
        <v>-9.2359361880771981E-3</v>
      </c>
      <c r="O147" s="14">
        <v>-1.945288753799394E-2</v>
      </c>
    </row>
    <row r="148" spans="1:15" s="3" customFormat="1" x14ac:dyDescent="0.2">
      <c r="A148" s="1"/>
      <c r="B148" s="4">
        <v>38686</v>
      </c>
      <c r="C148" s="14">
        <v>5.425219941348975E-2</v>
      </c>
      <c r="D148" s="14">
        <v>2.8262176788935587E-2</v>
      </c>
      <c r="E148" s="14">
        <v>4.2081949058693127E-2</v>
      </c>
      <c r="F148" s="14">
        <v>6.7378252168112066E-2</v>
      </c>
      <c r="G148" s="14">
        <v>2.7378190255220411E-2</v>
      </c>
      <c r="H148" s="14">
        <v>3.215434083601408E-3</v>
      </c>
      <c r="I148" s="14">
        <v>0</v>
      </c>
      <c r="J148" s="14">
        <v>2.5101214574898827E-2</v>
      </c>
      <c r="K148" s="14">
        <v>4.5584045584045621E-2</v>
      </c>
      <c r="L148" s="14">
        <v>5.2945069490403632E-2</v>
      </c>
      <c r="M148" s="14">
        <v>4.6297117516629703E-2</v>
      </c>
      <c r="N148" s="14">
        <v>2.9661016949152512E-2</v>
      </c>
      <c r="O148" s="14">
        <v>2.6348419094854355E-2</v>
      </c>
    </row>
    <row r="149" spans="1:15" s="3" customFormat="1" x14ac:dyDescent="0.2">
      <c r="A149" s="1"/>
      <c r="B149" s="4">
        <v>38717</v>
      </c>
      <c r="C149" s="14">
        <v>-8.3449235048678166E-3</v>
      </c>
      <c r="D149" s="14">
        <v>-2.923976608187176E-3</v>
      </c>
      <c r="E149" s="14">
        <v>-1.5940488841657847E-2</v>
      </c>
      <c r="F149" s="14">
        <v>0.13937500000000003</v>
      </c>
      <c r="G149" s="14">
        <v>-2.6648599819331521E-2</v>
      </c>
      <c r="H149" s="14">
        <v>1.7094017094016919E-2</v>
      </c>
      <c r="I149" s="14">
        <v>4.5413260672116902E-3</v>
      </c>
      <c r="J149" s="14">
        <v>-5.2922590837282776E-2</v>
      </c>
      <c r="K149" s="14">
        <v>5.1771117166212514E-2</v>
      </c>
      <c r="L149" s="14">
        <v>3.2998114393463361E-2</v>
      </c>
      <c r="M149" s="14">
        <v>-2.4412986352462453E-2</v>
      </c>
      <c r="N149" s="14">
        <v>-2.1399176954732493E-2</v>
      </c>
      <c r="O149" s="14">
        <v>-9.9667774086378228E-3</v>
      </c>
    </row>
    <row r="150" spans="1:15" s="3" customFormat="1" x14ac:dyDescent="0.2">
      <c r="A150" s="1"/>
      <c r="B150" s="4">
        <v>38748</v>
      </c>
      <c r="C150" s="14">
        <v>3.3660589060308457E-2</v>
      </c>
      <c r="D150" s="14">
        <v>1.114369501466283E-2</v>
      </c>
      <c r="E150" s="14">
        <v>1.8358531317494594E-2</v>
      </c>
      <c r="F150" s="14">
        <v>3.9495337356006521E-2</v>
      </c>
      <c r="G150" s="14">
        <v>4.083526682134566E-2</v>
      </c>
      <c r="H150" s="14">
        <v>-1.5756302521008254E-2</v>
      </c>
      <c r="I150" s="14">
        <v>-1.8083182640144279E-3</v>
      </c>
      <c r="J150" s="14">
        <v>2.7522935779816519E-2</v>
      </c>
      <c r="K150" s="14">
        <v>0.10621761658031091</v>
      </c>
      <c r="L150" s="14">
        <v>0.19531487678734388</v>
      </c>
      <c r="M150" s="14">
        <v>2.9020766356764299E-2</v>
      </c>
      <c r="N150" s="14">
        <v>3.53238015138772E-2</v>
      </c>
      <c r="O150" s="14">
        <v>4.2708968883465481E-2</v>
      </c>
    </row>
    <row r="151" spans="1:15" s="3" customFormat="1" x14ac:dyDescent="0.2">
      <c r="A151" s="1"/>
      <c r="B151" s="4">
        <v>38776</v>
      </c>
      <c r="C151" s="14">
        <v>-1.2890094979647184E-2</v>
      </c>
      <c r="D151" s="14">
        <v>-5.800464037123876E-4</v>
      </c>
      <c r="E151" s="14">
        <v>-7.4231177094378062E-3</v>
      </c>
      <c r="F151" s="14">
        <v>-5.0659630606860018E-2</v>
      </c>
      <c r="G151" s="14">
        <v>3.5220686580472699E-2</v>
      </c>
      <c r="H151" s="14">
        <v>8.5378868729989402E-3</v>
      </c>
      <c r="I151" s="14">
        <v>1.8115942028985119E-3</v>
      </c>
      <c r="J151" s="14">
        <v>1.7045454545454614E-2</v>
      </c>
      <c r="K151" s="14">
        <v>-1.1709601873536257E-2</v>
      </c>
      <c r="L151" s="14">
        <v>-0.13438533978111464</v>
      </c>
      <c r="M151" s="14">
        <v>1.3256776154690475E-2</v>
      </c>
      <c r="N151" s="14">
        <v>6.4987814784727921E-3</v>
      </c>
      <c r="O151" s="14">
        <v>-2.6331187829138768E-3</v>
      </c>
    </row>
    <row r="152" spans="1:15" s="3" customFormat="1" x14ac:dyDescent="0.2">
      <c r="A152" s="1"/>
      <c r="B152" s="4">
        <v>38807</v>
      </c>
      <c r="C152" s="14">
        <v>2.4054982817869389E-2</v>
      </c>
      <c r="D152" s="14">
        <v>1.4509576320371444E-2</v>
      </c>
      <c r="E152" s="14">
        <v>1.175213675213669E-2</v>
      </c>
      <c r="F152" s="14">
        <v>4.5025013896609151E-2</v>
      </c>
      <c r="G152" s="14">
        <v>6.6752799310937794E-3</v>
      </c>
      <c r="H152" s="14">
        <v>-4.232804232804236E-2</v>
      </c>
      <c r="I152" s="14">
        <v>-1.2658227848101316E-2</v>
      </c>
      <c r="J152" s="14">
        <v>1.5163607342378252E-2</v>
      </c>
      <c r="K152" s="14">
        <v>6.9905213270142152E-2</v>
      </c>
      <c r="L152" s="14">
        <v>8.6151132019994095E-2</v>
      </c>
      <c r="M152" s="14">
        <v>6.1666666666667421E-3</v>
      </c>
      <c r="N152" s="14">
        <v>2.8248587570621438E-2</v>
      </c>
      <c r="O152" s="14">
        <v>2.1120563215019032E-2</v>
      </c>
    </row>
    <row r="153" spans="1:15" s="3" customFormat="1" x14ac:dyDescent="0.2">
      <c r="A153" s="1"/>
      <c r="B153" s="4">
        <v>38837</v>
      </c>
      <c r="C153" s="14">
        <v>1.342281879194638E-2</v>
      </c>
      <c r="D153" s="14">
        <v>1.8306636155606425E-2</v>
      </c>
      <c r="E153" s="14">
        <v>4.2238648363251471E-3</v>
      </c>
      <c r="F153" s="14">
        <v>7.9787234042552439E-3</v>
      </c>
      <c r="G153" s="14">
        <v>-5.7754010695186316E-3</v>
      </c>
      <c r="H153" s="14">
        <v>-2.4309392265193439E-2</v>
      </c>
      <c r="I153" s="14">
        <v>-3.6630036630035849E-3</v>
      </c>
      <c r="J153" s="14">
        <v>1.5723270440251237E-3</v>
      </c>
      <c r="K153" s="14">
        <v>6.75526024363233E-2</v>
      </c>
      <c r="L153" s="14">
        <v>4.3178126691932828E-2</v>
      </c>
      <c r="M153" s="14">
        <v>-5.3834686102369189E-3</v>
      </c>
      <c r="N153" s="14">
        <v>-1.7268445839874323E-2</v>
      </c>
      <c r="O153" s="14">
        <v>2.4705544383797743E-2</v>
      </c>
    </row>
    <row r="154" spans="1:15" s="3" customFormat="1" x14ac:dyDescent="0.2">
      <c r="A154" s="1"/>
      <c r="B154" s="4">
        <v>38868</v>
      </c>
      <c r="C154" s="14">
        <v>-3.9735099337748436E-2</v>
      </c>
      <c r="D154" s="14">
        <v>-2.41573033707865E-2</v>
      </c>
      <c r="E154" s="14">
        <v>-2.7339642481598297E-2</v>
      </c>
      <c r="F154" s="14">
        <v>-7.4406332453825871E-2</v>
      </c>
      <c r="G154" s="14">
        <v>-8.8209982788296833E-3</v>
      </c>
      <c r="H154" s="14">
        <v>-6.7950169875425253E-3</v>
      </c>
      <c r="I154" s="14">
        <v>-6.4338235294117904E-3</v>
      </c>
      <c r="J154" s="14">
        <v>-1.7268445839874462E-2</v>
      </c>
      <c r="K154" s="14">
        <v>-6.6390041493775989E-2</v>
      </c>
      <c r="L154" s="14">
        <v>-3.3995069417412795E-2</v>
      </c>
      <c r="M154" s="14">
        <v>-4.5798984095261883E-2</v>
      </c>
      <c r="N154" s="14">
        <v>-2.9552715654952152E-2</v>
      </c>
      <c r="O154" s="14">
        <v>-1.7661900756938676E-2</v>
      </c>
    </row>
    <row r="155" spans="1:15" s="3" customFormat="1" x14ac:dyDescent="0.2">
      <c r="A155" s="1"/>
      <c r="B155" s="4">
        <v>38898</v>
      </c>
      <c r="C155" s="14">
        <v>-2.7586206896551137E-3</v>
      </c>
      <c r="D155" s="14">
        <v>-6.3327576280943826E-3</v>
      </c>
      <c r="E155" s="14">
        <v>-1.5135135135135005E-2</v>
      </c>
      <c r="F155" s="14">
        <v>-1.8244013683010075E-2</v>
      </c>
      <c r="G155" s="14">
        <v>3.6900369003690099E-2</v>
      </c>
      <c r="H155" s="14">
        <v>-2.2805017103762343E-3</v>
      </c>
      <c r="I155" s="14">
        <v>-1.8501387604069909E-3</v>
      </c>
      <c r="J155" s="14">
        <v>-9.5846645367411512E-3</v>
      </c>
      <c r="K155" s="14">
        <v>-3.3333333333333215E-2</v>
      </c>
      <c r="L155" s="14">
        <v>-5.77568838146397E-3</v>
      </c>
      <c r="M155" s="14">
        <v>-1.0210315036216088E-2</v>
      </c>
      <c r="N155" s="14">
        <v>-4.9382716049383123E-3</v>
      </c>
      <c r="O155" s="14">
        <v>2.2831050228312045E-3</v>
      </c>
    </row>
    <row r="156" spans="1:15" s="3" customFormat="1" x14ac:dyDescent="0.2">
      <c r="A156" s="1"/>
      <c r="B156" s="4">
        <v>38929</v>
      </c>
      <c r="C156" s="14">
        <v>-1.3139695712309786E-2</v>
      </c>
      <c r="D156" s="14">
        <v>1.6222479721900208E-2</v>
      </c>
      <c r="E156" s="14">
        <v>1.2074643249176665E-2</v>
      </c>
      <c r="F156" s="14">
        <v>-1.451800232288037E-2</v>
      </c>
      <c r="G156" s="14">
        <v>3.956458028051079E-2</v>
      </c>
      <c r="H156" s="14">
        <v>1.4857142857142947E-2</v>
      </c>
      <c r="I156" s="14">
        <v>1.0194624652455924E-2</v>
      </c>
      <c r="J156" s="14">
        <v>-2.3387096774193622E-2</v>
      </c>
      <c r="K156" s="14">
        <v>-9.1954022988505815E-3</v>
      </c>
      <c r="L156" s="14">
        <v>-1.8238313969197627E-2</v>
      </c>
      <c r="M156" s="14">
        <v>1.5429377534826309E-2</v>
      </c>
      <c r="N156" s="14">
        <v>4.1356492969396785E-3</v>
      </c>
      <c r="O156" s="14">
        <v>1.1389521640091074E-2</v>
      </c>
    </row>
    <row r="157" spans="1:15" s="3" customFormat="1" x14ac:dyDescent="0.2">
      <c r="A157" s="1"/>
      <c r="B157" s="4">
        <v>38960</v>
      </c>
      <c r="C157" s="14">
        <v>1.822004204625086E-2</v>
      </c>
      <c r="D157" s="14">
        <v>7.411630558723065E-3</v>
      </c>
      <c r="E157" s="14">
        <v>2.0607375271149621E-2</v>
      </c>
      <c r="F157" s="14">
        <v>1.7678255745432948E-2</v>
      </c>
      <c r="G157" s="14">
        <v>2.013693113169553E-2</v>
      </c>
      <c r="H157" s="14">
        <v>2.7027027027027049E-2</v>
      </c>
      <c r="I157" s="14">
        <v>8.2568807339449407E-3</v>
      </c>
      <c r="J157" s="14">
        <v>4.2939719240297387E-2</v>
      </c>
      <c r="K157" s="14">
        <v>9.2807424593967583E-3</v>
      </c>
      <c r="L157" s="14">
        <v>-6.6464841062336563E-2</v>
      </c>
      <c r="M157" s="14">
        <v>2.135972909611885E-2</v>
      </c>
      <c r="N157" s="14">
        <v>4.5304777594728229E-2</v>
      </c>
      <c r="O157" s="14">
        <v>2.5337837837836794E-3</v>
      </c>
    </row>
    <row r="158" spans="1:15" s="3" customFormat="1" x14ac:dyDescent="0.2">
      <c r="A158" s="1"/>
      <c r="B158" s="4">
        <v>38990</v>
      </c>
      <c r="C158" s="14">
        <v>1.9958706125258026E-2</v>
      </c>
      <c r="D158" s="14">
        <v>2.9428409734012423E-2</v>
      </c>
      <c r="E158" s="14">
        <v>1.4877789585547351E-2</v>
      </c>
      <c r="F158" s="14">
        <v>-3.1847133757961617E-2</v>
      </c>
      <c r="G158" s="14">
        <v>1.3817607579944645E-2</v>
      </c>
      <c r="H158" s="14">
        <v>1.4254385964912171E-2</v>
      </c>
      <c r="I158" s="14">
        <v>3.6396724294814305E-3</v>
      </c>
      <c r="J158" s="14">
        <v>4.1171813143309546E-2</v>
      </c>
      <c r="K158" s="14">
        <v>1.7241379310344661E-2</v>
      </c>
      <c r="L158" s="14">
        <v>-5.0117924528301966E-2</v>
      </c>
      <c r="M158" s="14">
        <v>3.7235399132874228E-2</v>
      </c>
      <c r="N158" s="14">
        <v>1.7336485421591712E-2</v>
      </c>
      <c r="O158" s="14">
        <v>1.2636899747262086E-2</v>
      </c>
    </row>
    <row r="159" spans="1:15" s="3" customFormat="1" x14ac:dyDescent="0.2">
      <c r="A159" s="1"/>
      <c r="B159" s="4">
        <v>39021</v>
      </c>
      <c r="C159" s="14">
        <v>3.5762483130904257E-2</v>
      </c>
      <c r="D159" s="14">
        <v>3.2985156679494108E-2</v>
      </c>
      <c r="E159" s="14">
        <v>4.083769633507859E-2</v>
      </c>
      <c r="F159" s="14">
        <v>8.3732057416266142E-3</v>
      </c>
      <c r="G159" s="14">
        <v>4.400311526479761E-2</v>
      </c>
      <c r="H159" s="14">
        <v>8.6486486486486557E-3</v>
      </c>
      <c r="I159" s="14">
        <v>2.7198549410697515E-3</v>
      </c>
      <c r="J159" s="14">
        <v>2.2053231939163434E-2</v>
      </c>
      <c r="K159" s="14">
        <v>3.2768361581921007E-2</v>
      </c>
      <c r="L159" s="14">
        <v>3.9106145251396808E-2</v>
      </c>
      <c r="M159" s="14">
        <v>2.1473649700844231E-2</v>
      </c>
      <c r="N159" s="14">
        <v>1.2393493415956634E-2</v>
      </c>
      <c r="O159" s="14">
        <v>2.3571824736550232E-2</v>
      </c>
    </row>
    <row r="160" spans="1:15" s="3" customFormat="1" x14ac:dyDescent="0.2">
      <c r="A160" s="1"/>
      <c r="B160" s="4">
        <v>39051</v>
      </c>
      <c r="C160" s="14">
        <v>1.4983713355048771E-2</v>
      </c>
      <c r="D160" s="14">
        <v>1.862692921766905E-2</v>
      </c>
      <c r="E160" s="14">
        <v>1.9114688128772584E-2</v>
      </c>
      <c r="F160" s="14">
        <v>7.7105575326217417E-3</v>
      </c>
      <c r="G160" s="14">
        <v>3.562103692651989E-2</v>
      </c>
      <c r="H160" s="14">
        <v>1.9292604501607687E-2</v>
      </c>
      <c r="I160" s="14">
        <v>6.329113924050658E-3</v>
      </c>
      <c r="J160" s="14">
        <v>2.6785714285714378E-2</v>
      </c>
      <c r="K160" s="14">
        <v>7.5492341356673903E-2</v>
      </c>
      <c r="L160" s="14">
        <v>9.1547192353643891E-2</v>
      </c>
      <c r="M160" s="14">
        <v>1.4442750541603121E-2</v>
      </c>
      <c r="N160" s="14">
        <v>2.0657995409334322E-2</v>
      </c>
      <c r="O160" s="14">
        <v>2.3841777296125584E-2</v>
      </c>
    </row>
    <row r="161" spans="1:15" s="3" customFormat="1" x14ac:dyDescent="0.2">
      <c r="A161" s="1"/>
      <c r="B161" s="4">
        <v>39082</v>
      </c>
      <c r="C161" s="14">
        <v>-6.4184852374839308E-3</v>
      </c>
      <c r="D161" s="14">
        <v>8.3594566353187121E-3</v>
      </c>
      <c r="E161" s="14">
        <v>1.0858835143139133E-2</v>
      </c>
      <c r="F161" s="14">
        <v>4.7086521483224418E-3</v>
      </c>
      <c r="G161" s="14">
        <v>-2.1609940572662966E-3</v>
      </c>
      <c r="H161" s="14">
        <v>-2.7339642481598297E-2</v>
      </c>
      <c r="I161" s="14">
        <v>-7.1877807726864387E-3</v>
      </c>
      <c r="J161" s="14">
        <v>-5.5072463768115927E-2</v>
      </c>
      <c r="K161" s="14">
        <v>6.7141403865717209E-2</v>
      </c>
      <c r="L161" s="14">
        <v>-7.6481050759337851E-2</v>
      </c>
      <c r="M161" s="14">
        <v>-6.1694218144427722E-2</v>
      </c>
      <c r="N161" s="14">
        <v>-5.3223388305847011E-2</v>
      </c>
      <c r="O161" s="14">
        <v>-4.8954749933844785E-2</v>
      </c>
    </row>
    <row r="162" spans="1:15" s="3" customFormat="1" x14ac:dyDescent="0.2">
      <c r="A162" s="1"/>
      <c r="B162" s="4">
        <v>39113</v>
      </c>
      <c r="C162" s="14">
        <v>1.7441860465116251E-2</v>
      </c>
      <c r="D162" s="14">
        <v>7.2538860103627239E-3</v>
      </c>
      <c r="E162" s="14">
        <v>1.5625000000000014E-2</v>
      </c>
      <c r="F162" s="14">
        <v>-4.6865846514351668E-3</v>
      </c>
      <c r="G162" s="14">
        <v>7.2189135535100427E-4</v>
      </c>
      <c r="H162" s="14">
        <v>-1.0810810810810773E-2</v>
      </c>
      <c r="I162" s="14">
        <v>-3.6199095022625269E-3</v>
      </c>
      <c r="J162" s="14">
        <v>2.0705521472392605E-2</v>
      </c>
      <c r="K162" s="14">
        <v>-1.5252621544327945E-2</v>
      </c>
      <c r="L162" s="14">
        <v>-1.9555555555555455E-2</v>
      </c>
      <c r="M162" s="14">
        <v>1.0368372249852395E-2</v>
      </c>
      <c r="N162" s="14">
        <v>1.4251781472684062E-2</v>
      </c>
      <c r="O162" s="14">
        <v>1.6972732331663867E-2</v>
      </c>
    </row>
    <row r="163" spans="1:15" s="3" customFormat="1" x14ac:dyDescent="0.2">
      <c r="A163" s="1"/>
      <c r="B163" s="4">
        <v>39141</v>
      </c>
      <c r="C163" s="14">
        <v>-7.6190476190475696E-3</v>
      </c>
      <c r="D163" s="14">
        <v>-3.4465020576131773E-2</v>
      </c>
      <c r="E163" s="14">
        <v>-2.4999999999999977E-2</v>
      </c>
      <c r="F163" s="14">
        <v>3.2371983519717311E-2</v>
      </c>
      <c r="G163" s="14">
        <v>5.085662759242561E-2</v>
      </c>
      <c r="H163" s="14">
        <v>2.8415300546448061E-2</v>
      </c>
      <c r="I163" s="14">
        <v>3.6330608537693846E-3</v>
      </c>
      <c r="J163" s="14">
        <v>3.005259203606247E-3</v>
      </c>
      <c r="K163" s="14">
        <v>-1.5488867376573102E-2</v>
      </c>
      <c r="L163" s="14">
        <v>9.6705953460259966E-3</v>
      </c>
      <c r="M163" s="14">
        <v>-2.1024528616719471E-2</v>
      </c>
      <c r="N163" s="14">
        <v>-1.7954722872755693E-2</v>
      </c>
      <c r="O163" s="14">
        <v>-1.5047879616963179E-2</v>
      </c>
    </row>
    <row r="164" spans="1:15" s="3" customFormat="1" x14ac:dyDescent="0.2">
      <c r="A164" s="1"/>
      <c r="B164" s="4">
        <v>39172</v>
      </c>
      <c r="C164" s="14">
        <v>8.3173384516955079E-3</v>
      </c>
      <c r="D164" s="14">
        <v>6.9259456579649744E-3</v>
      </c>
      <c r="E164" s="14">
        <v>3.4516765285996016E-2</v>
      </c>
      <c r="F164" s="14">
        <v>1.4823261117445929E-2</v>
      </c>
      <c r="G164" s="14">
        <v>4.4963102797322761E-2</v>
      </c>
      <c r="H164" s="14">
        <v>-2.4442082890542022E-2</v>
      </c>
      <c r="I164" s="14">
        <v>-1.809954751131183E-3</v>
      </c>
      <c r="J164" s="14">
        <v>5.2434456928839163E-3</v>
      </c>
      <c r="K164" s="14">
        <v>2.753195673549667E-2</v>
      </c>
      <c r="L164" s="14">
        <v>8.4405866507033828E-2</v>
      </c>
      <c r="M164" s="14">
        <v>-3.3236747912050498E-3</v>
      </c>
      <c r="N164" s="14">
        <v>1.0333863275039807E-2</v>
      </c>
      <c r="O164" s="14">
        <v>2.4166666666666795E-2</v>
      </c>
    </row>
    <row r="165" spans="1:15" s="3" customFormat="1" x14ac:dyDescent="0.2">
      <c r="A165" s="1"/>
      <c r="B165" s="4">
        <v>39202</v>
      </c>
      <c r="C165" s="14">
        <v>4.2512690355329827E-2</v>
      </c>
      <c r="D165" s="14">
        <v>4.7089947089947112E-2</v>
      </c>
      <c r="E165" s="14">
        <v>1.4299332697807469E-2</v>
      </c>
      <c r="F165" s="14">
        <v>-2.9213483146067389E-2</v>
      </c>
      <c r="G165" s="14">
        <v>3.8265725078009613E-2</v>
      </c>
      <c r="H165" s="14">
        <v>5.4466230936819947E-3</v>
      </c>
      <c r="I165" s="14">
        <v>-9.0661831368991713E-4</v>
      </c>
      <c r="J165" s="14">
        <v>4.0238450074515715E-2</v>
      </c>
      <c r="K165" s="14">
        <v>4.0191387559808604E-2</v>
      </c>
      <c r="L165" s="14">
        <v>5.0510626552580679E-2</v>
      </c>
      <c r="M165" s="14">
        <v>3.0782385634886777E-2</v>
      </c>
      <c r="N165" s="14">
        <v>4.5633359559402051E-2</v>
      </c>
      <c r="O165" s="14">
        <v>4.7464062923786271E-2</v>
      </c>
    </row>
    <row r="166" spans="1:15" s="3" customFormat="1" x14ac:dyDescent="0.2">
      <c r="A166" s="1"/>
      <c r="B166" s="4">
        <v>39233</v>
      </c>
      <c r="C166" s="14">
        <v>3.164942178940959E-2</v>
      </c>
      <c r="D166" s="14">
        <v>4.4972208185952343E-2</v>
      </c>
      <c r="E166" s="14">
        <v>2.4436090225563888E-2</v>
      </c>
      <c r="F166" s="14">
        <v>3.1828703703703741E-2</v>
      </c>
      <c r="G166" s="14">
        <v>1.7557734894020755E-2</v>
      </c>
      <c r="H166" s="14">
        <v>-2.2751895991332701E-2</v>
      </c>
      <c r="I166" s="14">
        <v>-9.0744101633395101E-3</v>
      </c>
      <c r="J166" s="14">
        <v>4.4412607449856673E-2</v>
      </c>
      <c r="K166" s="14">
        <v>8.6476540938362406E-2</v>
      </c>
      <c r="L166" s="14">
        <v>7.9873883342091404E-2</v>
      </c>
      <c r="M166" s="14">
        <v>2.2563251762754033E-2</v>
      </c>
      <c r="N166" s="14">
        <v>3.2355154251316756E-2</v>
      </c>
      <c r="O166" s="14">
        <v>4.0911444847229368E-2</v>
      </c>
    </row>
    <row r="167" spans="1:15" s="3" customFormat="1" x14ac:dyDescent="0.2">
      <c r="A167" s="1"/>
      <c r="B167" s="4">
        <v>39263</v>
      </c>
      <c r="C167" s="14">
        <v>-4.1297935103242912E-3</v>
      </c>
      <c r="D167" s="14">
        <v>-2.9013539651837422E-2</v>
      </c>
      <c r="E167" s="14">
        <v>1.6513761467889881E-2</v>
      </c>
      <c r="F167" s="14">
        <v>7.851934941110519E-3</v>
      </c>
      <c r="G167" s="14">
        <v>-5.0209855432923937E-2</v>
      </c>
      <c r="H167" s="14">
        <v>-1.6629711751662814E-2</v>
      </c>
      <c r="I167" s="14">
        <v>-1.7399267399267355E-2</v>
      </c>
      <c r="J167" s="14">
        <v>-1.5775034293552842E-2</v>
      </c>
      <c r="K167" s="14">
        <v>6.2658763759525837E-2</v>
      </c>
      <c r="L167" s="14">
        <v>4.5133819951338291E-2</v>
      </c>
      <c r="M167" s="14">
        <v>-4.039912387442203E-2</v>
      </c>
      <c r="N167" s="14">
        <v>-1.4577259475218346E-3</v>
      </c>
      <c r="O167" s="14">
        <v>-2.2388059701492501E-2</v>
      </c>
    </row>
    <row r="168" spans="1:15" s="3" customFormat="1" x14ac:dyDescent="0.2">
      <c r="A168" s="1"/>
      <c r="B168" s="4">
        <v>39294</v>
      </c>
      <c r="C168" s="14">
        <v>-2.0734597156398187E-2</v>
      </c>
      <c r="D168" s="14">
        <v>-2.8884462151394511E-2</v>
      </c>
      <c r="E168" s="14">
        <v>-4.241877256317679E-2</v>
      </c>
      <c r="F168" s="14">
        <v>1.3912075681691706E-2</v>
      </c>
      <c r="G168" s="14">
        <v>-4.9427168576104678E-2</v>
      </c>
      <c r="H168" s="14">
        <v>1.1273957158962555E-3</v>
      </c>
      <c r="I168" s="14">
        <v>-4.659832246039209E-3</v>
      </c>
      <c r="J168" s="14">
        <v>-4.7386759581881516E-2</v>
      </c>
      <c r="K168" s="14">
        <v>6.8525896414342577E-2</v>
      </c>
      <c r="L168" s="14">
        <v>4.8771970666977034E-2</v>
      </c>
      <c r="M168" s="14">
        <v>-7.4477977851044055E-2</v>
      </c>
      <c r="N168" s="14">
        <v>-8.7591240875913128E-3</v>
      </c>
      <c r="O168" s="14">
        <v>-4.7837150127226523E-2</v>
      </c>
    </row>
    <row r="169" spans="1:15" s="3" customFormat="1" x14ac:dyDescent="0.2">
      <c r="A169" s="1"/>
      <c r="B169" s="4">
        <v>39325</v>
      </c>
      <c r="C169" s="14">
        <v>8.4694494857834573E-3</v>
      </c>
      <c r="D169" s="14">
        <v>2.0512820512820624E-2</v>
      </c>
      <c r="E169" s="14">
        <v>3.016022620169637E-2</v>
      </c>
      <c r="F169" s="14">
        <v>-4.4456641053787167E-2</v>
      </c>
      <c r="G169" s="14">
        <v>1.480716253443525E-2</v>
      </c>
      <c r="H169" s="14">
        <v>4.5045045045044082E-3</v>
      </c>
      <c r="I169" s="14">
        <v>-8.4269662921348191E-3</v>
      </c>
      <c r="J169" s="14">
        <v>1.3899049012435955E-2</v>
      </c>
      <c r="K169" s="14">
        <v>3.9522744220730884E-2</v>
      </c>
      <c r="L169" s="14">
        <v>2.4528301886792381E-2</v>
      </c>
      <c r="M169" s="14">
        <v>1.5071245889660263E-2</v>
      </c>
      <c r="N169" s="14">
        <v>1.0309278350515505E-2</v>
      </c>
      <c r="O169" s="14">
        <v>1.2560128273650424E-2</v>
      </c>
    </row>
    <row r="170" spans="1:15" s="3" customFormat="1" x14ac:dyDescent="0.2">
      <c r="A170" s="1"/>
      <c r="B170" s="4">
        <v>39355</v>
      </c>
      <c r="C170" s="14">
        <v>4.6190761847630442E-2</v>
      </c>
      <c r="D170" s="14">
        <v>4.4723618090452284E-2</v>
      </c>
      <c r="E170" s="14">
        <v>1.6468435498627768E-2</v>
      </c>
      <c r="F170" s="14">
        <v>2.6421596783457832E-2</v>
      </c>
      <c r="G170" s="14">
        <v>4.1058703766542151E-2</v>
      </c>
      <c r="H170" s="14">
        <v>2.2421524663678643E-3</v>
      </c>
      <c r="I170" s="14">
        <v>4.7214353163362336E-3</v>
      </c>
      <c r="J170" s="14">
        <v>2.8860028860028888E-2</v>
      </c>
      <c r="K170" s="14">
        <v>0.19296987087517942</v>
      </c>
      <c r="L170" s="14">
        <v>9.0564402556602738E-2</v>
      </c>
      <c r="M170" s="14">
        <v>3.2034554125798635E-2</v>
      </c>
      <c r="N170" s="14">
        <v>4.7376093294460665E-2</v>
      </c>
      <c r="O170" s="14">
        <v>2.401689100026402E-2</v>
      </c>
    </row>
    <row r="171" spans="1:15" s="3" customFormat="1" x14ac:dyDescent="0.2">
      <c r="A171" s="1"/>
      <c r="B171" s="4">
        <v>39386</v>
      </c>
      <c r="C171" s="14">
        <v>2.86697247706422E-2</v>
      </c>
      <c r="D171" s="14">
        <v>1.9721019721019556E-2</v>
      </c>
      <c r="E171" s="14">
        <v>4.590459045904588E-2</v>
      </c>
      <c r="F171" s="14">
        <v>6.7151650811416337E-3</v>
      </c>
      <c r="G171" s="14">
        <v>7.5782268578878847E-2</v>
      </c>
      <c r="H171" s="14">
        <v>1.2304250559284051E-2</v>
      </c>
      <c r="I171" s="14">
        <v>-1.2218045112782027E-2</v>
      </c>
      <c r="J171" s="14">
        <v>2.3842917251051882E-2</v>
      </c>
      <c r="K171" s="14">
        <v>0.14852675886951283</v>
      </c>
      <c r="L171" s="14">
        <v>-6.7547432204230909E-3</v>
      </c>
      <c r="M171" s="14">
        <v>-8.1088150667016027E-3</v>
      </c>
      <c r="N171" s="14">
        <v>5.3583855254001361E-2</v>
      </c>
      <c r="O171" s="14">
        <v>1.2886597938143597E-3</v>
      </c>
    </row>
    <row r="172" spans="1:15" s="3" customFormat="1" x14ac:dyDescent="0.2">
      <c r="A172" s="1"/>
      <c r="B172" s="4">
        <v>39416</v>
      </c>
      <c r="C172" s="14">
        <v>-5.5183946488294423E-2</v>
      </c>
      <c r="D172" s="14">
        <v>-3.9622641509433953E-2</v>
      </c>
      <c r="E172" s="14">
        <v>-6.4543889845094654E-2</v>
      </c>
      <c r="F172" s="14">
        <v>-2.1122846025569901E-2</v>
      </c>
      <c r="G172" s="14">
        <v>-1.2876836842902719E-2</v>
      </c>
      <c r="H172" s="14">
        <v>1.1049723756906037E-2</v>
      </c>
      <c r="I172" s="14">
        <v>0</v>
      </c>
      <c r="J172" s="14">
        <v>-2.1917808219177982E-2</v>
      </c>
      <c r="K172" s="14">
        <v>-0.12827225130890046</v>
      </c>
      <c r="L172" s="14">
        <v>-4.0604060406040622E-2</v>
      </c>
      <c r="M172" s="14">
        <v>-6.9356540084388185E-2</v>
      </c>
      <c r="N172" s="14">
        <v>-4.4914134742404209E-2</v>
      </c>
      <c r="O172" s="14">
        <v>-4.1956241956242021E-2</v>
      </c>
    </row>
    <row r="173" spans="1:15" s="3" customFormat="1" x14ac:dyDescent="0.2">
      <c r="A173" s="1"/>
      <c r="B173" s="4">
        <v>39447</v>
      </c>
      <c r="C173" s="14">
        <v>-1.2979351032448311E-2</v>
      </c>
      <c r="D173" s="14">
        <v>-0.53634577603143407</v>
      </c>
      <c r="E173" s="14">
        <v>-0.11775528978840856</v>
      </c>
      <c r="F173" s="14">
        <v>-0.18568994889267459</v>
      </c>
      <c r="G173" s="14">
        <v>-1.3658686310620023E-2</v>
      </c>
      <c r="H173" s="14">
        <v>-9.8360655737704753E-3</v>
      </c>
      <c r="I173" s="14">
        <v>-5.7088487155089176E-3</v>
      </c>
      <c r="J173" s="14">
        <v>-9.8739495798319324E-2</v>
      </c>
      <c r="K173" s="14">
        <v>-0.23483483483483492</v>
      </c>
      <c r="L173" s="14">
        <v>5.9314083185656181E-2</v>
      </c>
      <c r="M173" s="14">
        <v>-9.5872296212335936E-2</v>
      </c>
      <c r="N173" s="14">
        <v>-0.13485477178423244</v>
      </c>
      <c r="O173" s="14">
        <v>-4.6749059645351823E-2</v>
      </c>
    </row>
    <row r="174" spans="1:15" s="3" customFormat="1" x14ac:dyDescent="0.2">
      <c r="A174" s="1"/>
      <c r="B174" s="4">
        <v>39478</v>
      </c>
      <c r="C174" s="14">
        <v>-8.7866108786610803E-2</v>
      </c>
      <c r="D174" s="14">
        <v>-3.9194915254237385E-2</v>
      </c>
      <c r="E174" s="14">
        <v>-0.11261730969760168</v>
      </c>
      <c r="F174" s="14">
        <v>-4.951185495118543E-2</v>
      </c>
      <c r="G174" s="14">
        <v>-7.5307297339349571E-2</v>
      </c>
      <c r="H174" s="14">
        <v>-4.4150110375276953E-3</v>
      </c>
      <c r="I174" s="14">
        <v>6.6985645933014615E-3</v>
      </c>
      <c r="J174" s="14">
        <v>-5.6721056721056748E-2</v>
      </c>
      <c r="K174" s="14">
        <v>-0.15463108320251168</v>
      </c>
      <c r="L174" s="14">
        <v>-0.17417831135603229</v>
      </c>
      <c r="M174" s="14">
        <v>-2.319264521521102E-2</v>
      </c>
      <c r="N174" s="14">
        <v>-8.3133493205435588E-2</v>
      </c>
      <c r="O174" s="14">
        <v>-6.538895152198422E-2</v>
      </c>
    </row>
    <row r="175" spans="1:15" s="3" customFormat="1" x14ac:dyDescent="0.2">
      <c r="A175" s="1"/>
      <c r="B175" s="4">
        <v>39507</v>
      </c>
      <c r="C175" s="14">
        <v>-4.3250327653997382E-2</v>
      </c>
      <c r="D175" s="14">
        <v>-2.315325248070552E-2</v>
      </c>
      <c r="E175" s="14">
        <v>-2.9377203290246769E-2</v>
      </c>
      <c r="F175" s="14">
        <v>-1.2472487160674976E-2</v>
      </c>
      <c r="G175" s="14">
        <v>-3.9374053508329065E-2</v>
      </c>
      <c r="H175" s="14">
        <v>-1.1086474501108608E-2</v>
      </c>
      <c r="I175" s="14">
        <v>-1.0456273764258669E-2</v>
      </c>
      <c r="J175" s="14">
        <v>-3.5420098846787457E-2</v>
      </c>
      <c r="K175" s="14">
        <v>3.1569173630454951E-2</v>
      </c>
      <c r="L175" s="14">
        <v>0.10367016205910394</v>
      </c>
      <c r="M175" s="14">
        <v>-9.8181818181818106E-2</v>
      </c>
      <c r="N175" s="14">
        <v>-6.9747166521360125E-3</v>
      </c>
      <c r="O175" s="14">
        <v>-2.2014475271411458E-2</v>
      </c>
    </row>
    <row r="176" spans="1:15" s="3" customFormat="1" x14ac:dyDescent="0.2">
      <c r="A176" s="1"/>
      <c r="B176" s="4">
        <v>39538</v>
      </c>
      <c r="C176" s="14">
        <v>-1.3698630136986373E-2</v>
      </c>
      <c r="D176" s="14">
        <v>5.6433408577876891E-3</v>
      </c>
      <c r="E176" s="14">
        <v>-2.3002421307505995E-2</v>
      </c>
      <c r="F176" s="14">
        <v>-2.8231797919762314E-2</v>
      </c>
      <c r="G176" s="14">
        <v>4.2038885969522153E-3</v>
      </c>
      <c r="H176" s="14">
        <v>-5.6053811659191634E-3</v>
      </c>
      <c r="I176" s="14">
        <v>-1.5369836695485124E-2</v>
      </c>
      <c r="J176" s="14">
        <v>-1.7933390264731071E-2</v>
      </c>
      <c r="K176" s="14">
        <v>-0.1125112511251125</v>
      </c>
      <c r="L176" s="14">
        <v>5.8302742388253751E-3</v>
      </c>
      <c r="M176" s="14">
        <v>-2.1465844402277064E-2</v>
      </c>
      <c r="N176" s="14">
        <v>-3.6874451273046525E-2</v>
      </c>
      <c r="O176" s="14">
        <v>-3.0218933086648071E-2</v>
      </c>
    </row>
    <row r="177" spans="1:15" s="3" customFormat="1" x14ac:dyDescent="0.2">
      <c r="A177" s="1"/>
      <c r="B177" s="4">
        <v>39568</v>
      </c>
      <c r="C177" s="14">
        <v>7.0833333333333304E-2</v>
      </c>
      <c r="D177" s="14">
        <v>4.7138047138047132E-2</v>
      </c>
      <c r="E177" s="14">
        <v>2.6022304832713859E-2</v>
      </c>
      <c r="F177" s="14">
        <v>8.7920489296636109E-2</v>
      </c>
      <c r="G177" s="14">
        <v>5.965463108320241E-2</v>
      </c>
      <c r="H177" s="14">
        <v>-3.3821871476889666E-3</v>
      </c>
      <c r="I177" s="14">
        <v>-6.8292682926829546E-3</v>
      </c>
      <c r="J177" s="14">
        <v>3.565217391304349E-2</v>
      </c>
      <c r="K177" s="14">
        <v>5.8823529411764705E-2</v>
      </c>
      <c r="L177" s="14">
        <v>8.1902103907256274E-2</v>
      </c>
      <c r="M177" s="14">
        <v>4.7024603078414683E-2</v>
      </c>
      <c r="N177" s="14">
        <v>6.1075660893345478E-2</v>
      </c>
      <c r="O177" s="14">
        <v>5.4054054054053911E-2</v>
      </c>
    </row>
    <row r="178" spans="1:15" s="3" customFormat="1" x14ac:dyDescent="0.2">
      <c r="A178" s="1"/>
      <c r="B178" s="4">
        <v>39599</v>
      </c>
      <c r="C178" s="14">
        <v>5.1880674448767884E-3</v>
      </c>
      <c r="D178" s="14">
        <v>3.215434083601408E-3</v>
      </c>
      <c r="E178" s="14">
        <v>5.5555555555555435E-2</v>
      </c>
      <c r="F178" s="14">
        <v>2.8812368236120881E-2</v>
      </c>
      <c r="G178" s="14">
        <v>3.1440329218107056E-2</v>
      </c>
      <c r="H178" s="14">
        <v>-2.4886877828054172E-2</v>
      </c>
      <c r="I178" s="14">
        <v>-4.9115913555991099E-3</v>
      </c>
      <c r="J178" s="14">
        <v>3.3585222502099103E-2</v>
      </c>
      <c r="K178" s="14">
        <v>-2.7777777777777863E-2</v>
      </c>
      <c r="L178" s="14">
        <v>8.4730628038495792E-2</v>
      </c>
      <c r="M178" s="14">
        <v>-5.2436624609329796E-2</v>
      </c>
      <c r="N178" s="14">
        <v>4.2096219931271495E-2</v>
      </c>
      <c r="O178" s="14">
        <v>2.5339366515837208E-2</v>
      </c>
    </row>
    <row r="179" spans="1:15" s="3" customFormat="1" x14ac:dyDescent="0.2">
      <c r="A179" s="1"/>
      <c r="B179" s="4">
        <v>39629</v>
      </c>
      <c r="C179" s="14">
        <v>-9.6774193548387094E-2</v>
      </c>
      <c r="D179" s="14">
        <v>-9.9358974358974506E-2</v>
      </c>
      <c r="E179" s="14">
        <v>-8.3524027459954284E-2</v>
      </c>
      <c r="F179" s="14">
        <v>-8.6748633879781392E-2</v>
      </c>
      <c r="G179" s="14">
        <v>-6.8624321736354878E-3</v>
      </c>
      <c r="H179" s="14">
        <v>1.1600928074245692E-3</v>
      </c>
      <c r="I179" s="14">
        <v>-9.8716683119445077E-4</v>
      </c>
      <c r="J179" s="14">
        <v>-9.2607636068237242E-2</v>
      </c>
      <c r="K179" s="14">
        <v>-0.10443349753694586</v>
      </c>
      <c r="L179" s="14">
        <v>7.3996158419464039E-2</v>
      </c>
      <c r="M179" s="14">
        <v>-0.16943562179330551</v>
      </c>
      <c r="N179" s="14">
        <v>-4.0395713107996715E-2</v>
      </c>
      <c r="O179" s="14">
        <v>-9.9735216240070618E-2</v>
      </c>
    </row>
    <row r="180" spans="1:15" s="3" customFormat="1" x14ac:dyDescent="0.2">
      <c r="A180" s="1"/>
      <c r="B180" s="4">
        <v>39660</v>
      </c>
      <c r="C180" s="14">
        <v>-6.428571428571418E-3</v>
      </c>
      <c r="D180" s="14">
        <v>-2.3724792408065924E-3</v>
      </c>
      <c r="E180" s="14">
        <v>1.373283395755321E-2</v>
      </c>
      <c r="F180" s="14">
        <v>-5.7591623036649178E-2</v>
      </c>
      <c r="G180" s="14">
        <v>-9.0792222400771297E-2</v>
      </c>
      <c r="H180" s="14">
        <v>-2.2016222479721841E-2</v>
      </c>
      <c r="I180" s="14">
        <v>-5.9288537549407596E-3</v>
      </c>
      <c r="J180" s="14">
        <v>-1.7009847806624845E-2</v>
      </c>
      <c r="K180" s="14">
        <v>-4.5104510451045118E-2</v>
      </c>
      <c r="L180" s="14">
        <v>-0.14563106796116501</v>
      </c>
      <c r="M180" s="14">
        <v>4.6330342697455375E-2</v>
      </c>
      <c r="N180" s="14">
        <v>-4.29553264604811E-2</v>
      </c>
      <c r="O180" s="14">
        <v>1.2745098039215703E-2</v>
      </c>
    </row>
    <row r="181" spans="1:15" s="3" customFormat="1" x14ac:dyDescent="0.2">
      <c r="A181" s="1"/>
      <c r="B181" s="4">
        <v>39691</v>
      </c>
      <c r="C181" s="14">
        <v>8.6268871315600994E-3</v>
      </c>
      <c r="D181" s="14">
        <v>4.7562425683710967E-3</v>
      </c>
      <c r="E181" s="14">
        <v>3.4482758620689571E-2</v>
      </c>
      <c r="F181" s="14">
        <v>-5.8730158730158744E-2</v>
      </c>
      <c r="G181" s="14">
        <v>-3.85295157299399E-2</v>
      </c>
      <c r="H181" s="14">
        <v>8.2938388625590637E-3</v>
      </c>
      <c r="I181" s="14">
        <v>4.9701789264414223E-3</v>
      </c>
      <c r="J181" s="14">
        <v>3.2786885245901586E-2</v>
      </c>
      <c r="K181" s="14">
        <v>-7.8341013824884759E-2</v>
      </c>
      <c r="L181" s="14">
        <v>-3.7280701754386053E-2</v>
      </c>
      <c r="M181" s="14">
        <v>-9.4180489176272381E-3</v>
      </c>
      <c r="N181" s="14">
        <v>-6.2836624775583737E-3</v>
      </c>
      <c r="O181" s="14">
        <v>2.1619877379799875E-2</v>
      </c>
    </row>
    <row r="182" spans="1:15" s="3" customFormat="1" x14ac:dyDescent="0.2">
      <c r="A182" s="1"/>
      <c r="B182" s="4">
        <v>39721</v>
      </c>
      <c r="C182" s="14">
        <v>-0.14041339985744836</v>
      </c>
      <c r="D182" s="14">
        <v>-6.627218934911247E-2</v>
      </c>
      <c r="E182" s="14">
        <v>-0.14999999999999997</v>
      </c>
      <c r="F182" s="14">
        <v>-8.2630691399662753E-2</v>
      </c>
      <c r="G182" s="14">
        <v>-0.15514705882352947</v>
      </c>
      <c r="H182" s="14">
        <v>-6.2279670975323075E-2</v>
      </c>
      <c r="I182" s="14">
        <v>-1.9782393669635361E-3</v>
      </c>
      <c r="J182" s="14">
        <v>-8.1128747795414458E-2</v>
      </c>
      <c r="K182" s="14">
        <v>-0.14000000000000001</v>
      </c>
      <c r="L182" s="14">
        <v>-0.24549596189687301</v>
      </c>
      <c r="M182" s="14">
        <v>-6.1728395061728315E-2</v>
      </c>
      <c r="N182" s="14">
        <v>-0.13550135501355012</v>
      </c>
      <c r="O182" s="14">
        <v>-7.9595704358812372E-2</v>
      </c>
    </row>
    <row r="183" spans="1:15" s="3" customFormat="1" x14ac:dyDescent="0.2">
      <c r="A183" s="1"/>
      <c r="B183" s="4">
        <v>39752</v>
      </c>
      <c r="C183" s="14">
        <v>-0.20978441127694852</v>
      </c>
      <c r="D183" s="14">
        <v>-0.16349809885931557</v>
      </c>
      <c r="E183" s="14">
        <v>-0.25070028011204482</v>
      </c>
      <c r="F183" s="14">
        <v>-0.16911764705882351</v>
      </c>
      <c r="G183" s="14">
        <v>-0.12315056570931236</v>
      </c>
      <c r="H183" s="14">
        <v>-9.7744360902255661E-2</v>
      </c>
      <c r="I183" s="14">
        <v>-2.0812685827551941E-2</v>
      </c>
      <c r="J183" s="14">
        <v>-0.19001919385796551</v>
      </c>
      <c r="K183" s="14">
        <v>-0.18604651162790689</v>
      </c>
      <c r="L183" s="14">
        <v>-0.3607794702895567</v>
      </c>
      <c r="M183" s="14">
        <v>-0.17558983666061703</v>
      </c>
      <c r="N183" s="14">
        <v>-0.19017763845350055</v>
      </c>
      <c r="O183" s="14">
        <v>-0.17776252573781742</v>
      </c>
    </row>
    <row r="184" spans="1:15" s="3" customFormat="1" x14ac:dyDescent="0.2">
      <c r="A184" s="1"/>
      <c r="B184" s="4">
        <v>39782</v>
      </c>
      <c r="C184" s="14">
        <v>-0.11332633788037774</v>
      </c>
      <c r="D184" s="14">
        <v>-7.5757575757575746E-2</v>
      </c>
      <c r="E184" s="14">
        <v>-0.13271028037383176</v>
      </c>
      <c r="F184" s="14">
        <v>-8.6283185840708085E-2</v>
      </c>
      <c r="G184" s="14">
        <v>4.267990074441684E-2</v>
      </c>
      <c r="H184" s="14">
        <v>7.6388888888888867E-2</v>
      </c>
      <c r="I184" s="14">
        <v>9.1093117408906736E-3</v>
      </c>
      <c r="J184" s="14">
        <v>-8.6492890995260613E-2</v>
      </c>
      <c r="K184" s="14">
        <v>-5.714285714285719E-2</v>
      </c>
      <c r="L184" s="14">
        <v>-0.12687848862172613</v>
      </c>
      <c r="M184" s="14">
        <v>-0.14382682076683181</v>
      </c>
      <c r="N184" s="14">
        <v>-0.1006451612903225</v>
      </c>
      <c r="O184" s="14">
        <v>-8.9732888146911452E-2</v>
      </c>
    </row>
    <row r="185" spans="1:15" s="3" customFormat="1" x14ac:dyDescent="0.2">
      <c r="A185" s="1"/>
      <c r="B185" s="4">
        <v>39813</v>
      </c>
      <c r="C185" s="14">
        <v>2.0118343195266262E-2</v>
      </c>
      <c r="D185" s="14">
        <v>4.9180327868851405E-3</v>
      </c>
      <c r="E185" s="14">
        <v>6.25E-2</v>
      </c>
      <c r="F185" s="14">
        <v>7.9903147699757884E-2</v>
      </c>
      <c r="G185" s="14">
        <v>-4.1884816753926649E-2</v>
      </c>
      <c r="H185" s="14">
        <v>0.12516129032258072</v>
      </c>
      <c r="I185" s="14">
        <v>1.00300902708124E-2</v>
      </c>
      <c r="J185" s="14">
        <v>-5.1880674448767884E-3</v>
      </c>
      <c r="K185" s="14">
        <v>5.8712121212121132E-2</v>
      </c>
      <c r="L185" s="14">
        <v>-0.11679370543398082</v>
      </c>
      <c r="M185" s="14">
        <v>0</v>
      </c>
      <c r="N185" s="14">
        <v>4.304160688665618E-3</v>
      </c>
      <c r="O185" s="14">
        <v>1.0087116001833967E-2</v>
      </c>
    </row>
    <row r="186" spans="1:15" s="3" customFormat="1" x14ac:dyDescent="0.2">
      <c r="A186" s="1"/>
      <c r="B186" s="4">
        <v>39844</v>
      </c>
      <c r="C186" s="14">
        <v>-8.8167053364269207E-2</v>
      </c>
      <c r="D186" s="14">
        <v>-9.4616639477977174E-2</v>
      </c>
      <c r="E186" s="14">
        <v>-8.1135902636916904E-2</v>
      </c>
      <c r="F186" s="14">
        <v>-9.3049327354260095E-2</v>
      </c>
      <c r="G186" s="14">
        <v>-8.9418777943369721E-3</v>
      </c>
      <c r="H186" s="14">
        <v>-6.0779816513761388E-2</v>
      </c>
      <c r="I186" s="14">
        <v>9.9304865938428855E-4</v>
      </c>
      <c r="J186" s="14">
        <v>-8.8657105606258113E-2</v>
      </c>
      <c r="K186" s="14">
        <v>-8.5867620751341606E-2</v>
      </c>
      <c r="L186" s="14">
        <v>9.4654788418709179E-3</v>
      </c>
      <c r="M186" s="14">
        <v>-0.16777373044782512</v>
      </c>
      <c r="N186" s="14">
        <v>-7.5714285714285623E-2</v>
      </c>
      <c r="O186" s="14">
        <v>-9.1239219246482137E-2</v>
      </c>
    </row>
    <row r="187" spans="1:15" s="3" customFormat="1" x14ac:dyDescent="0.2">
      <c r="A187" s="1"/>
      <c r="B187" s="4">
        <v>39872</v>
      </c>
      <c r="C187" s="14">
        <v>-8.3969465648854977E-2</v>
      </c>
      <c r="D187" s="14">
        <v>-0.10990990990990981</v>
      </c>
      <c r="E187" s="14">
        <v>-0.16777041942604862</v>
      </c>
      <c r="F187" s="14">
        <v>-0.11619283065512973</v>
      </c>
      <c r="G187" s="14">
        <v>-0.12431077694235573</v>
      </c>
      <c r="H187" s="14">
        <v>-3.1746031746031821E-2</v>
      </c>
      <c r="I187" s="14">
        <v>-4.9603174603173542E-3</v>
      </c>
      <c r="J187" s="14">
        <v>-6.5808297567954213E-2</v>
      </c>
      <c r="K187" s="14">
        <v>-3.5225048923679003E-2</v>
      </c>
      <c r="L187" s="14">
        <v>-6.591285162713735E-2</v>
      </c>
      <c r="M187" s="14">
        <v>-0.1444387229660144</v>
      </c>
      <c r="N187" s="14">
        <v>-9.2735703245749687E-2</v>
      </c>
      <c r="O187" s="14">
        <v>-0.12537462537462526</v>
      </c>
    </row>
    <row r="188" spans="1:15" s="3" customFormat="1" x14ac:dyDescent="0.2">
      <c r="A188" s="1"/>
      <c r="B188" s="4">
        <v>39903</v>
      </c>
      <c r="C188" s="14">
        <v>0.1222222222222222</v>
      </c>
      <c r="D188" s="14">
        <v>7.4898785425101227E-2</v>
      </c>
      <c r="E188" s="14">
        <v>0.11405835543766582</v>
      </c>
      <c r="F188" s="14">
        <v>0.1048951048951049</v>
      </c>
      <c r="G188" s="14">
        <v>1.6313680595306246E-2</v>
      </c>
      <c r="H188" s="14">
        <v>-7.5662042875158254E-3</v>
      </c>
      <c r="I188" s="14">
        <v>6.9790628115651548E-3</v>
      </c>
      <c r="J188" s="14">
        <v>4.4410413476263406E-2</v>
      </c>
      <c r="K188" s="14">
        <v>0.12981744421906685</v>
      </c>
      <c r="L188" s="14">
        <v>4.5763212282255591E-2</v>
      </c>
      <c r="M188" s="14">
        <v>8.9978934697562282E-2</v>
      </c>
      <c r="N188" s="14">
        <v>6.9846678023850112E-2</v>
      </c>
      <c r="O188" s="14">
        <v>9.9942889777270116E-2</v>
      </c>
    </row>
    <row r="189" spans="1:15" s="3" customFormat="1" x14ac:dyDescent="0.2">
      <c r="A189" s="1"/>
      <c r="B189" s="4">
        <v>39933</v>
      </c>
      <c r="C189" s="14">
        <v>0.15346534653465349</v>
      </c>
      <c r="D189" s="14">
        <v>7.3446327683615753E-2</v>
      </c>
      <c r="E189" s="14">
        <v>0.23809523809523808</v>
      </c>
      <c r="F189" s="14">
        <v>9.7468354430379683E-2</v>
      </c>
      <c r="G189" s="14">
        <v>1.7459870459025553E-2</v>
      </c>
      <c r="H189" s="14">
        <v>-1.2706480304955257E-3</v>
      </c>
      <c r="I189" s="14">
        <v>9.9009900990114494E-4</v>
      </c>
      <c r="J189" s="14">
        <v>0.13636363636363633</v>
      </c>
      <c r="K189" s="14">
        <v>0.11490125673249545</v>
      </c>
      <c r="L189" s="14">
        <v>0.22360248447204972</v>
      </c>
      <c r="M189" s="14">
        <v>0.18967421314191069</v>
      </c>
      <c r="N189" s="14">
        <v>8.2802547770700702E-2</v>
      </c>
      <c r="O189" s="14">
        <v>0.10903426791277247</v>
      </c>
    </row>
    <row r="190" spans="1:15" s="3" customFormat="1" x14ac:dyDescent="0.2">
      <c r="A190" s="1"/>
      <c r="B190" s="4">
        <v>39964</v>
      </c>
      <c r="C190" s="14">
        <v>9.3347639484978651E-2</v>
      </c>
      <c r="D190" s="14">
        <v>7.1929824561403538E-2</v>
      </c>
      <c r="E190" s="14">
        <v>0.10192307692307696</v>
      </c>
      <c r="F190" s="14">
        <v>0.11418685121107269</v>
      </c>
      <c r="G190" s="14">
        <v>4.7052311098809731E-2</v>
      </c>
      <c r="H190" s="14">
        <v>3.8167938931297683E-2</v>
      </c>
      <c r="I190" s="14">
        <v>8.9020771513352963E-3</v>
      </c>
      <c r="J190" s="14">
        <v>2.1935483870967734E-2</v>
      </c>
      <c r="K190" s="14">
        <v>0.16586151368760069</v>
      </c>
      <c r="L190" s="14">
        <v>0.17628057221965851</v>
      </c>
      <c r="M190" s="14">
        <v>0.16941285681132506</v>
      </c>
      <c r="N190" s="14">
        <v>7.7941176470588139E-2</v>
      </c>
      <c r="O190" s="14">
        <v>4.8220973782771591E-2</v>
      </c>
    </row>
    <row r="191" spans="1:15" s="3" customFormat="1" x14ac:dyDescent="0.2">
      <c r="A191" s="1"/>
      <c r="B191" s="4">
        <v>39994</v>
      </c>
      <c r="C191" s="14">
        <v>-5.8881256133464658E-3</v>
      </c>
      <c r="D191" s="14">
        <v>-1.6366612111292905E-2</v>
      </c>
      <c r="E191" s="14">
        <v>4.1884816753926739E-2</v>
      </c>
      <c r="F191" s="14">
        <v>3.5196687370600402E-2</v>
      </c>
      <c r="G191" s="14">
        <v>4.6788263283108728E-2</v>
      </c>
      <c r="H191" s="14">
        <v>3.3088235294117592E-2</v>
      </c>
      <c r="I191" s="14">
        <v>3.9215686274508962E-3</v>
      </c>
      <c r="J191" s="14">
        <v>1.8939393939393985E-2</v>
      </c>
      <c r="K191" s="14">
        <v>-2.2099447513812175E-2</v>
      </c>
      <c r="L191" s="14">
        <v>-8.6896822283248326E-2</v>
      </c>
      <c r="M191" s="14">
        <v>-1.6471522127406199E-2</v>
      </c>
      <c r="N191" s="14">
        <v>-1.0914051841746257E-2</v>
      </c>
      <c r="O191" s="14">
        <v>-2.6797677534613094E-3</v>
      </c>
    </row>
    <row r="192" spans="1:15" s="3" customFormat="1" x14ac:dyDescent="0.2">
      <c r="A192" s="1"/>
      <c r="B192" s="4">
        <v>40025</v>
      </c>
      <c r="C192" s="14">
        <v>9.3780848963474744E-2</v>
      </c>
      <c r="D192" s="14">
        <v>5.8236272878535708E-2</v>
      </c>
      <c r="E192" s="14">
        <v>6.7001675041875944E-2</v>
      </c>
      <c r="F192" s="14">
        <v>5.3000000000000116E-2</v>
      </c>
      <c r="G192" s="14">
        <v>5.6060606060606033E-2</v>
      </c>
      <c r="H192" s="14">
        <v>4.8635824436536197E-2</v>
      </c>
      <c r="I192" s="14">
        <v>8.7890624999999861E-3</v>
      </c>
      <c r="J192" s="14">
        <v>7.68277571251548E-2</v>
      </c>
      <c r="K192" s="14">
        <v>9.3220338983050863E-2</v>
      </c>
      <c r="L192" s="14">
        <v>4.7261009667024609E-2</v>
      </c>
      <c r="M192" s="14">
        <v>7.2437449556093686E-2</v>
      </c>
      <c r="N192" s="14">
        <v>9.2413793103448383E-2</v>
      </c>
      <c r="O192" s="14">
        <v>8.4191670398566898E-2</v>
      </c>
    </row>
    <row r="193" spans="1:15" s="3" customFormat="1" x14ac:dyDescent="0.2">
      <c r="A193" s="1"/>
      <c r="B193" s="4">
        <v>40056</v>
      </c>
      <c r="C193" s="14">
        <v>6.1371841155234634E-2</v>
      </c>
      <c r="D193" s="14">
        <v>3.3018867924528295E-2</v>
      </c>
      <c r="E193" s="14">
        <v>0</v>
      </c>
      <c r="F193" s="14">
        <v>2.1842355175688378E-2</v>
      </c>
      <c r="G193" s="14">
        <v>2.7498804399808671E-2</v>
      </c>
      <c r="H193" s="14">
        <v>1.9230769230769221E-2</v>
      </c>
      <c r="I193" s="14">
        <v>7.7444336882865512E-3</v>
      </c>
      <c r="J193" s="14">
        <v>1.9562715765247405E-2</v>
      </c>
      <c r="K193" s="14">
        <v>-7.4935400516795869E-2</v>
      </c>
      <c r="L193" s="14">
        <v>3.5897435897435895E-2</v>
      </c>
      <c r="M193" s="14">
        <v>9.0498588899341384E-2</v>
      </c>
      <c r="N193" s="14">
        <v>3.156565656565645E-2</v>
      </c>
      <c r="O193" s="14">
        <v>3.8413878562577435E-2</v>
      </c>
    </row>
    <row r="194" spans="1:15" s="3" customFormat="1" x14ac:dyDescent="0.2">
      <c r="A194" s="1"/>
      <c r="B194" s="4">
        <v>40086</v>
      </c>
      <c r="C194" s="14">
        <v>4.8469387755102067E-2</v>
      </c>
      <c r="D194" s="14">
        <v>3.0441400304414029E-2</v>
      </c>
      <c r="E194" s="14">
        <v>6.5934065934065922E-2</v>
      </c>
      <c r="F194" s="14">
        <v>-3.1598513011152407E-2</v>
      </c>
      <c r="G194" s="14">
        <v>9.0760996043751582E-3</v>
      </c>
      <c r="H194" s="14">
        <v>2.6637069922308569E-2</v>
      </c>
      <c r="I194" s="14">
        <v>5.7636887608069638E-3</v>
      </c>
      <c r="J194" s="14">
        <v>3.9503386004514834E-2</v>
      </c>
      <c r="K194" s="14">
        <v>6.424581005586591E-2</v>
      </c>
      <c r="L194" s="14">
        <v>0.11485148514851494</v>
      </c>
      <c r="M194" s="14">
        <v>2.5017253278122892E-2</v>
      </c>
      <c r="N194" s="14">
        <v>5.3855569155446911E-2</v>
      </c>
      <c r="O194" s="14">
        <v>4.7732696897374673E-2</v>
      </c>
    </row>
    <row r="195" spans="1:15" s="3" customFormat="1" x14ac:dyDescent="0.2">
      <c r="A195" s="1"/>
      <c r="B195" s="4">
        <v>40117</v>
      </c>
      <c r="C195" s="14">
        <v>-4.8661800486617973E-2</v>
      </c>
      <c r="D195" s="14">
        <v>-2.0679468242245282E-2</v>
      </c>
      <c r="E195" s="14">
        <v>-6.0382916053019167E-2</v>
      </c>
      <c r="F195" s="14">
        <v>-3.7428023032629446E-2</v>
      </c>
      <c r="G195" s="14">
        <v>-4.3588560885608869E-2</v>
      </c>
      <c r="H195" s="14">
        <v>-1.1891891891891831E-2</v>
      </c>
      <c r="I195" s="14">
        <v>8.5959885386819347E-3</v>
      </c>
      <c r="J195" s="14">
        <v>-2.8230184581976087E-2</v>
      </c>
      <c r="K195" s="14">
        <v>6.5616797900262232E-3</v>
      </c>
      <c r="L195" s="14">
        <v>-2.2735346358792204E-2</v>
      </c>
      <c r="M195" s="14">
        <v>-4.4941928968187203E-2</v>
      </c>
      <c r="N195" s="14">
        <v>-3.8327526132404185E-2</v>
      </c>
      <c r="O195" s="14">
        <v>-1.5945330296127491E-2</v>
      </c>
    </row>
    <row r="196" spans="1:15" s="3" customFormat="1" x14ac:dyDescent="0.2">
      <c r="A196" s="1"/>
      <c r="B196" s="4">
        <v>40147</v>
      </c>
      <c r="C196" s="14">
        <v>5.6265984654731468E-2</v>
      </c>
      <c r="D196" s="14">
        <v>5.4298642533936702E-2</v>
      </c>
      <c r="E196" s="14">
        <v>2.1943573667711689E-2</v>
      </c>
      <c r="F196" s="14">
        <v>0</v>
      </c>
      <c r="G196" s="14">
        <v>3.9787798408488201E-2</v>
      </c>
      <c r="H196" s="14">
        <v>5.4704595185996394E-3</v>
      </c>
      <c r="I196" s="14">
        <v>1.0416666666666612E-2</v>
      </c>
      <c r="J196" s="14">
        <v>2.2346368715083716E-2</v>
      </c>
      <c r="K196" s="14">
        <v>7.431551499348113E-2</v>
      </c>
      <c r="L196" s="14">
        <v>1.5085423482370016E-2</v>
      </c>
      <c r="M196" s="14">
        <v>1.1632005639760376E-2</v>
      </c>
      <c r="N196" s="14">
        <v>5.9178743961352462E-2</v>
      </c>
      <c r="O196" s="14">
        <v>4.745370370370372E-2</v>
      </c>
    </row>
    <row r="197" spans="1:15" s="3" customFormat="1" x14ac:dyDescent="0.2">
      <c r="A197" s="1"/>
      <c r="B197" s="4">
        <v>40178</v>
      </c>
      <c r="C197" s="14">
        <v>2.1791767554479383E-2</v>
      </c>
      <c r="D197" s="14">
        <v>1.1444921316165962E-2</v>
      </c>
      <c r="E197" s="14">
        <v>9.3558282208589E-2</v>
      </c>
      <c r="F197" s="14">
        <v>8.9730807577268045E-3</v>
      </c>
      <c r="G197" s="14">
        <v>3.710575139146554E-2</v>
      </c>
      <c r="H197" s="14">
        <v>-2.9379760609358142E-2</v>
      </c>
      <c r="I197" s="14">
        <v>-1.8744142455482594E-2</v>
      </c>
      <c r="J197" s="14">
        <v>4.3715846994535554E-2</v>
      </c>
      <c r="K197" s="14">
        <v>1.4563106796116625E-2</v>
      </c>
      <c r="L197" s="14">
        <v>4.1002685765443136E-2</v>
      </c>
      <c r="M197" s="14">
        <v>1.080139372822295E-2</v>
      </c>
      <c r="N197" s="14">
        <v>1.9384264538198599E-2</v>
      </c>
      <c r="O197" s="14">
        <v>1.36279926335174E-2</v>
      </c>
    </row>
    <row r="198" spans="1:15" s="3" customFormat="1" x14ac:dyDescent="0.2">
      <c r="A198" s="1"/>
      <c r="B198" s="4">
        <v>40209</v>
      </c>
      <c r="C198" s="14">
        <v>-2.9225908372827743E-2</v>
      </c>
      <c r="D198" s="14">
        <v>-3.677510608203674E-2</v>
      </c>
      <c r="E198" s="14">
        <v>-3.3660589060308582E-2</v>
      </c>
      <c r="F198" s="14">
        <v>1.4822134387351813E-2</v>
      </c>
      <c r="G198" s="14">
        <v>-4.382826475849718E-2</v>
      </c>
      <c r="H198" s="14">
        <v>1.345291479820639E-2</v>
      </c>
      <c r="I198" s="14">
        <v>1.1461318051575856E-2</v>
      </c>
      <c r="J198" s="14">
        <v>-3.2460732984293243E-2</v>
      </c>
      <c r="K198" s="14">
        <v>-8.0143540669856544E-2</v>
      </c>
      <c r="L198" s="14">
        <v>-2.8895768833849325E-2</v>
      </c>
      <c r="M198" s="14">
        <v>8.7900723888314023E-3</v>
      </c>
      <c r="N198" s="14">
        <v>-5.0335570469798772E-2</v>
      </c>
      <c r="O198" s="14">
        <v>-3.0886627906976667E-2</v>
      </c>
    </row>
    <row r="199" spans="1:15" s="3" customFormat="1" x14ac:dyDescent="0.2">
      <c r="A199" s="1"/>
      <c r="B199" s="4">
        <v>40237</v>
      </c>
      <c r="C199" s="14">
        <v>3.498779495524814E-2</v>
      </c>
      <c r="D199" s="14">
        <v>2.3494860499265805E-2</v>
      </c>
      <c r="E199" s="14">
        <v>3.1930333817126233E-2</v>
      </c>
      <c r="F199" s="14">
        <v>1.0710808179162553E-2</v>
      </c>
      <c r="G199" s="14">
        <v>-1.1927034611786834E-2</v>
      </c>
      <c r="H199" s="14">
        <v>-8.8495575221239006E-3</v>
      </c>
      <c r="I199" s="14">
        <v>9.4428706326721312E-4</v>
      </c>
      <c r="J199" s="14">
        <v>3.0303030303030234E-2</v>
      </c>
      <c r="K199" s="14">
        <v>3.771131339401821E-2</v>
      </c>
      <c r="L199" s="14">
        <v>3.2058094226000748E-2</v>
      </c>
      <c r="M199" s="14">
        <v>1.3326499231163524E-2</v>
      </c>
      <c r="N199" s="14">
        <v>4.5936395759717377E-2</v>
      </c>
      <c r="O199" s="14">
        <v>2.6621672290963658E-2</v>
      </c>
    </row>
    <row r="200" spans="1:15" s="3" customFormat="1" x14ac:dyDescent="0.2">
      <c r="A200" s="1"/>
      <c r="B200" s="4">
        <v>40268</v>
      </c>
      <c r="C200" s="14">
        <v>8.569182389937105E-2</v>
      </c>
      <c r="D200" s="14">
        <v>5.1649928263988433E-2</v>
      </c>
      <c r="E200" s="14">
        <v>7.3136427566807369E-2</v>
      </c>
      <c r="F200" s="14">
        <v>5.780346820809245E-2</v>
      </c>
      <c r="G200" s="14">
        <v>3.7633136094674634E-2</v>
      </c>
      <c r="H200" s="14">
        <v>-3.3482142857144122E-3</v>
      </c>
      <c r="I200" s="14">
        <v>-1.8867924528301486E-3</v>
      </c>
      <c r="J200" s="14">
        <v>4.9369747899159731E-2</v>
      </c>
      <c r="K200" s="14">
        <v>4.6365914786967319E-2</v>
      </c>
      <c r="L200" s="14">
        <v>5.3200617813626613E-3</v>
      </c>
      <c r="M200" s="14">
        <v>9.6105209914011169E-2</v>
      </c>
      <c r="N200" s="14">
        <v>6.9819819819819731E-2</v>
      </c>
      <c r="O200" s="14">
        <v>5.9897735573411263E-2</v>
      </c>
    </row>
    <row r="201" spans="1:15" s="3" customFormat="1" x14ac:dyDescent="0.2">
      <c r="A201" s="1"/>
      <c r="B201" s="4">
        <v>40298</v>
      </c>
      <c r="C201" s="14">
        <v>1.375814627081821E-2</v>
      </c>
      <c r="D201" s="14">
        <v>6.8212824010915017E-3</v>
      </c>
      <c r="E201" s="14">
        <v>3.8007863695937089E-2</v>
      </c>
      <c r="F201" s="14">
        <v>1.2750455373406244E-2</v>
      </c>
      <c r="G201" s="14">
        <v>2.9881386861313919E-2</v>
      </c>
      <c r="H201" s="14">
        <v>2.7995520716685332E-2</v>
      </c>
      <c r="I201" s="14">
        <v>5.6710775047259451E-3</v>
      </c>
      <c r="J201" s="14">
        <v>3.5035035035035002E-2</v>
      </c>
      <c r="K201" s="14">
        <v>-4.7904191616765452E-3</v>
      </c>
      <c r="L201" s="14">
        <v>7.5281666097644181E-2</v>
      </c>
      <c r="M201" s="14">
        <v>1.9381633594831641E-2</v>
      </c>
      <c r="N201" s="14">
        <v>2.2105263157894826E-2</v>
      </c>
      <c r="O201" s="14">
        <v>2.5844245348035835E-2</v>
      </c>
    </row>
    <row r="202" spans="1:15" s="3" customFormat="1" x14ac:dyDescent="0.2">
      <c r="A202" s="1"/>
      <c r="B202" s="4">
        <v>40329</v>
      </c>
      <c r="C202" s="14">
        <v>-7.9999999999999946E-2</v>
      </c>
      <c r="D202" s="14">
        <v>-7.9945799457994668E-2</v>
      </c>
      <c r="E202" s="14">
        <v>-8.9646464646464738E-2</v>
      </c>
      <c r="F202" s="14">
        <v>-9.0827338129496379E-2</v>
      </c>
      <c r="G202" s="14">
        <v>-5.5813953488372155E-2</v>
      </c>
      <c r="H202" s="14">
        <v>-5.4466230936818013E-3</v>
      </c>
      <c r="I202" s="14">
        <v>9.3984962406014703E-3</v>
      </c>
      <c r="J202" s="14">
        <v>-6.7698259187620818E-2</v>
      </c>
      <c r="K202" s="14">
        <v>-5.776173285198561E-2</v>
      </c>
      <c r="L202" s="14">
        <v>-0.18971265280203212</v>
      </c>
      <c r="M202" s="14">
        <v>-0.10577938735476089</v>
      </c>
      <c r="N202" s="14">
        <v>-7.5180226570545863E-2</v>
      </c>
      <c r="O202" s="14">
        <v>-8.8679879072892182E-2</v>
      </c>
    </row>
    <row r="203" spans="1:15" s="3" customFormat="1" x14ac:dyDescent="0.2">
      <c r="A203" s="1"/>
      <c r="B203" s="4">
        <v>40359</v>
      </c>
      <c r="C203" s="14">
        <v>-5.5900621118012465E-2</v>
      </c>
      <c r="D203" s="14">
        <v>-6.1855670103092772E-2</v>
      </c>
      <c r="E203" s="14">
        <v>-8.0443828016643557E-2</v>
      </c>
      <c r="F203" s="14">
        <v>-4.5499505440158336E-2</v>
      </c>
      <c r="G203" s="14">
        <v>-1.3370865587614363E-2</v>
      </c>
      <c r="H203" s="14">
        <v>3.6144578313253017E-2</v>
      </c>
      <c r="I203" s="14">
        <v>9.3109869646182154E-3</v>
      </c>
      <c r="J203" s="14">
        <v>-4.2531120331950223E-2</v>
      </c>
      <c r="K203" s="14">
        <v>1.6602809706257968E-2</v>
      </c>
      <c r="L203" s="14">
        <v>-3.7421630094043819E-2</v>
      </c>
      <c r="M203" s="14">
        <v>-8.7242659466756689E-2</v>
      </c>
      <c r="N203" s="14">
        <v>-5.9020044543429767E-2</v>
      </c>
      <c r="O203" s="14">
        <v>-5.2709178031699208E-2</v>
      </c>
    </row>
    <row r="204" spans="1:15" s="3" customFormat="1" x14ac:dyDescent="0.2">
      <c r="A204" s="1"/>
      <c r="B204" s="4">
        <v>40390</v>
      </c>
      <c r="C204" s="14">
        <v>6.8256578947368432E-2</v>
      </c>
      <c r="D204" s="14">
        <v>6.5934065934065922E-2</v>
      </c>
      <c r="E204" s="14">
        <v>7.0889894419306279E-2</v>
      </c>
      <c r="F204" s="14">
        <v>5.4922279792746047E-2</v>
      </c>
      <c r="G204" s="14">
        <v>7.7270565858297668E-2</v>
      </c>
      <c r="H204" s="14">
        <v>1.0570824524312858E-2</v>
      </c>
      <c r="I204" s="14">
        <v>7.3800738007380141E-3</v>
      </c>
      <c r="J204" s="14">
        <v>5.5254604550379172E-2</v>
      </c>
      <c r="K204" s="14">
        <v>4.1457286432160928E-2</v>
      </c>
      <c r="L204" s="14">
        <v>0.11764705882352942</v>
      </c>
      <c r="M204" s="14">
        <v>7.2471806248844542E-2</v>
      </c>
      <c r="N204" s="14">
        <v>6.9822485207100562E-2</v>
      </c>
      <c r="O204" s="14">
        <v>7.0817120622567953E-2</v>
      </c>
    </row>
    <row r="205" spans="1:15" s="3" customFormat="1" x14ac:dyDescent="0.2">
      <c r="A205" s="1"/>
      <c r="B205" s="4">
        <v>40421</v>
      </c>
      <c r="C205" s="14">
        <v>-5.4657428791377909E-2</v>
      </c>
      <c r="D205" s="14">
        <v>-3.6818851251840944E-2</v>
      </c>
      <c r="E205" s="14">
        <v>-6.6197183098591628E-2</v>
      </c>
      <c r="F205" s="14">
        <v>-3.8310412573673749E-2</v>
      </c>
      <c r="G205" s="14">
        <v>1.655263738689031E-2</v>
      </c>
      <c r="H205" s="14">
        <v>4.7071129707112892E-2</v>
      </c>
      <c r="I205" s="14">
        <v>1.8315018315019551E-3</v>
      </c>
      <c r="J205" s="14">
        <v>-3.6960985626283312E-2</v>
      </c>
      <c r="K205" s="14">
        <v>2.4125452352231087E-3</v>
      </c>
      <c r="L205" s="14">
        <v>-7.1753778910945143E-2</v>
      </c>
      <c r="M205" s="14">
        <v>-0.11049818996724708</v>
      </c>
      <c r="N205" s="14">
        <v>-4.9778761061947015E-2</v>
      </c>
      <c r="O205" s="14">
        <v>-6.2499999999999958E-2</v>
      </c>
    </row>
    <row r="206" spans="1:15" s="3" customFormat="1" x14ac:dyDescent="0.2">
      <c r="A206" s="1"/>
      <c r="B206" s="4">
        <v>40451</v>
      </c>
      <c r="C206" s="14">
        <v>0.10342019543973936</v>
      </c>
      <c r="D206" s="14">
        <v>7.1865443425076544E-2</v>
      </c>
      <c r="E206" s="14">
        <v>0.15082956259426861</v>
      </c>
      <c r="F206" s="14">
        <v>5.3115423901940705E-2</v>
      </c>
      <c r="G206" s="14">
        <v>3.3217542336083393E-2</v>
      </c>
      <c r="H206" s="14">
        <v>-1.4985014985014844E-2</v>
      </c>
      <c r="I206" s="14">
        <v>-4.5703839122486932E-3</v>
      </c>
      <c r="J206" s="14">
        <v>0.10874200426439228</v>
      </c>
      <c r="K206" s="14">
        <v>0.12154031287605292</v>
      </c>
      <c r="L206" s="14">
        <v>0.15322738865999597</v>
      </c>
      <c r="M206" s="14">
        <v>9.4379844961240397E-2</v>
      </c>
      <c r="N206" s="14">
        <v>0.10593713620488943</v>
      </c>
      <c r="O206" s="14">
        <v>9.4961240310077494E-2</v>
      </c>
    </row>
    <row r="207" spans="1:15" s="3" customFormat="1" x14ac:dyDescent="0.2">
      <c r="A207" s="1"/>
      <c r="B207" s="4">
        <v>40482</v>
      </c>
      <c r="C207" s="14">
        <v>3.025830258302584E-2</v>
      </c>
      <c r="D207" s="14">
        <v>2.5677603423680414E-2</v>
      </c>
      <c r="E207" s="14">
        <v>3.669724770642193E-2</v>
      </c>
      <c r="F207" s="14">
        <v>2.5218234723569329E-2</v>
      </c>
      <c r="G207" s="14">
        <v>3.3620508510191244E-2</v>
      </c>
      <c r="H207" s="14">
        <v>-2.6369168356998127E-2</v>
      </c>
      <c r="I207" s="14">
        <v>7.3461891643709885E-3</v>
      </c>
      <c r="J207" s="14">
        <v>3.5576923076922999E-2</v>
      </c>
      <c r="K207" s="14">
        <v>2.5751072961373411E-2</v>
      </c>
      <c r="L207" s="14">
        <v>5.2909152773052047E-2</v>
      </c>
      <c r="M207" s="14">
        <v>-2.2666902780237311E-2</v>
      </c>
      <c r="N207" s="14">
        <v>4.7368421052631692E-2</v>
      </c>
      <c r="O207" s="14">
        <v>2.8318584070796484E-2</v>
      </c>
    </row>
    <row r="208" spans="1:15" s="3" customFormat="1" x14ac:dyDescent="0.2">
      <c r="A208" s="1"/>
      <c r="B208" s="4">
        <v>40512</v>
      </c>
      <c r="C208" s="14">
        <v>5.0143266475644903E-3</v>
      </c>
      <c r="D208" s="14">
        <v>-5.5632823365785863E-3</v>
      </c>
      <c r="E208" s="14">
        <v>2.5284450063211708E-3</v>
      </c>
      <c r="F208" s="14">
        <v>1.1352885525071049E-2</v>
      </c>
      <c r="G208" s="14">
        <v>-3.7609270176865245E-2</v>
      </c>
      <c r="H208" s="14">
        <v>-1.4583333333333209E-2</v>
      </c>
      <c r="I208" s="14">
        <v>-5.4694621695533727E-3</v>
      </c>
      <c r="J208" s="14">
        <v>4.6425255338905028E-3</v>
      </c>
      <c r="K208" s="14">
        <v>-1.5690376569037694E-2</v>
      </c>
      <c r="L208" s="14">
        <v>0.10260138956212649</v>
      </c>
      <c r="M208" s="14">
        <v>-3.2071027360029043E-2</v>
      </c>
      <c r="N208" s="14">
        <v>2.110552763819086E-2</v>
      </c>
      <c r="O208" s="14">
        <v>-1.1359724612736603E-2</v>
      </c>
    </row>
    <row r="209" spans="1:15" s="3" customFormat="1" x14ac:dyDescent="0.2">
      <c r="A209" s="1"/>
      <c r="B209" s="4">
        <v>40543</v>
      </c>
      <c r="C209" s="14">
        <v>6.6286528866714156E-2</v>
      </c>
      <c r="D209" s="14">
        <v>5.5944055944055993E-2</v>
      </c>
      <c r="E209" s="14">
        <v>9.205548549810838E-2</v>
      </c>
      <c r="F209" s="14">
        <v>4.583723105706252E-2</v>
      </c>
      <c r="G209" s="14">
        <v>2.1968736797634118E-2</v>
      </c>
      <c r="H209" s="14">
        <v>-1.2684989429175579E-2</v>
      </c>
      <c r="I209" s="14">
        <v>-7.332722273143911E-3</v>
      </c>
      <c r="J209" s="14">
        <v>6.9316081330868765E-2</v>
      </c>
      <c r="K209" s="14">
        <v>6.3761955366631769E-3</v>
      </c>
      <c r="L209" s="14">
        <v>8.9830011723329342E-2</v>
      </c>
      <c r="M209" s="14">
        <v>0.15293897416697869</v>
      </c>
      <c r="N209" s="14">
        <v>5.216535433070877E-2</v>
      </c>
      <c r="O209" s="14">
        <v>6.8941504178272994E-2</v>
      </c>
    </row>
    <row r="210" spans="1:15" s="3" customFormat="1" x14ac:dyDescent="0.2">
      <c r="A210" s="1"/>
      <c r="B210" s="4">
        <v>40574</v>
      </c>
      <c r="C210" s="14">
        <v>3.2754010695187179E-2</v>
      </c>
      <c r="D210" s="14">
        <v>2.119205298013235E-2</v>
      </c>
      <c r="E210" s="14">
        <v>-6.9284064665127596E-3</v>
      </c>
      <c r="F210" s="14">
        <v>1.7889087656530725E-3</v>
      </c>
      <c r="G210" s="14">
        <v>1.508887970235628E-2</v>
      </c>
      <c r="H210" s="14">
        <v>-2.034261241970016E-2</v>
      </c>
      <c r="I210" s="14">
        <v>0</v>
      </c>
      <c r="J210" s="14">
        <v>3.6300777873811578E-2</v>
      </c>
      <c r="K210" s="14">
        <v>-1.0559662090813056E-2</v>
      </c>
      <c r="L210" s="14">
        <v>7.2878848998252005E-2</v>
      </c>
      <c r="M210" s="14">
        <v>3.0849163825295944E-3</v>
      </c>
      <c r="N210" s="14">
        <v>1.8709073900841838E-2</v>
      </c>
      <c r="O210" s="14">
        <v>2.9641693811074919E-2</v>
      </c>
    </row>
    <row r="211" spans="1:15" s="3" customFormat="1" x14ac:dyDescent="0.2">
      <c r="A211" s="1"/>
      <c r="B211" s="4">
        <v>40602</v>
      </c>
      <c r="C211" s="14">
        <v>3.0420711974109955E-2</v>
      </c>
      <c r="D211" s="14">
        <v>3.372243839169918E-2</v>
      </c>
      <c r="E211" s="14">
        <v>4.4186046511627997E-2</v>
      </c>
      <c r="F211" s="14">
        <v>5.2678571428571408E-2</v>
      </c>
      <c r="G211" s="14">
        <v>2.3824068417837543E-2</v>
      </c>
      <c r="H211" s="14">
        <v>1.6393442622950859E-2</v>
      </c>
      <c r="I211" s="14">
        <v>-1.8467220683286772E-3</v>
      </c>
      <c r="J211" s="14">
        <v>3.919933277731448E-2</v>
      </c>
      <c r="K211" s="14">
        <v>-2.4546424759871975E-2</v>
      </c>
      <c r="L211" s="14">
        <v>7.6200025065797691E-2</v>
      </c>
      <c r="M211" s="14">
        <v>1.6833926837164118E-2</v>
      </c>
      <c r="N211" s="14">
        <v>5.1423324150596923E-2</v>
      </c>
      <c r="O211" s="14">
        <v>3.2268269534957275E-2</v>
      </c>
    </row>
    <row r="212" spans="1:15" s="3" customFormat="1" x14ac:dyDescent="0.2">
      <c r="A212" s="1"/>
      <c r="B212" s="4">
        <v>40633</v>
      </c>
      <c r="C212" s="14">
        <v>-8.1658291457285814E-3</v>
      </c>
      <c r="D212" s="14">
        <v>-1.2547051442911763E-3</v>
      </c>
      <c r="E212" s="14">
        <v>-1.1135857461024262E-3</v>
      </c>
      <c r="F212" s="14">
        <v>-0.10771840542832904</v>
      </c>
      <c r="G212" s="14">
        <v>1.5910898965791228E-3</v>
      </c>
      <c r="H212" s="14">
        <v>-8.6021505376344155E-3</v>
      </c>
      <c r="I212" s="14">
        <v>-9.2506938020349547E-4</v>
      </c>
      <c r="J212" s="14">
        <v>1.5248796147672512E-2</v>
      </c>
      <c r="K212" s="14">
        <v>2.5164113785558034E-2</v>
      </c>
      <c r="L212" s="14">
        <v>2.8182135786654263E-2</v>
      </c>
      <c r="M212" s="14">
        <v>-2.0375676536134892E-2</v>
      </c>
      <c r="N212" s="14">
        <v>6.1135371179039544E-3</v>
      </c>
      <c r="O212" s="14">
        <v>8.8875268158136421E-3</v>
      </c>
    </row>
    <row r="213" spans="1:15" s="3" customFormat="1" x14ac:dyDescent="0.2">
      <c r="A213" s="1"/>
      <c r="B213" s="4">
        <v>40663</v>
      </c>
      <c r="C213" s="14">
        <v>3.2298923369221008E-2</v>
      </c>
      <c r="D213" s="14">
        <v>3.1407035175879512E-2</v>
      </c>
      <c r="E213" s="14">
        <v>4.1248606465997678E-2</v>
      </c>
      <c r="F213" s="14">
        <v>1.7110266159695787E-2</v>
      </c>
      <c r="G213" s="14">
        <v>3.8324066719618737E-2</v>
      </c>
      <c r="H213" s="14">
        <v>2.2776572668112696E-2</v>
      </c>
      <c r="I213" s="14">
        <v>1.1111111111111039E-2</v>
      </c>
      <c r="J213" s="14">
        <v>3.7154150197628508E-2</v>
      </c>
      <c r="K213" s="14">
        <v>2.6680896478121663E-2</v>
      </c>
      <c r="L213" s="14">
        <v>-1.0420206138860591E-2</v>
      </c>
      <c r="M213" s="14">
        <v>1.706207344816375E-2</v>
      </c>
      <c r="N213" s="14">
        <v>4.1666666666666546E-2</v>
      </c>
      <c r="O213" s="14">
        <v>3.88821385176185E-2</v>
      </c>
    </row>
    <row r="214" spans="1:15" s="3" customFormat="1" x14ac:dyDescent="0.2">
      <c r="A214" s="1"/>
      <c r="B214" s="4">
        <v>40694</v>
      </c>
      <c r="C214" s="14">
        <v>-1.2269938650306704E-2</v>
      </c>
      <c r="D214" s="14">
        <v>-1.0962241169305706E-2</v>
      </c>
      <c r="E214" s="14">
        <v>-1.7130620985010721E-2</v>
      </c>
      <c r="F214" s="14">
        <v>-3.1775700934579425E-2</v>
      </c>
      <c r="G214" s="14">
        <v>1.0900745840504883E-2</v>
      </c>
      <c r="H214" s="14">
        <v>2.1208907741251438E-2</v>
      </c>
      <c r="I214" s="14">
        <v>9.157509157509288E-3</v>
      </c>
      <c r="J214" s="14">
        <v>-1.7530487804878078E-2</v>
      </c>
      <c r="K214" s="14">
        <v>-3.0145530145530237E-2</v>
      </c>
      <c r="L214" s="14">
        <v>-4.9101522261645943E-2</v>
      </c>
      <c r="M214" s="14">
        <v>-3.0036747084198793E-2</v>
      </c>
      <c r="N214" s="14">
        <v>-2.3333333333333279E-2</v>
      </c>
      <c r="O214" s="14">
        <v>-6.1403508771930067E-3</v>
      </c>
    </row>
    <row r="215" spans="1:15" s="3" customFormat="1" x14ac:dyDescent="0.2">
      <c r="A215" s="1"/>
      <c r="B215" s="4">
        <v>40724</v>
      </c>
      <c r="C215" s="14">
        <v>-2.6708074534161581E-2</v>
      </c>
      <c r="D215" s="14">
        <v>-2.3399014778325167E-2</v>
      </c>
      <c r="E215" s="14">
        <v>-4.1394335511982461E-2</v>
      </c>
      <c r="F215" s="14">
        <v>1.254826254826245E-2</v>
      </c>
      <c r="G215" s="14">
        <v>-3.4052213393870549E-3</v>
      </c>
      <c r="H215" s="14">
        <v>-2.5960539979231565E-2</v>
      </c>
      <c r="I215" s="14">
        <v>-3.6297640653358367E-3</v>
      </c>
      <c r="J215" s="14">
        <v>-1.0085337470907741E-2</v>
      </c>
      <c r="K215" s="14">
        <v>-5.4662379421221839E-2</v>
      </c>
      <c r="L215" s="14">
        <v>-6.0182956186807897E-3</v>
      </c>
      <c r="M215" s="14">
        <v>-3.9367484763630382E-2</v>
      </c>
      <c r="N215" s="14">
        <v>-2.2184300341296908E-2</v>
      </c>
      <c r="O215" s="14">
        <v>-3.0303030303030335E-2</v>
      </c>
    </row>
    <row r="216" spans="1:15" s="3" customFormat="1" x14ac:dyDescent="0.2">
      <c r="A216" s="1"/>
      <c r="B216" s="4">
        <v>40755</v>
      </c>
      <c r="C216" s="14">
        <v>-1.1486917677089963E-2</v>
      </c>
      <c r="D216" s="14">
        <v>-2.6481715006305164E-2</v>
      </c>
      <c r="E216" s="14">
        <v>-5.2272727272727366E-2</v>
      </c>
      <c r="F216" s="14">
        <v>2.4785510009532868E-2</v>
      </c>
      <c r="G216" s="14">
        <v>-7.023538344722806E-3</v>
      </c>
      <c r="H216" s="14">
        <v>4.0511727078891148E-2</v>
      </c>
      <c r="I216" s="14">
        <v>7.2859744990892593E-3</v>
      </c>
      <c r="J216" s="14">
        <v>-3.918495297805643E-2</v>
      </c>
      <c r="K216" s="14">
        <v>2.4943310657596442E-2</v>
      </c>
      <c r="L216" s="14">
        <v>5.9336401065633398E-2</v>
      </c>
      <c r="M216" s="14">
        <v>-3.6008230452674803E-2</v>
      </c>
      <c r="N216" s="14">
        <v>-1.0471204188481761E-2</v>
      </c>
      <c r="O216" s="14">
        <v>-3.6711165048543715E-2</v>
      </c>
    </row>
    <row r="217" spans="1:15" s="3" customFormat="1" x14ac:dyDescent="0.2">
      <c r="A217" s="1"/>
      <c r="B217" s="4">
        <v>40786</v>
      </c>
      <c r="C217" s="14">
        <v>-5.8102001291155607E-2</v>
      </c>
      <c r="D217" s="14">
        <v>-5.1813471502590712E-2</v>
      </c>
      <c r="E217" s="14">
        <v>-8.6330935251798538E-2</v>
      </c>
      <c r="F217" s="14">
        <v>-7.9069767441860436E-2</v>
      </c>
      <c r="G217" s="14">
        <v>-1.7205123303383647E-2</v>
      </c>
      <c r="H217" s="14">
        <v>8.1967213114754172E-3</v>
      </c>
      <c r="I217" s="14">
        <v>9.9457504520795142E-3</v>
      </c>
      <c r="J217" s="14">
        <v>-4.8939641109298507E-2</v>
      </c>
      <c r="K217" s="14">
        <v>-7.1902654867256666E-2</v>
      </c>
      <c r="L217" s="14">
        <v>-0.16175125743026983</v>
      </c>
      <c r="M217" s="14">
        <v>-9.6406972607612967E-2</v>
      </c>
      <c r="N217" s="14">
        <v>-5.5555555555555469E-2</v>
      </c>
      <c r="O217" s="14">
        <v>-7.2125984251968478E-2</v>
      </c>
    </row>
    <row r="218" spans="1:15" s="3" customFormat="1" x14ac:dyDescent="0.2">
      <c r="A218" s="1"/>
      <c r="B218" s="4">
        <v>40816</v>
      </c>
      <c r="C218" s="14">
        <v>-8.6360520904729246E-2</v>
      </c>
      <c r="D218" s="14">
        <v>-7.5136612021857896E-2</v>
      </c>
      <c r="E218" s="14">
        <v>-0.11286089238845137</v>
      </c>
      <c r="F218" s="14">
        <v>-3.0303030303030373E-2</v>
      </c>
      <c r="G218" s="14">
        <v>-7.5860727484925216E-3</v>
      </c>
      <c r="H218" s="14">
        <v>4.4715447154471677E-2</v>
      </c>
      <c r="I218" s="14">
        <v>-8.9525514771708029E-4</v>
      </c>
      <c r="J218" s="14">
        <v>-8.2332761578044519E-2</v>
      </c>
      <c r="K218" s="14">
        <v>-0.18593563766388563</v>
      </c>
      <c r="L218" s="14">
        <v>-0.24219282694667937</v>
      </c>
      <c r="M218" s="14">
        <v>-0.11614173228346453</v>
      </c>
      <c r="N218" s="14">
        <v>-9.7105508870214838E-2</v>
      </c>
      <c r="O218" s="14">
        <v>-8.5539714867617092E-2</v>
      </c>
    </row>
    <row r="219" spans="1:15" s="3" customFormat="1" x14ac:dyDescent="0.2">
      <c r="A219" s="1"/>
      <c r="B219" s="4">
        <v>40847</v>
      </c>
      <c r="C219" s="14">
        <v>0.1230307576894224</v>
      </c>
      <c r="D219" s="14">
        <v>9.8966026587887723E-2</v>
      </c>
      <c r="E219" s="14">
        <v>0.16863905325443782</v>
      </c>
      <c r="F219" s="14">
        <v>-3.1249999999999334E-3</v>
      </c>
      <c r="G219" s="14">
        <v>3.5280282242257884E-2</v>
      </c>
      <c r="H219" s="14">
        <v>1.3618677042801437E-2</v>
      </c>
      <c r="I219" s="14">
        <v>-1.7921146953404636E-3</v>
      </c>
      <c r="J219" s="14">
        <v>0.11962616822429899</v>
      </c>
      <c r="K219" s="14">
        <v>0.11859443631039539</v>
      </c>
      <c r="L219" s="14">
        <v>0.22908043908583761</v>
      </c>
      <c r="M219" s="14">
        <v>0.16102449888641415</v>
      </c>
      <c r="N219" s="14">
        <v>9.5139607032057899E-2</v>
      </c>
      <c r="O219" s="14">
        <v>0.13066072754268743</v>
      </c>
    </row>
    <row r="220" spans="1:15" s="3" customFormat="1" x14ac:dyDescent="0.2">
      <c r="A220" s="1"/>
      <c r="B220" s="4">
        <v>40877</v>
      </c>
      <c r="C220" s="14">
        <v>-1.1356045424181692E-2</v>
      </c>
      <c r="D220" s="14">
        <v>-6.7204301075268575E-3</v>
      </c>
      <c r="E220" s="14">
        <v>5.0632911392405108E-3</v>
      </c>
      <c r="F220" s="14">
        <v>-2.0898641588296316E-3</v>
      </c>
      <c r="G220" s="14">
        <v>7.0049223778872504E-3</v>
      </c>
      <c r="H220" s="14">
        <v>-3.5508637236084377E-2</v>
      </c>
      <c r="I220" s="14">
        <v>-1.7953321364452041E-3</v>
      </c>
      <c r="J220" s="14">
        <v>6.6777963272120254E-3</v>
      </c>
      <c r="K220" s="14">
        <v>-5.1047120418848235E-2</v>
      </c>
      <c r="L220" s="14">
        <v>1.1713030746705877E-2</v>
      </c>
      <c r="M220" s="14">
        <v>-5.8891233454824478E-2</v>
      </c>
      <c r="N220" s="14">
        <v>-2.0774315391879024E-2</v>
      </c>
      <c r="O220" s="14">
        <v>-3.2829940906099834E-4</v>
      </c>
    </row>
    <row r="221" spans="1:15" s="3" customFormat="1" x14ac:dyDescent="0.2">
      <c r="A221" s="1"/>
      <c r="B221" s="4">
        <v>40908</v>
      </c>
      <c r="C221" s="14">
        <v>-6.7567567567566129E-4</v>
      </c>
      <c r="D221" s="14">
        <v>5.4127198917456069E-3</v>
      </c>
      <c r="E221" s="14">
        <v>-3.0226700251889196E-2</v>
      </c>
      <c r="F221" s="14">
        <v>-3.6649214659685826E-2</v>
      </c>
      <c r="G221" s="14">
        <v>6.3921789810113981E-3</v>
      </c>
      <c r="H221" s="14">
        <v>2.3880597014925394E-2</v>
      </c>
      <c r="I221" s="14">
        <v>4.4964028776977452E-3</v>
      </c>
      <c r="J221" s="14">
        <v>-3.3996683250414605E-2</v>
      </c>
      <c r="K221" s="14">
        <v>-6.0689655172413724E-2</v>
      </c>
      <c r="L221" s="14">
        <v>-5.890014471780039E-2</v>
      </c>
      <c r="M221" s="14">
        <v>-3.0574806359559433E-3</v>
      </c>
      <c r="N221" s="14">
        <v>-1.7357762777242016E-2</v>
      </c>
      <c r="O221" s="14">
        <v>8.5385878489326102E-3</v>
      </c>
    </row>
    <row r="222" spans="1:15" s="3" customFormat="1" x14ac:dyDescent="0.2">
      <c r="A222" s="1"/>
      <c r="B222" s="4">
        <v>40939</v>
      </c>
      <c r="C222" s="14">
        <v>4.7329276538201438E-2</v>
      </c>
      <c r="D222" s="14">
        <v>4.1722745625841128E-2</v>
      </c>
      <c r="E222" s="14">
        <v>9.7402597402597518E-2</v>
      </c>
      <c r="F222" s="14">
        <v>4.1304347826086843E-2</v>
      </c>
      <c r="G222" s="14">
        <v>-3.9603960396039556E-2</v>
      </c>
      <c r="H222" s="14">
        <v>2.0408163265306031E-2</v>
      </c>
      <c r="I222" s="14">
        <v>4.4762757385855608E-3</v>
      </c>
      <c r="J222" s="14">
        <v>4.806866952789704E-2</v>
      </c>
      <c r="K222" s="14">
        <v>0.10719530102790008</v>
      </c>
      <c r="L222" s="14">
        <v>6.7353529140396676E-2</v>
      </c>
      <c r="M222" s="14">
        <v>0.12022081373952147</v>
      </c>
      <c r="N222" s="14">
        <v>6.3788027477919382E-2</v>
      </c>
      <c r="O222" s="14">
        <v>4.0703353956366005E-2</v>
      </c>
    </row>
    <row r="223" spans="1:15" s="3" customFormat="1" x14ac:dyDescent="0.2">
      <c r="A223" s="1"/>
      <c r="B223" s="4">
        <v>40968</v>
      </c>
      <c r="C223" s="14">
        <v>5.3582956746287928E-2</v>
      </c>
      <c r="D223" s="14">
        <v>4.780361757105956E-2</v>
      </c>
      <c r="E223" s="14">
        <v>5.7988165680473394E-2</v>
      </c>
      <c r="F223" s="14">
        <v>4.8016701461377959E-2</v>
      </c>
      <c r="G223" s="14">
        <v>2.2369188873759941E-2</v>
      </c>
      <c r="H223" s="14">
        <v>0</v>
      </c>
      <c r="I223" s="14">
        <v>0</v>
      </c>
      <c r="J223" s="14">
        <v>3.2760032760032642E-2</v>
      </c>
      <c r="K223" s="14">
        <v>7.0291777188328949E-2</v>
      </c>
      <c r="L223" s="14">
        <v>5.1865725399798425E-2</v>
      </c>
      <c r="M223" s="14">
        <v>5.0739185982843604E-2</v>
      </c>
      <c r="N223" s="14">
        <v>5.719557195571965E-2</v>
      </c>
      <c r="O223" s="14">
        <v>3.9111389236545682E-2</v>
      </c>
    </row>
    <row r="224" spans="1:15" s="3" customFormat="1" x14ac:dyDescent="0.2">
      <c r="A224" s="1"/>
      <c r="B224" s="4">
        <v>40999</v>
      </c>
      <c r="C224" s="14">
        <v>3.1862745098039186E-2</v>
      </c>
      <c r="D224" s="14">
        <v>3.3292231812577011E-2</v>
      </c>
      <c r="E224" s="14">
        <v>5.5928411633108417E-3</v>
      </c>
      <c r="F224" s="14">
        <v>1.7928286852589612E-2</v>
      </c>
      <c r="G224" s="14">
        <v>1.6933028919330299E-2</v>
      </c>
      <c r="H224" s="14">
        <v>-3.0476190476190504E-2</v>
      </c>
      <c r="I224" s="14">
        <v>-8.9126559714793106E-4</v>
      </c>
      <c r="J224" s="14">
        <v>2.3790642347343436E-2</v>
      </c>
      <c r="K224" s="14">
        <v>-7.8066914498141252E-2</v>
      </c>
      <c r="L224" s="14">
        <v>-6.5881386111491608E-2</v>
      </c>
      <c r="M224" s="14">
        <v>4.5857217300677447E-2</v>
      </c>
      <c r="N224" s="14">
        <v>2.181500872600349E-2</v>
      </c>
      <c r="O224" s="14">
        <v>1.9572417946401643E-2</v>
      </c>
    </row>
    <row r="225" spans="1:15" s="3" customFormat="1" x14ac:dyDescent="0.2">
      <c r="A225" s="1"/>
      <c r="B225" s="4">
        <v>41029</v>
      </c>
      <c r="C225" s="14">
        <v>-1.0688836104513048E-2</v>
      </c>
      <c r="D225" s="14">
        <v>-7.1599045346062637E-3</v>
      </c>
      <c r="E225" s="14">
        <v>-6.0066740823136726E-2</v>
      </c>
      <c r="F225" s="14">
        <v>-2.8375733855185999E-2</v>
      </c>
      <c r="G225" s="14">
        <v>3.910196445275952E-2</v>
      </c>
      <c r="H225" s="14">
        <v>2.2593320235756428E-2</v>
      </c>
      <c r="I225" s="14">
        <v>5.3523639607493748E-3</v>
      </c>
      <c r="J225" s="14">
        <v>3.8729666924864998E-3</v>
      </c>
      <c r="K225" s="14">
        <v>-1.3440860215053476E-3</v>
      </c>
      <c r="L225" s="14">
        <v>4.3988269794720987E-3</v>
      </c>
      <c r="M225" s="14">
        <v>-3.6206610197641584E-2</v>
      </c>
      <c r="N225" s="14">
        <v>-1.1101622544833541E-2</v>
      </c>
      <c r="O225" s="14">
        <v>-4.4300059066745001E-3</v>
      </c>
    </row>
    <row r="226" spans="1:15" s="3" customFormat="1" x14ac:dyDescent="0.2">
      <c r="A226" s="1"/>
      <c r="B226" s="4">
        <v>41060</v>
      </c>
      <c r="C226" s="14">
        <v>-7.6230492196878719E-2</v>
      </c>
      <c r="D226" s="14">
        <v>-7.4519230769230782E-2</v>
      </c>
      <c r="E226" s="14">
        <v>-8.6390532544378743E-2</v>
      </c>
      <c r="F226" s="14">
        <v>-7.9556898288016029E-2</v>
      </c>
      <c r="G226" s="14">
        <v>-9.9027727763773346E-3</v>
      </c>
      <c r="H226" s="14">
        <v>2.4975984630163282E-2</v>
      </c>
      <c r="I226" s="14">
        <v>1.7746228926352769E-3</v>
      </c>
      <c r="J226" s="14">
        <v>-5.3240740740740838E-2</v>
      </c>
      <c r="K226" s="14">
        <v>-9.5558546433378189E-2</v>
      </c>
      <c r="L226" s="14">
        <v>-0.12905109489051089</v>
      </c>
      <c r="M226" s="14">
        <v>-6.8068240565224813E-2</v>
      </c>
      <c r="N226" s="14">
        <v>-7.0811744386873945E-2</v>
      </c>
      <c r="O226" s="14">
        <v>-6.199940670424206E-2</v>
      </c>
    </row>
    <row r="227" spans="1:15" s="3" customFormat="1" x14ac:dyDescent="0.2">
      <c r="A227" s="1"/>
      <c r="B227" s="4">
        <v>41090</v>
      </c>
      <c r="C227" s="14">
        <v>4.8732943469785572E-2</v>
      </c>
      <c r="D227" s="14">
        <v>3.1168831168831197E-2</v>
      </c>
      <c r="E227" s="14">
        <v>5.1813471502590712E-2</v>
      </c>
      <c r="F227" s="14">
        <v>6.1269146608315152E-2</v>
      </c>
      <c r="G227" s="14">
        <v>3.4915439170758351E-2</v>
      </c>
      <c r="H227" s="14">
        <v>-4.6860356138705653E-3</v>
      </c>
      <c r="I227" s="14">
        <v>-8.8573959255976848E-4</v>
      </c>
      <c r="J227" s="14">
        <v>1.9559902200489015E-2</v>
      </c>
      <c r="K227" s="14">
        <v>1.785714285714287E-2</v>
      </c>
      <c r="L227" s="14">
        <v>-7.0398927254442115E-3</v>
      </c>
      <c r="M227" s="14">
        <v>3.9940828402366797E-2</v>
      </c>
      <c r="N227" s="14">
        <v>3.2527881040892326E-2</v>
      </c>
      <c r="O227" s="14">
        <v>2.4667931688804476E-2</v>
      </c>
    </row>
    <row r="228" spans="1:15" s="3" customFormat="1" x14ac:dyDescent="0.2">
      <c r="A228" s="1"/>
      <c r="B228" s="4">
        <v>41121</v>
      </c>
      <c r="C228" s="14">
        <v>1.301115241635693E-2</v>
      </c>
      <c r="D228" s="14">
        <v>2.5188916876573769E-3</v>
      </c>
      <c r="E228" s="14">
        <v>-6.1576354679803061E-2</v>
      </c>
      <c r="F228" s="14">
        <v>-3.9175257731958839E-2</v>
      </c>
      <c r="G228" s="14">
        <v>1.9680196801967975E-2</v>
      </c>
      <c r="H228" s="14">
        <v>4.8022598870056471E-2</v>
      </c>
      <c r="I228" s="14">
        <v>7.0921985815602896E-3</v>
      </c>
      <c r="J228" s="14">
        <v>0</v>
      </c>
      <c r="K228" s="14">
        <v>-1.9005847953216488E-2</v>
      </c>
      <c r="L228" s="14">
        <v>0.1046590141796083</v>
      </c>
      <c r="M228" s="14">
        <v>1.0135135135135139E-2</v>
      </c>
      <c r="N228" s="14">
        <v>1.6201620162016175E-2</v>
      </c>
      <c r="O228" s="14">
        <v>1.2345679012347609E-3</v>
      </c>
    </row>
    <row r="229" spans="1:15" s="3" customFormat="1" x14ac:dyDescent="0.2">
      <c r="A229" s="1"/>
      <c r="B229" s="4">
        <v>41152</v>
      </c>
      <c r="C229" s="14">
        <v>3.4862385321100933E-2</v>
      </c>
      <c r="D229" s="14">
        <v>3.1407035175879512E-2</v>
      </c>
      <c r="E229" s="14">
        <v>0.11548556430446193</v>
      </c>
      <c r="F229" s="14">
        <v>3.2188841201716053E-3</v>
      </c>
      <c r="G229" s="14">
        <v>-3.084611407892468E-2</v>
      </c>
      <c r="H229" s="14">
        <v>-8.0862533692722238E-3</v>
      </c>
      <c r="I229" s="14">
        <v>8.8028169014082623E-4</v>
      </c>
      <c r="J229" s="14">
        <v>2.9576338928856995E-2</v>
      </c>
      <c r="K229" s="14">
        <v>2.3845007451564849E-2</v>
      </c>
      <c r="L229" s="14">
        <v>3.2701711491442555E-2</v>
      </c>
      <c r="M229" s="14">
        <v>2.129906706565747E-2</v>
      </c>
      <c r="N229" s="14">
        <v>3.7201062887511065E-2</v>
      </c>
      <c r="O229" s="14">
        <v>2.1270036991368608E-2</v>
      </c>
    </row>
    <row r="230" spans="1:15" s="3" customFormat="1" x14ac:dyDescent="0.2">
      <c r="A230" s="1"/>
      <c r="B230" s="4">
        <v>41182</v>
      </c>
      <c r="C230" s="14">
        <v>3.6052009456264737E-2</v>
      </c>
      <c r="D230" s="14">
        <v>3.8976857490864832E-2</v>
      </c>
      <c r="E230" s="14">
        <v>2.1176470588235262E-2</v>
      </c>
      <c r="F230" s="14">
        <v>8.556149732620328E-3</v>
      </c>
      <c r="G230" s="14">
        <v>1.6358463726884809E-2</v>
      </c>
      <c r="H230" s="14">
        <v>-4.5289855072464412E-3</v>
      </c>
      <c r="I230" s="14">
        <v>3.5180299032541024E-3</v>
      </c>
      <c r="J230" s="14">
        <v>1.4751552795031016E-2</v>
      </c>
      <c r="K230" s="14">
        <v>4.8034934497816602E-2</v>
      </c>
      <c r="L230" s="14">
        <v>1.4057413435927832E-2</v>
      </c>
      <c r="M230" s="14">
        <v>2.4129610479145098E-2</v>
      </c>
      <c r="N230" s="14">
        <v>2.8181041844577287E-2</v>
      </c>
      <c r="O230" s="14">
        <v>1.7808632659221137E-2</v>
      </c>
    </row>
    <row r="231" spans="1:15" s="3" customFormat="1" x14ac:dyDescent="0.2">
      <c r="A231" s="1"/>
      <c r="B231" s="4">
        <v>41213</v>
      </c>
      <c r="C231" s="14">
        <v>-1.6543069024529327E-2</v>
      </c>
      <c r="D231" s="14">
        <v>-1.172332942555869E-3</v>
      </c>
      <c r="E231" s="14">
        <v>-2.9953917050691222E-2</v>
      </c>
      <c r="F231" s="14">
        <v>-9.5440084835630816E-3</v>
      </c>
      <c r="G231" s="14">
        <v>1.434569629111267E-2</v>
      </c>
      <c r="H231" s="14">
        <v>1.3648771610555083E-2</v>
      </c>
      <c r="I231" s="14">
        <v>-3.5056967572304246E-3</v>
      </c>
      <c r="J231" s="14">
        <v>8.4162203519509895E-3</v>
      </c>
      <c r="K231" s="14">
        <v>4.1666666666667013E-3</v>
      </c>
      <c r="L231" s="14">
        <v>-5.6325696775134972E-2</v>
      </c>
      <c r="M231" s="14">
        <v>1.9017165937394859E-2</v>
      </c>
      <c r="N231" s="14">
        <v>-1.8272425249169486E-2</v>
      </c>
      <c r="O231" s="14">
        <v>-1.7497034400948883E-2</v>
      </c>
    </row>
    <row r="232" spans="1:15" s="3" customFormat="1" x14ac:dyDescent="0.2">
      <c r="A232" s="1"/>
      <c r="B232" s="4">
        <v>41243</v>
      </c>
      <c r="C232" s="14">
        <v>5.8004640371228456E-3</v>
      </c>
      <c r="D232" s="14">
        <v>1.995305164319269E-2</v>
      </c>
      <c r="E232" s="14">
        <v>-1.1876484560570029E-2</v>
      </c>
      <c r="F232" s="14">
        <v>2.2483940042826642E-2</v>
      </c>
      <c r="G232" s="14">
        <v>-2.4146257330113805E-2</v>
      </c>
      <c r="H232" s="14">
        <v>-8.0789946140035779E-3</v>
      </c>
      <c r="I232" s="14">
        <v>-8.7950747581352559E-4</v>
      </c>
      <c r="J232" s="14">
        <v>2.2761760242792164E-2</v>
      </c>
      <c r="K232" s="14">
        <v>2.4896265560165935E-2</v>
      </c>
      <c r="L232" s="14">
        <v>1.0669553115818737E-2</v>
      </c>
      <c r="M232" s="14">
        <v>-4.7894302229562202E-3</v>
      </c>
      <c r="N232" s="14">
        <v>1.099830795262274E-2</v>
      </c>
      <c r="O232" s="14">
        <v>1.9619680048294553E-2</v>
      </c>
    </row>
    <row r="233" spans="1:15" s="3" customFormat="1" x14ac:dyDescent="0.2">
      <c r="A233" s="1"/>
      <c r="B233" s="4">
        <v>41274</v>
      </c>
      <c r="C233" s="14">
        <v>1.1534025374855578E-3</v>
      </c>
      <c r="D233" s="14">
        <v>1.3808975834292197E-2</v>
      </c>
      <c r="E233" s="14">
        <v>3.7259615384615447E-2</v>
      </c>
      <c r="F233" s="14">
        <v>2.9319371727748622E-2</v>
      </c>
      <c r="G233" s="14">
        <v>1.2371862849063322E-3</v>
      </c>
      <c r="H233" s="14">
        <v>-1.8099547511312312E-2</v>
      </c>
      <c r="I233" s="14">
        <v>0</v>
      </c>
      <c r="J233" s="14">
        <v>-3.6350148367952535E-2</v>
      </c>
      <c r="K233" s="14">
        <v>2.6990553306342802E-2</v>
      </c>
      <c r="L233" s="14">
        <v>2.0501835985312168E-2</v>
      </c>
      <c r="M233" s="14">
        <v>2.4892134085628938E-2</v>
      </c>
      <c r="N233" s="14">
        <v>-1.3389121338912145E-2</v>
      </c>
      <c r="O233" s="14">
        <v>9.177027827116704E-3</v>
      </c>
    </row>
    <row r="234" spans="1:15" s="3" customFormat="1" x14ac:dyDescent="0.2">
      <c r="A234" s="1"/>
      <c r="B234" s="4">
        <v>41305</v>
      </c>
      <c r="C234" s="14">
        <v>5.2995391705069221E-2</v>
      </c>
      <c r="D234" s="14">
        <v>6.4699205448354169E-2</v>
      </c>
      <c r="E234" s="14">
        <v>6.1413673232908382E-2</v>
      </c>
      <c r="F234" s="14">
        <v>3.1536113936927825E-2</v>
      </c>
      <c r="G234" s="14">
        <v>5.8075904677846402E-2</v>
      </c>
      <c r="H234" s="14">
        <v>-1.8433179723502238E-2</v>
      </c>
      <c r="I234" s="14">
        <v>-5.2816901408451137E-3</v>
      </c>
      <c r="J234" s="14">
        <v>6.2355658198614355E-2</v>
      </c>
      <c r="K234" s="14">
        <v>5.913272010512486E-2</v>
      </c>
      <c r="L234" s="14">
        <v>0.11709145427286359</v>
      </c>
      <c r="M234" s="14">
        <v>6.8652849740932553E-2</v>
      </c>
      <c r="N234" s="14">
        <v>4.1560644614079746E-2</v>
      </c>
      <c r="O234" s="14">
        <v>7.3041947785274119E-2</v>
      </c>
    </row>
    <row r="235" spans="1:15" s="3" customFormat="1" x14ac:dyDescent="0.2">
      <c r="A235" s="1"/>
      <c r="B235" s="4">
        <v>41333</v>
      </c>
      <c r="C235" s="14">
        <v>4.3763676148795561E-3</v>
      </c>
      <c r="D235" s="14">
        <v>5.3304904051171571E-3</v>
      </c>
      <c r="E235" s="14">
        <v>-4.1484716157205129E-2</v>
      </c>
      <c r="F235" s="14">
        <v>2.8599605522682359E-2</v>
      </c>
      <c r="G235" s="14">
        <v>1.8518518518518507E-2</v>
      </c>
      <c r="H235" s="14">
        <v>7.5117370892018847E-3</v>
      </c>
      <c r="I235" s="14">
        <v>1.769911504424741E-3</v>
      </c>
      <c r="J235" s="14">
        <v>7.2463768115940479E-4</v>
      </c>
      <c r="K235" s="14">
        <v>-1.8610421836228332E-2</v>
      </c>
      <c r="L235" s="14">
        <v>-6.5762984834249749E-3</v>
      </c>
      <c r="M235" s="14">
        <v>-6.6666666666666324E-3</v>
      </c>
      <c r="N235" s="14">
        <v>8.1433224755700032E-3</v>
      </c>
      <c r="O235" s="14">
        <v>2.1049753963914793E-2</v>
      </c>
    </row>
    <row r="236" spans="1:15" s="3" customFormat="1" x14ac:dyDescent="0.2">
      <c r="A236" s="1"/>
      <c r="B236" s="4">
        <v>41364</v>
      </c>
      <c r="C236" s="14">
        <v>3.431372549019622E-2</v>
      </c>
      <c r="D236" s="14">
        <v>3.7115588547189972E-2</v>
      </c>
      <c r="E236" s="14">
        <v>1.0250569476081987E-2</v>
      </c>
      <c r="F236" s="14">
        <v>5.3691275167785282E-2</v>
      </c>
      <c r="G236" s="14">
        <v>6.0606060606060531E-2</v>
      </c>
      <c r="H236" s="14">
        <v>-1.0251630941286061E-2</v>
      </c>
      <c r="I236" s="14">
        <v>0</v>
      </c>
      <c r="J236" s="14">
        <v>3.9826212889210635E-2</v>
      </c>
      <c r="K236" s="14">
        <v>-3.2869785082174433E-2</v>
      </c>
      <c r="L236" s="14">
        <v>8.3761145636313192E-3</v>
      </c>
      <c r="M236" s="14">
        <v>1.1287370347772954E-2</v>
      </c>
      <c r="N236" s="14">
        <v>2.8271405492730179E-2</v>
      </c>
      <c r="O236" s="14">
        <v>5.1137884872824731E-2</v>
      </c>
    </row>
    <row r="237" spans="1:15" s="3" customFormat="1" x14ac:dyDescent="0.2">
      <c r="A237" s="1"/>
      <c r="B237" s="4">
        <v>41394</v>
      </c>
      <c r="C237" s="14">
        <v>1.5797788309636688E-2</v>
      </c>
      <c r="D237" s="14">
        <v>1.1247443762781128E-2</v>
      </c>
      <c r="E237" s="14">
        <v>-1.4656144306651721E-2</v>
      </c>
      <c r="F237" s="14">
        <v>8.2802547770700646E-2</v>
      </c>
      <c r="G237" s="14">
        <v>4.9575289575289699E-2</v>
      </c>
      <c r="H237" s="14">
        <v>3.2015065913370978E-2</v>
      </c>
      <c r="I237" s="14">
        <v>4.4169611307421121E-3</v>
      </c>
      <c r="J237" s="14">
        <v>-6.8245125348189328E-2</v>
      </c>
      <c r="K237" s="14">
        <v>4.052287581699341E-2</v>
      </c>
      <c r="L237" s="14">
        <v>-2.2775991425509337E-3</v>
      </c>
      <c r="M237" s="14">
        <v>3.8612368024132766E-2</v>
      </c>
      <c r="N237" s="14">
        <v>2.1209740769835003E-2</v>
      </c>
      <c r="O237" s="14">
        <v>-2.03769740193595E-3</v>
      </c>
    </row>
    <row r="238" spans="1:15" s="3" customFormat="1" x14ac:dyDescent="0.2">
      <c r="A238" s="1"/>
      <c r="B238" s="4">
        <v>41425</v>
      </c>
      <c r="C238" s="14">
        <v>3.5769828926905008E-2</v>
      </c>
      <c r="D238" s="14">
        <v>1.1122345803842207E-2</v>
      </c>
      <c r="E238" s="14">
        <v>6.5217391304347852E-2</v>
      </c>
      <c r="F238" s="14">
        <v>-7.1428571428571397E-2</v>
      </c>
      <c r="G238" s="14">
        <v>-8.3284284873455017E-2</v>
      </c>
      <c r="H238" s="14">
        <v>-5.1094890510948947E-2</v>
      </c>
      <c r="I238" s="14">
        <v>-1.759014951627098E-2</v>
      </c>
      <c r="J238" s="14">
        <v>0</v>
      </c>
      <c r="K238" s="14">
        <v>2.0100502512562943E-2</v>
      </c>
      <c r="L238" s="14">
        <v>2.0142339196992078E-2</v>
      </c>
      <c r="M238" s="14">
        <v>4.3276212605286149E-2</v>
      </c>
      <c r="N238" s="14">
        <v>2.5384615384615391E-2</v>
      </c>
      <c r="O238" s="14">
        <v>4.1858090862685056E-2</v>
      </c>
    </row>
    <row r="239" spans="1:15" s="3" customFormat="1" x14ac:dyDescent="0.2">
      <c r="A239" s="1"/>
      <c r="B239" s="4">
        <v>41455</v>
      </c>
      <c r="C239" s="14">
        <v>-1.4514514514514472E-2</v>
      </c>
      <c r="D239" s="14">
        <v>-2.8999999999999915E-2</v>
      </c>
      <c r="E239" s="14">
        <v>-1.7185821697099906E-2</v>
      </c>
      <c r="F239" s="14">
        <v>2.8054298642533979E-2</v>
      </c>
      <c r="G239" s="14">
        <v>6.0995184590689477E-3</v>
      </c>
      <c r="H239" s="14">
        <v>-5.2884615384615453E-2</v>
      </c>
      <c r="I239" s="14">
        <v>-1.5219337511190683E-2</v>
      </c>
      <c r="J239" s="14">
        <v>0</v>
      </c>
      <c r="K239" s="14">
        <v>-9.4827586206896602E-2</v>
      </c>
      <c r="L239" s="14">
        <v>-8.0294853231538694E-3</v>
      </c>
      <c r="M239" s="14">
        <v>-2.0601336302895377E-2</v>
      </c>
      <c r="N239" s="14">
        <v>-2.1755438859714864E-2</v>
      </c>
      <c r="O239" s="14">
        <v>-2.1803037726604621E-2</v>
      </c>
    </row>
    <row r="240" spans="1:15" s="3" customFormat="1" x14ac:dyDescent="0.2">
      <c r="A240" s="1"/>
      <c r="B240" s="4">
        <v>41486</v>
      </c>
      <c r="C240" s="14">
        <v>6.0436769933976696E-2</v>
      </c>
      <c r="D240" s="14">
        <v>6.3851699279093635E-2</v>
      </c>
      <c r="E240" s="14">
        <v>5.6830601092896123E-2</v>
      </c>
      <c r="F240" s="14">
        <v>1.2323943661971723E-2</v>
      </c>
      <c r="G240" s="14">
        <v>4.3873643905552123E-2</v>
      </c>
      <c r="H240" s="14">
        <v>3.045685279187933E-3</v>
      </c>
      <c r="I240" s="14">
        <v>-9.0909090909088968E-4</v>
      </c>
      <c r="J240" s="14">
        <v>0</v>
      </c>
      <c r="K240" s="14">
        <v>1.3605442176870699E-2</v>
      </c>
      <c r="L240" s="14">
        <v>3.8614649681528807E-2</v>
      </c>
      <c r="M240" s="14">
        <v>6.0545764638999508E-2</v>
      </c>
      <c r="N240" s="14">
        <v>5.9815950920245345E-2</v>
      </c>
      <c r="O240" s="14">
        <v>4.8334585524668162E-2</v>
      </c>
    </row>
    <row r="241" spans="1:15" s="3" customFormat="1" x14ac:dyDescent="0.2">
      <c r="A241" s="1"/>
      <c r="B241" s="4">
        <v>41517</v>
      </c>
      <c r="C241" s="14">
        <v>-2.1551724137931168E-2</v>
      </c>
      <c r="D241" s="14">
        <v>-2.5169409486931249E-2</v>
      </c>
      <c r="E241" s="14">
        <v>-4.3433298862461216E-2</v>
      </c>
      <c r="F241" s="14">
        <v>-3.6521739130434779E-2</v>
      </c>
      <c r="G241" s="14">
        <v>-3.8972948188904233E-2</v>
      </c>
      <c r="H241" s="14">
        <v>-1.923076923076918E-2</v>
      </c>
      <c r="I241" s="14">
        <v>-6.3694267515923822E-3</v>
      </c>
      <c r="J241" s="14">
        <v>0</v>
      </c>
      <c r="K241" s="14">
        <v>-1.342281879194626E-2</v>
      </c>
      <c r="L241" s="14">
        <v>1.5076018908904976E-2</v>
      </c>
      <c r="M241" s="14">
        <v>-3.926561243634423E-2</v>
      </c>
      <c r="N241" s="14">
        <v>-2.0984081041968101E-2</v>
      </c>
      <c r="O241" s="14">
        <v>-4.0372670807453361E-2</v>
      </c>
    </row>
    <row r="242" spans="1:15" s="3" customFormat="1" x14ac:dyDescent="0.2">
      <c r="A242" s="1"/>
      <c r="B242" s="4">
        <v>41547</v>
      </c>
      <c r="C242" s="14">
        <v>3.6221243269701518E-2</v>
      </c>
      <c r="D242" s="14">
        <v>4.2701092353525295E-2</v>
      </c>
      <c r="E242" s="14">
        <v>2.9189189189189144E-2</v>
      </c>
      <c r="F242" s="14">
        <v>8.9350180505415183E-2</v>
      </c>
      <c r="G242" s="14">
        <v>3.228371501272255E-2</v>
      </c>
      <c r="H242" s="14">
        <v>1.0319917440660253E-3</v>
      </c>
      <c r="I242" s="14">
        <v>1.4652014652014666E-2</v>
      </c>
      <c r="J242" s="14">
        <v>0</v>
      </c>
      <c r="K242" s="14">
        <v>2.4489795918367308E-2</v>
      </c>
      <c r="L242" s="14">
        <v>4.6570169918187576E-2</v>
      </c>
      <c r="M242" s="14">
        <v>3.3337982982284846E-2</v>
      </c>
      <c r="N242" s="14">
        <v>5.2475979305247528E-2</v>
      </c>
      <c r="O242" s="14">
        <v>2.8628329599203348E-2</v>
      </c>
    </row>
    <row r="243" spans="1:15" s="3" customFormat="1" x14ac:dyDescent="0.2">
      <c r="A243" s="1"/>
      <c r="B243" s="4">
        <v>41578</v>
      </c>
      <c r="C243" s="14">
        <v>3.3538025507794084E-2</v>
      </c>
      <c r="D243" s="14">
        <v>3.3333333333333298E-2</v>
      </c>
      <c r="E243" s="14">
        <v>2.1008403361345955E-3</v>
      </c>
      <c r="F243" s="14">
        <v>-3.3140016570007576E-3</v>
      </c>
      <c r="G243" s="14">
        <v>4.4061007548914094E-2</v>
      </c>
      <c r="H243" s="14">
        <v>1.7525773195876278E-2</v>
      </c>
      <c r="I243" s="14">
        <v>4.512635379061436E-3</v>
      </c>
      <c r="J243" s="14">
        <v>0</v>
      </c>
      <c r="K243" s="14">
        <v>2.2576361221779539E-2</v>
      </c>
      <c r="L243" s="14">
        <v>4.2573662056524256E-2</v>
      </c>
      <c r="M243" s="14">
        <v>3.1047516198704259E-2</v>
      </c>
      <c r="N243" s="14">
        <v>3.7219101123595583E-2</v>
      </c>
      <c r="O243" s="14">
        <v>5.0338818973862498E-2</v>
      </c>
    </row>
    <row r="244" spans="1:15" s="3" customFormat="1" x14ac:dyDescent="0.2">
      <c r="A244" s="1"/>
      <c r="B244" s="4">
        <v>41608</v>
      </c>
      <c r="C244" s="14">
        <v>3.2449725776965137E-2</v>
      </c>
      <c r="D244" s="14">
        <v>1.93548387096775E-2</v>
      </c>
      <c r="E244" s="14">
        <v>5.6603773584905565E-2</v>
      </c>
      <c r="F244" s="14">
        <v>1.1637572734829491E-2</v>
      </c>
      <c r="G244" s="14">
        <v>-1.8444739560277406E-2</v>
      </c>
      <c r="H244" s="14">
        <v>-1.1144883485309138E-2</v>
      </c>
      <c r="I244" s="14">
        <v>-6.2893081761006544E-3</v>
      </c>
      <c r="J244" s="14">
        <v>0</v>
      </c>
      <c r="K244" s="14">
        <v>5.0649350649350604E-2</v>
      </c>
      <c r="L244" s="14">
        <v>-2.2493943938170363E-2</v>
      </c>
      <c r="M244" s="14">
        <v>4.5823514008902846E-2</v>
      </c>
      <c r="N244" s="14">
        <v>3.0467163168584919E-2</v>
      </c>
      <c r="O244" s="14">
        <v>2.3271889400921779E-2</v>
      </c>
    </row>
    <row r="245" spans="1:15" s="3" customFormat="1" x14ac:dyDescent="0.2">
      <c r="A245" s="1"/>
      <c r="B245" s="2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</row>
    <row r="246" spans="1:15" s="3" customFormat="1" x14ac:dyDescent="0.2">
      <c r="A246" s="1"/>
      <c r="B246" s="2"/>
      <c r="F246" s="5"/>
      <c r="L246" s="5"/>
    </row>
    <row r="247" spans="1:15" s="3" customFormat="1" x14ac:dyDescent="0.2">
      <c r="A247" s="1"/>
      <c r="B247" s="2"/>
      <c r="F247" s="5"/>
      <c r="L247" s="5"/>
    </row>
    <row r="248" spans="1:15" s="3" customFormat="1" x14ac:dyDescent="0.2">
      <c r="A248" s="1"/>
      <c r="B248" s="2"/>
      <c r="F248" s="5"/>
      <c r="L248" s="5"/>
    </row>
    <row r="249" spans="1:15" s="3" customFormat="1" x14ac:dyDescent="0.2">
      <c r="A249" s="1"/>
      <c r="B249" s="2"/>
      <c r="F249" s="5"/>
      <c r="L249" s="5"/>
    </row>
    <row r="250" spans="1:15" s="3" customFormat="1" x14ac:dyDescent="0.2">
      <c r="A250" s="1"/>
      <c r="B250" s="2"/>
      <c r="F250" s="5"/>
      <c r="L250" s="5"/>
    </row>
    <row r="251" spans="1:15" s="3" customFormat="1" x14ac:dyDescent="0.2">
      <c r="A251" s="1"/>
      <c r="B251" s="2"/>
      <c r="F251" s="5"/>
    </row>
    <row r="252" spans="1:15" s="3" customFormat="1" x14ac:dyDescent="0.2">
      <c r="A252" s="1"/>
      <c r="B252" s="2"/>
      <c r="F252" s="5"/>
    </row>
    <row r="253" spans="1:15" s="3" customFormat="1" x14ac:dyDescent="0.2">
      <c r="A253" s="1"/>
      <c r="B253" s="2"/>
      <c r="F253" s="5"/>
    </row>
    <row r="254" spans="1:15" s="3" customFormat="1" x14ac:dyDescent="0.2">
      <c r="A254" s="1"/>
      <c r="B254" s="2"/>
      <c r="F254" s="5"/>
    </row>
    <row r="255" spans="1:15" s="3" customFormat="1" x14ac:dyDescent="0.2">
      <c r="A255" s="1"/>
      <c r="B255" s="2"/>
      <c r="F255" s="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>
    <tabColor rgb="FF92D050"/>
  </sheetPr>
  <dimension ref="A1:S245"/>
  <sheetViews>
    <sheetView workbookViewId="0">
      <pane xSplit="2" ySplit="5" topLeftCell="C215" activePane="bottomRight" state="frozenSplit"/>
      <selection activeCell="I9" sqref="I9"/>
      <selection pane="topRight" activeCell="I9" sqref="I9"/>
      <selection pane="bottomLeft" activeCell="I9" sqref="I9"/>
      <selection pane="bottomRight" activeCell="L4" sqref="L4"/>
    </sheetView>
  </sheetViews>
  <sheetFormatPr baseColWidth="10" defaultColWidth="16.6640625" defaultRowHeight="15" x14ac:dyDescent="0.2"/>
  <cols>
    <col min="1" max="1" width="5.33203125" style="1" customWidth="1"/>
    <col min="2" max="2" width="16.6640625" style="6" customWidth="1"/>
    <col min="3" max="19" width="16.6640625" style="7" customWidth="1"/>
    <col min="20" max="16384" width="16.6640625" style="8"/>
  </cols>
  <sheetData>
    <row r="1" spans="2:19" ht="12.75" customHeight="1" x14ac:dyDescent="0.2"/>
    <row r="2" spans="2:19" ht="12.75" customHeight="1" x14ac:dyDescent="0.2">
      <c r="L2" s="1"/>
      <c r="M2" s="1"/>
      <c r="N2" s="1"/>
    </row>
    <row r="3" spans="2:19" ht="24" customHeight="1" x14ac:dyDescent="0.2">
      <c r="B3" s="6" t="s">
        <v>12</v>
      </c>
      <c r="C3" s="9" t="s">
        <v>13</v>
      </c>
      <c r="D3" s="9" t="s">
        <v>14</v>
      </c>
      <c r="E3" s="9" t="s">
        <v>15</v>
      </c>
      <c r="F3" s="9" t="s">
        <v>16</v>
      </c>
      <c r="G3" s="9" t="s">
        <v>17</v>
      </c>
      <c r="H3" s="9" t="s">
        <v>18</v>
      </c>
      <c r="I3" s="9" t="s">
        <v>19</v>
      </c>
      <c r="J3" s="9" t="s">
        <v>20</v>
      </c>
      <c r="K3" s="9" t="s">
        <v>21</v>
      </c>
      <c r="L3" s="9" t="s">
        <v>22</v>
      </c>
      <c r="M3" s="9" t="s">
        <v>23</v>
      </c>
      <c r="N3" s="9" t="s">
        <v>24</v>
      </c>
      <c r="O3" s="9" t="s">
        <v>25</v>
      </c>
      <c r="P3" s="9" t="s">
        <v>26</v>
      </c>
      <c r="Q3" s="9" t="s">
        <v>27</v>
      </c>
      <c r="R3" s="9" t="s">
        <v>28</v>
      </c>
    </row>
    <row r="4" spans="2:19" s="10" customFormat="1" ht="48" customHeight="1" x14ac:dyDescent="0.2">
      <c r="B4" s="6" t="s">
        <v>29</v>
      </c>
      <c r="C4" s="11" t="s">
        <v>30</v>
      </c>
      <c r="D4" s="11" t="s">
        <v>31</v>
      </c>
      <c r="E4" s="11" t="s">
        <v>32</v>
      </c>
      <c r="F4" s="11" t="s">
        <v>33</v>
      </c>
      <c r="G4" s="11" t="s">
        <v>34</v>
      </c>
      <c r="H4" s="11" t="s">
        <v>35</v>
      </c>
      <c r="I4" s="11" t="s">
        <v>36</v>
      </c>
      <c r="J4" s="11" t="s">
        <v>37</v>
      </c>
      <c r="K4" s="11" t="s">
        <v>38</v>
      </c>
      <c r="L4" s="11" t="s">
        <v>39</v>
      </c>
      <c r="M4" s="11" t="s">
        <v>40</v>
      </c>
      <c r="N4" s="11" t="s">
        <v>41</v>
      </c>
      <c r="O4" s="11" t="s">
        <v>42</v>
      </c>
      <c r="P4" s="11" t="s">
        <v>43</v>
      </c>
      <c r="Q4" s="11" t="s">
        <v>44</v>
      </c>
      <c r="R4" s="11" t="s">
        <v>45</v>
      </c>
      <c r="S4" s="11"/>
    </row>
    <row r="5" spans="2:19" x14ac:dyDescent="0.2">
      <c r="B5" s="6" t="s">
        <v>9</v>
      </c>
      <c r="C5" s="7" t="s">
        <v>10</v>
      </c>
      <c r="D5" s="7" t="s">
        <v>10</v>
      </c>
      <c r="E5" s="7" t="s">
        <v>10</v>
      </c>
      <c r="F5" s="7" t="s">
        <v>10</v>
      </c>
      <c r="G5" s="7" t="s">
        <v>10</v>
      </c>
      <c r="H5" s="7" t="s">
        <v>10</v>
      </c>
      <c r="I5" s="7" t="s">
        <v>10</v>
      </c>
      <c r="J5" s="7" t="s">
        <v>10</v>
      </c>
      <c r="K5" s="7" t="s">
        <v>10</v>
      </c>
      <c r="L5" s="7" t="s">
        <v>10</v>
      </c>
      <c r="M5" s="7" t="s">
        <v>10</v>
      </c>
      <c r="N5" s="7" t="s">
        <v>10</v>
      </c>
      <c r="O5" s="7" t="s">
        <v>10</v>
      </c>
      <c r="P5" s="7" t="s">
        <v>10</v>
      </c>
      <c r="Q5" s="7" t="s">
        <v>10</v>
      </c>
      <c r="R5" s="7" t="s">
        <v>10</v>
      </c>
    </row>
    <row r="6" spans="2:19" x14ac:dyDescent="0.2">
      <c r="B6" s="4">
        <v>34365</v>
      </c>
      <c r="C6" s="15">
        <v>2.5000000000000001E-3</v>
      </c>
      <c r="D6" s="15">
        <v>4.0569865081610769E-3</v>
      </c>
      <c r="E6" s="15">
        <v>1.8558409279204598E-2</v>
      </c>
      <c r="F6" s="15">
        <v>1.6804542744450427E-2</v>
      </c>
      <c r="G6" s="15">
        <v>9.9202066695779339E-3</v>
      </c>
      <c r="H6" s="15">
        <v>-4.1188822484251745E-3</v>
      </c>
      <c r="I6" s="15">
        <v>8.1403107425412347E-2</v>
      </c>
      <c r="J6" s="15">
        <v>1.9968304278922329E-2</v>
      </c>
      <c r="K6" s="15">
        <v>4.5063370364575223E-2</v>
      </c>
      <c r="L6" s="15">
        <v>1.7021276595744594E-2</v>
      </c>
      <c r="M6" s="15">
        <v>2.2797499537215018E-2</v>
      </c>
      <c r="N6" s="15">
        <v>2.0180722891566111E-2</v>
      </c>
      <c r="O6" s="15">
        <v>1.7677029873327581E-2</v>
      </c>
      <c r="P6" s="15">
        <v>4.9286518658908249E-2</v>
      </c>
      <c r="Q6" s="15">
        <v>-6.9210597203579624E-2</v>
      </c>
      <c r="R6" s="15">
        <v>0.16086117306266362</v>
      </c>
    </row>
    <row r="7" spans="2:19" x14ac:dyDescent="0.2">
      <c r="B7" s="4">
        <v>34393</v>
      </c>
      <c r="C7" s="15">
        <v>2.0999999999999999E-3</v>
      </c>
      <c r="D7" s="15">
        <v>-2.0015034767900727E-2</v>
      </c>
      <c r="E7" s="15">
        <v>-5.1325850008134069E-2</v>
      </c>
      <c r="F7" s="15">
        <v>-2.2661120609821932E-2</v>
      </c>
      <c r="G7" s="15">
        <v>-7.624279735850642E-3</v>
      </c>
      <c r="H7" s="15">
        <v>-5.1658421863595851E-2</v>
      </c>
      <c r="I7" s="15">
        <v>-2.1727633318642452E-2</v>
      </c>
      <c r="J7" s="15">
        <v>-1.9710556690047048E-2</v>
      </c>
      <c r="K7" s="15">
        <v>-4.0088336577332066E-2</v>
      </c>
      <c r="L7" s="15">
        <v>-1.2228984404716528E-2</v>
      </c>
      <c r="M7" s="15">
        <v>-5.3182602884668051E-3</v>
      </c>
      <c r="N7" s="15">
        <v>-1.1157211008033737E-2</v>
      </c>
      <c r="O7" s="15">
        <v>-1.8399352861656042E-2</v>
      </c>
      <c r="P7" s="15">
        <v>-3.7003129987257362E-2</v>
      </c>
      <c r="Q7" s="15">
        <v>-5.8523795389334179E-2</v>
      </c>
      <c r="R7" s="15">
        <v>4.5192506045716271E-2</v>
      </c>
    </row>
    <row r="8" spans="2:19" x14ac:dyDescent="0.2">
      <c r="B8" s="4">
        <v>34424</v>
      </c>
      <c r="C8" s="15">
        <v>2.7000000000000001E-3</v>
      </c>
      <c r="D8" s="15">
        <v>-2.0903250551347268E-2</v>
      </c>
      <c r="E8" s="15">
        <v>-5.0930292377604373E-2</v>
      </c>
      <c r="F8" s="15">
        <v>-2.4785974709248551E-2</v>
      </c>
      <c r="G8" s="15">
        <v>-2.5163774048574582E-2</v>
      </c>
      <c r="H8" s="15">
        <v>-4.0961176671797439E-2</v>
      </c>
      <c r="I8" s="15">
        <v>-1.19385502545389E-2</v>
      </c>
      <c r="J8" s="15">
        <v>-4.8501041572321255E-2</v>
      </c>
      <c r="K8" s="15">
        <v>-4.3127315266133649E-2</v>
      </c>
      <c r="L8" s="15">
        <v>-5.520149411787361E-2</v>
      </c>
      <c r="M8" s="15">
        <v>-5.8295775830697276E-2</v>
      </c>
      <c r="N8" s="15">
        <v>-4.2272334407165831E-2</v>
      </c>
      <c r="O8" s="15">
        <v>-9.200061620812984E-2</v>
      </c>
      <c r="P8" s="15">
        <v>-3.0005459917780156E-2</v>
      </c>
      <c r="Q8" s="15">
        <v>-0.11108980085124275</v>
      </c>
      <c r="R8" s="15">
        <v>-4.3283632664878051E-2</v>
      </c>
    </row>
    <row r="9" spans="2:19" x14ac:dyDescent="0.2">
      <c r="B9" s="4">
        <v>34454</v>
      </c>
      <c r="C9" s="15">
        <v>2.7000000000000001E-3</v>
      </c>
      <c r="D9" s="15">
        <v>-1.1849965723239582E-2</v>
      </c>
      <c r="E9" s="15">
        <v>-1.8429849128195792E-2</v>
      </c>
      <c r="F9" s="15">
        <v>-1.0644937073899484E-2</v>
      </c>
      <c r="G9" s="15">
        <v>-7.2184174968275474E-3</v>
      </c>
      <c r="H9" s="15">
        <v>-1.640659830584042E-2</v>
      </c>
      <c r="I9" s="15">
        <v>2.6217399233995985E-2</v>
      </c>
      <c r="J9" s="15">
        <v>3.3315882156964858E-3</v>
      </c>
      <c r="K9" s="15">
        <v>1.9682953665593479E-2</v>
      </c>
      <c r="L9" s="15">
        <v>9.0482983492969175E-3</v>
      </c>
      <c r="M9" s="15">
        <v>1.0701386721361358E-3</v>
      </c>
      <c r="N9" s="15">
        <v>8.2041184674706694E-4</v>
      </c>
      <c r="O9" s="15">
        <v>-2.2190833811995221E-2</v>
      </c>
      <c r="P9" s="15">
        <v>3.9631809415017476E-2</v>
      </c>
      <c r="Q9" s="15">
        <v>4.4671437058317692E-2</v>
      </c>
      <c r="R9" s="15">
        <v>4.2098316812980326E-2</v>
      </c>
    </row>
    <row r="10" spans="2:19" x14ac:dyDescent="0.2">
      <c r="B10" s="4">
        <v>34485</v>
      </c>
      <c r="C10" s="15">
        <v>3.0999999999999999E-3</v>
      </c>
      <c r="D10" s="15">
        <v>-4.6580773042616333E-3</v>
      </c>
      <c r="E10" s="15">
        <v>-1.5554532903819583E-2</v>
      </c>
      <c r="F10" s="15">
        <v>-1.8341026499569136E-3</v>
      </c>
      <c r="G10" s="15">
        <v>3.0705113608921844E-3</v>
      </c>
      <c r="H10" s="15">
        <v>-2.5654972350648158E-2</v>
      </c>
      <c r="I10" s="15">
        <v>1.4884258230772647E-2</v>
      </c>
      <c r="J10" s="15">
        <v>1.3756463165883998E-2</v>
      </c>
      <c r="K10" s="15">
        <v>1.1030293341859241E-2</v>
      </c>
      <c r="L10" s="15">
        <v>-2.7345801187542845E-2</v>
      </c>
      <c r="M10" s="15">
        <v>-2.5032292548216137E-2</v>
      </c>
      <c r="N10" s="15">
        <v>-3.8527748176080375E-3</v>
      </c>
      <c r="O10" s="15">
        <v>3.1995066425562615E-2</v>
      </c>
      <c r="P10" s="15">
        <v>-4.4227945742976615E-2</v>
      </c>
      <c r="Q10" s="15">
        <v>4.1442802538399853E-2</v>
      </c>
      <c r="R10" s="15">
        <v>2.1417608483326415E-2</v>
      </c>
    </row>
    <row r="11" spans="2:19" x14ac:dyDescent="0.2">
      <c r="B11" s="4">
        <v>34515</v>
      </c>
      <c r="C11" s="15">
        <v>3.0999999999999999E-3</v>
      </c>
      <c r="D11" s="15">
        <v>-5.3768794185005096E-3</v>
      </c>
      <c r="E11" s="15">
        <v>-1.6735228122662735E-2</v>
      </c>
      <c r="F11" s="15">
        <v>-1.6952071462265142E-3</v>
      </c>
      <c r="G11" s="15">
        <v>-2.6191426134331655E-3</v>
      </c>
      <c r="H11" s="15">
        <v>-1.6096017863788649E-2</v>
      </c>
      <c r="I11" s="15">
        <v>2.4603800017511519E-2</v>
      </c>
      <c r="J11" s="15">
        <v>-2.3910907304290924E-2</v>
      </c>
      <c r="K11" s="15">
        <v>-2.960708356391813E-2</v>
      </c>
      <c r="L11" s="15">
        <v>-1.9808970099667814E-2</v>
      </c>
      <c r="M11" s="15">
        <v>-4.8974370688473615E-2</v>
      </c>
      <c r="N11" s="15">
        <v>-2.2712310730743836E-2</v>
      </c>
      <c r="O11" s="15">
        <v>-2.9331928857918441E-2</v>
      </c>
      <c r="P11" s="15">
        <v>-1.2357547484171992E-2</v>
      </c>
      <c r="Q11" s="15">
        <v>-4.6120744690966227E-2</v>
      </c>
      <c r="R11" s="15">
        <v>4.8827581134117545E-2</v>
      </c>
    </row>
    <row r="12" spans="2:19" x14ac:dyDescent="0.2">
      <c r="B12" s="4">
        <v>34546</v>
      </c>
      <c r="C12" s="15">
        <v>2.8000000000000004E-3</v>
      </c>
      <c r="D12" s="15">
        <v>7.8085894483932439E-3</v>
      </c>
      <c r="E12" s="15">
        <v>2.7954739944851172E-2</v>
      </c>
      <c r="F12" s="15">
        <v>1.9670493359914588E-2</v>
      </c>
      <c r="G12" s="15">
        <v>2.0285706896105773E-2</v>
      </c>
      <c r="H12" s="15">
        <v>1.6453900709219944E-2</v>
      </c>
      <c r="I12" s="15">
        <v>1.7219278755768321E-2</v>
      </c>
      <c r="J12" s="15">
        <v>3.1208053691275262E-2</v>
      </c>
      <c r="K12" s="15">
        <v>3.1813923174060052E-2</v>
      </c>
      <c r="L12" s="15">
        <v>3.1584968012540834E-2</v>
      </c>
      <c r="M12" s="15">
        <v>1.7325583257273784E-2</v>
      </c>
      <c r="N12" s="15">
        <v>1.5459750757830834E-2</v>
      </c>
      <c r="O12" s="15">
        <v>6.1665762344004296E-2</v>
      </c>
      <c r="P12" s="15">
        <v>5.053113871349204E-2</v>
      </c>
      <c r="Q12" s="15">
        <v>5.4408439231947825E-2</v>
      </c>
      <c r="R12" s="15">
        <v>-3.6373761332622011E-2</v>
      </c>
    </row>
    <row r="13" spans="2:19" x14ac:dyDescent="0.2">
      <c r="B13" s="4">
        <v>34577</v>
      </c>
      <c r="C13" s="15">
        <v>3.7000000000000002E-3</v>
      </c>
      <c r="D13" s="15">
        <v>-1.4900168868581074E-3</v>
      </c>
      <c r="E13" s="15">
        <v>-1.8592174636943768E-2</v>
      </c>
      <c r="F13" s="15">
        <v>2.0772465008989161E-3</v>
      </c>
      <c r="G13" s="15">
        <v>2.5535294813512368E-3</v>
      </c>
      <c r="H13" s="15">
        <v>-1.9908828728253794E-2</v>
      </c>
      <c r="I13" s="15">
        <v>-6.7417146217499044E-2</v>
      </c>
      <c r="J13" s="15">
        <v>5.1090139928408627E-2</v>
      </c>
      <c r="K13" s="15">
        <v>2.3766285037504862E-2</v>
      </c>
      <c r="L13" s="15">
        <v>4.5259461568474366E-2</v>
      </c>
      <c r="M13" s="15">
        <v>8.7324697401350501E-2</v>
      </c>
      <c r="N13" s="15">
        <v>4.603801121098542E-2</v>
      </c>
      <c r="O13" s="15">
        <v>0.12298689479074333</v>
      </c>
      <c r="P13" s="15">
        <v>2.9908291943468914E-2</v>
      </c>
      <c r="Q13" s="15">
        <v>7.98053081091009E-2</v>
      </c>
      <c r="R13" s="15">
        <v>6.3319909801258321E-3</v>
      </c>
    </row>
    <row r="14" spans="2:19" x14ac:dyDescent="0.2">
      <c r="B14" s="4">
        <v>34607</v>
      </c>
      <c r="C14" s="15">
        <v>3.7000000000000002E-3</v>
      </c>
      <c r="D14" s="15">
        <v>-1.36291285316354E-2</v>
      </c>
      <c r="E14" s="15">
        <v>-3.8642789820923736E-2</v>
      </c>
      <c r="F14" s="15">
        <v>-1.6104927197507814E-2</v>
      </c>
      <c r="G14" s="15">
        <v>-1.3562784770438886E-2</v>
      </c>
      <c r="H14" s="15">
        <v>-2.7432368296155675E-2</v>
      </c>
      <c r="I14" s="15">
        <v>-9.4135663453743298E-3</v>
      </c>
      <c r="J14" s="15">
        <v>-1.6408668730650066E-2</v>
      </c>
      <c r="K14" s="15">
        <v>-3.8061082832022121E-2</v>
      </c>
      <c r="L14" s="15">
        <v>-1.3614663759061722E-2</v>
      </c>
      <c r="M14" s="15">
        <v>4.4730099448472343E-3</v>
      </c>
      <c r="N14" s="15">
        <v>-2.076925516060504E-2</v>
      </c>
      <c r="O14" s="15">
        <v>1.0484932504341023E-2</v>
      </c>
      <c r="P14" s="15">
        <v>-4.146176418309782E-2</v>
      </c>
      <c r="Q14" s="15">
        <v>-1.7802647509080081E-2</v>
      </c>
      <c r="R14" s="15">
        <v>-2.5165152772233412E-2</v>
      </c>
    </row>
    <row r="15" spans="2:19" x14ac:dyDescent="0.2">
      <c r="B15" s="4">
        <v>34638</v>
      </c>
      <c r="C15" s="15">
        <v>3.8E-3</v>
      </c>
      <c r="D15" s="15">
        <v>-5.244578920827133E-3</v>
      </c>
      <c r="E15" s="15">
        <v>-1.078431372549014E-2</v>
      </c>
      <c r="F15" s="15">
        <v>-2.0546473526830574E-3</v>
      </c>
      <c r="G15" s="15">
        <v>-3.1271627406247952E-4</v>
      </c>
      <c r="H15" s="15">
        <v>-7.8079250439196885E-3</v>
      </c>
      <c r="I15" s="15">
        <v>4.5014322739053746E-3</v>
      </c>
      <c r="J15" s="15">
        <v>2.2213229012095857E-2</v>
      </c>
      <c r="K15" s="15">
        <v>1.9643215073160861E-2</v>
      </c>
      <c r="L15" s="15">
        <v>9.8191523263225118E-3</v>
      </c>
      <c r="M15" s="15">
        <v>2.1170197434788953E-2</v>
      </c>
      <c r="N15" s="15">
        <v>-2.8009843922025702E-2</v>
      </c>
      <c r="O15" s="15">
        <v>-1.9363019369948338E-2</v>
      </c>
      <c r="P15" s="15">
        <v>4.1615563544089761E-2</v>
      </c>
      <c r="Q15" s="15">
        <v>1.8290866027428555E-2</v>
      </c>
      <c r="R15" s="15">
        <v>2.691581785632588E-2</v>
      </c>
    </row>
    <row r="16" spans="2:19" x14ac:dyDescent="0.2">
      <c r="B16" s="4">
        <v>34668</v>
      </c>
      <c r="C16" s="15">
        <v>3.7000000000000002E-3</v>
      </c>
      <c r="D16" s="15">
        <v>-8.6180675250937273E-3</v>
      </c>
      <c r="E16" s="15">
        <v>-4.1625371655104231E-3</v>
      </c>
      <c r="F16" s="15">
        <v>-7.0124444723554326E-4</v>
      </c>
      <c r="G16" s="15">
        <v>-2.7110554997162666E-3</v>
      </c>
      <c r="H16" s="15">
        <v>6.88569742278185E-3</v>
      </c>
      <c r="I16" s="15">
        <v>-3.2717725873619499E-2</v>
      </c>
      <c r="J16" s="15">
        <v>-3.4795231601636369E-2</v>
      </c>
      <c r="K16" s="15">
        <v>-4.4741497935915059E-2</v>
      </c>
      <c r="L16" s="15">
        <v>-4.6034594978402746E-2</v>
      </c>
      <c r="M16" s="15">
        <v>-3.9797344021225312E-2</v>
      </c>
      <c r="N16" s="15">
        <v>-3.9211113702235338E-2</v>
      </c>
      <c r="O16" s="15">
        <v>-5.3193030305171543E-2</v>
      </c>
      <c r="P16" s="15">
        <v>-4.0107503037382433E-2</v>
      </c>
      <c r="Q16" s="15">
        <v>-9.6639380547573109E-2</v>
      </c>
      <c r="R16" s="15">
        <v>-5.0802109143261616E-2</v>
      </c>
    </row>
    <row r="17" spans="1:18" s="7" customFormat="1" x14ac:dyDescent="0.2">
      <c r="A17" s="1"/>
      <c r="B17" s="4">
        <v>34699</v>
      </c>
      <c r="C17" s="15">
        <v>4.4000000000000003E-3</v>
      </c>
      <c r="D17" s="15">
        <v>-2.45448967068925E-3</v>
      </c>
      <c r="E17" s="15">
        <v>8.4593949044585413E-3</v>
      </c>
      <c r="F17" s="15">
        <v>8.8517555383322514E-3</v>
      </c>
      <c r="G17" s="15">
        <v>8.0147268033991127E-3</v>
      </c>
      <c r="H17" s="15">
        <v>2.5400547088707025E-3</v>
      </c>
      <c r="I17" s="15">
        <v>3.3857140183067173E-2</v>
      </c>
      <c r="J17" s="15">
        <v>1.4811776501686262E-2</v>
      </c>
      <c r="K17" s="15">
        <v>9.6719759641107714E-3</v>
      </c>
      <c r="L17" s="15">
        <v>1.8463001633345064E-2</v>
      </c>
      <c r="M17" s="15">
        <v>7.1429621246638158E-3</v>
      </c>
      <c r="N17" s="15">
        <v>2.6976421636615712E-2</v>
      </c>
      <c r="O17" s="15">
        <v>-8.100262129310902E-2</v>
      </c>
      <c r="P17" s="15">
        <v>3.7922726141301883E-3</v>
      </c>
      <c r="Q17" s="15">
        <v>-2.6085487974706237E-2</v>
      </c>
      <c r="R17" s="15">
        <v>1.0975433331793072E-2</v>
      </c>
    </row>
    <row r="18" spans="1:18" s="7" customFormat="1" x14ac:dyDescent="0.2">
      <c r="A18" s="1"/>
      <c r="B18" s="4">
        <v>34730</v>
      </c>
      <c r="C18" s="15">
        <v>4.1999999999999997E-3</v>
      </c>
      <c r="D18" s="15">
        <v>1.1277424646298896E-2</v>
      </c>
      <c r="E18" s="15">
        <v>1.9540116451199092E-2</v>
      </c>
      <c r="F18" s="15">
        <v>1.9319014383218223E-2</v>
      </c>
      <c r="G18" s="15">
        <v>2.1943472390843911E-2</v>
      </c>
      <c r="H18" s="15">
        <v>1.0621711167413792E-2</v>
      </c>
      <c r="I18" s="15">
        <v>-2.4849837276566509E-2</v>
      </c>
      <c r="J18" s="15">
        <v>2.3891857906318734E-2</v>
      </c>
      <c r="K18" s="15">
        <v>2.4661666394912813E-2</v>
      </c>
      <c r="L18" s="15">
        <v>8.5870889159560728E-3</v>
      </c>
      <c r="M18" s="15">
        <v>-9.6023349142649265E-3</v>
      </c>
      <c r="N18" s="15">
        <v>2.1946113849685234E-4</v>
      </c>
      <c r="O18" s="15">
        <v>-0.10707136737734946</v>
      </c>
      <c r="P18" s="15">
        <v>-9.7390283986113716E-3</v>
      </c>
      <c r="Q18" s="15">
        <v>-0.10842726174401265</v>
      </c>
      <c r="R18" s="15">
        <v>-5.8821684241155262E-2</v>
      </c>
    </row>
    <row r="19" spans="1:18" s="7" customFormat="1" x14ac:dyDescent="0.2">
      <c r="A19" s="1"/>
      <c r="B19" s="4">
        <v>34758</v>
      </c>
      <c r="C19" s="15">
        <v>4.0000000000000001E-3</v>
      </c>
      <c r="D19" s="15">
        <v>1.4699918896999217E-2</v>
      </c>
      <c r="E19" s="15">
        <v>2.2359887716581185E-2</v>
      </c>
      <c r="F19" s="15">
        <v>2.3974077673858223E-2</v>
      </c>
      <c r="G19" s="15">
        <v>2.6157765217376838E-2</v>
      </c>
      <c r="H19" s="15">
        <v>1.7645357246167181E-2</v>
      </c>
      <c r="I19" s="15">
        <v>8.0766070823489432E-3</v>
      </c>
      <c r="J19" s="15">
        <v>3.7457783236106809E-2</v>
      </c>
      <c r="K19" s="15">
        <v>3.4530771372876662E-2</v>
      </c>
      <c r="L19" s="15">
        <v>4.7018094720528293E-2</v>
      </c>
      <c r="M19" s="15">
        <v>5.814313289227465E-2</v>
      </c>
      <c r="N19" s="15">
        <v>3.4363449172137947E-2</v>
      </c>
      <c r="O19" s="15">
        <v>-2.6668970550453832E-2</v>
      </c>
      <c r="P19" s="15">
        <v>2.0666357879713763E-2</v>
      </c>
      <c r="Q19" s="15">
        <v>9.9699330108757714E-2</v>
      </c>
      <c r="R19" s="15">
        <v>-4.8840602665060164E-2</v>
      </c>
    </row>
    <row r="20" spans="1:18" s="7" customFormat="1" x14ac:dyDescent="0.2">
      <c r="A20" s="1"/>
      <c r="B20" s="4">
        <v>34789</v>
      </c>
      <c r="C20" s="15">
        <v>4.5999999999999999E-3</v>
      </c>
      <c r="D20" s="15">
        <v>-1.9982016185429133E-4</v>
      </c>
      <c r="E20" s="15">
        <v>1.7989017231584711E-3</v>
      </c>
      <c r="F20" s="15">
        <v>1.1519535751483933E-2</v>
      </c>
      <c r="G20" s="15">
        <v>4.4103721575798624E-3</v>
      </c>
      <c r="H20" s="15">
        <v>3.6952814098919892E-3</v>
      </c>
      <c r="I20" s="15">
        <v>1.3620226819598727E-2</v>
      </c>
      <c r="J20" s="15">
        <v>2.917177525049679E-2</v>
      </c>
      <c r="K20" s="15">
        <v>2.5456642953278232E-2</v>
      </c>
      <c r="L20" s="15">
        <v>1.9050731463503657E-2</v>
      </c>
      <c r="M20" s="15">
        <v>2.8936265021653425E-2</v>
      </c>
      <c r="N20" s="15">
        <v>-2.9534143754590177E-3</v>
      </c>
      <c r="O20" s="15">
        <v>3.9616264158258783E-3</v>
      </c>
      <c r="P20" s="15">
        <v>4.430422372598701E-2</v>
      </c>
      <c r="Q20" s="15">
        <v>1.8642976845597565E-3</v>
      </c>
      <c r="R20" s="15">
        <v>9.1375831692029841E-2</v>
      </c>
    </row>
    <row r="21" spans="1:18" s="7" customFormat="1" x14ac:dyDescent="0.2">
      <c r="A21" s="1"/>
      <c r="B21" s="4">
        <v>34819</v>
      </c>
      <c r="C21" s="15">
        <v>4.4000000000000003E-3</v>
      </c>
      <c r="D21" s="15">
        <v>6.0957329869091572E-3</v>
      </c>
      <c r="E21" s="15">
        <v>1.1530101124657393E-2</v>
      </c>
      <c r="F21" s="15">
        <v>1.4962043524923094E-2</v>
      </c>
      <c r="G21" s="15">
        <v>1.4357944492515927E-2</v>
      </c>
      <c r="H21" s="15">
        <v>1.3121872934957052E-2</v>
      </c>
      <c r="I21" s="15">
        <v>3.0622118245622148E-2</v>
      </c>
      <c r="J21" s="15">
        <v>2.5140697531117792E-2</v>
      </c>
      <c r="K21" s="15">
        <v>3.0824614692316232E-2</v>
      </c>
      <c r="L21" s="15">
        <v>9.1869458592718431E-3</v>
      </c>
      <c r="M21" s="15">
        <v>1.9596432583129229E-2</v>
      </c>
      <c r="N21" s="15">
        <v>2.8967007069913665E-2</v>
      </c>
      <c r="O21" s="15">
        <v>4.3008075792863275E-2</v>
      </c>
      <c r="P21" s="15">
        <v>2.9973174622916859E-2</v>
      </c>
      <c r="Q21" s="15">
        <v>-1.14977788710588E-2</v>
      </c>
      <c r="R21" s="15">
        <v>4.8197493960254086E-2</v>
      </c>
    </row>
    <row r="22" spans="1:18" s="7" customFormat="1" x14ac:dyDescent="0.2">
      <c r="A22" s="1"/>
      <c r="B22" s="4">
        <v>34850</v>
      </c>
      <c r="C22" s="15">
        <v>5.4000000000000003E-3</v>
      </c>
      <c r="D22" s="15">
        <v>2.3837902264600627E-2</v>
      </c>
      <c r="E22" s="15">
        <v>7.082126506586936E-2</v>
      </c>
      <c r="F22" s="15">
        <v>4.7821579778524886E-2</v>
      </c>
      <c r="G22" s="15">
        <v>3.2378863739810526E-2</v>
      </c>
      <c r="H22" s="15">
        <v>5.4416697726425538E-2</v>
      </c>
      <c r="I22" s="15">
        <v>-8.4451418395953323E-3</v>
      </c>
      <c r="J22" s="15">
        <v>3.3820877579643346E-2</v>
      </c>
      <c r="K22" s="15">
        <v>3.9106551711593732E-2</v>
      </c>
      <c r="L22" s="15">
        <v>2.4805129259584613E-2</v>
      </c>
      <c r="M22" s="15">
        <v>2.2166474203267957E-2</v>
      </c>
      <c r="N22" s="15">
        <v>1.9308458186213677E-2</v>
      </c>
      <c r="O22" s="15">
        <v>5.0561246341637507E-2</v>
      </c>
      <c r="P22" s="15">
        <v>1.8533951330487866E-2</v>
      </c>
      <c r="Q22" s="15">
        <v>0.12019135057908736</v>
      </c>
      <c r="R22" s="15">
        <v>-6.2593110650531164E-2</v>
      </c>
    </row>
    <row r="23" spans="1:18" s="7" customFormat="1" x14ac:dyDescent="0.2">
      <c r="A23" s="1"/>
      <c r="B23" s="4">
        <v>34880</v>
      </c>
      <c r="C23" s="15">
        <v>4.6999999999999993E-3</v>
      </c>
      <c r="D23" s="15">
        <v>7.7609623593323919E-4</v>
      </c>
      <c r="E23" s="15">
        <v>6.0204170665735775E-3</v>
      </c>
      <c r="F23" s="15">
        <v>9.0334988396067756E-3</v>
      </c>
      <c r="G23" s="15">
        <v>5.5188403652301357E-3</v>
      </c>
      <c r="H23" s="15">
        <v>-4.2417815482501744E-3</v>
      </c>
      <c r="I23" s="15">
        <v>-1.7843172119487855E-2</v>
      </c>
      <c r="J23" s="15">
        <v>3.6202953602852722E-2</v>
      </c>
      <c r="K23" s="15">
        <v>5.7414927881250643E-3</v>
      </c>
      <c r="L23" s="15">
        <v>3.5385962352254448E-2</v>
      </c>
      <c r="M23" s="15">
        <v>6.0031944318196598E-2</v>
      </c>
      <c r="N23" s="15">
        <v>2.4996879290974883E-2</v>
      </c>
      <c r="O23" s="15">
        <v>9.1091698976976615E-4</v>
      </c>
      <c r="P23" s="15">
        <v>7.4809609470711984E-3</v>
      </c>
      <c r="Q23" s="15">
        <v>-1.6313580363069992E-2</v>
      </c>
      <c r="R23" s="15">
        <v>-4.8393747201236702E-2</v>
      </c>
    </row>
    <row r="24" spans="1:18" s="7" customFormat="1" x14ac:dyDescent="0.2">
      <c r="A24" s="1"/>
      <c r="B24" s="4">
        <v>34911</v>
      </c>
      <c r="C24" s="15">
        <v>4.5000000000000005E-3</v>
      </c>
      <c r="D24" s="15">
        <v>-5.4284606436602175E-3</v>
      </c>
      <c r="E24" s="15">
        <v>-2.2549869904596655E-2</v>
      </c>
      <c r="F24" s="15">
        <v>-4.8971737508345034E-3</v>
      </c>
      <c r="G24" s="15">
        <v>1.7952770874502854E-3</v>
      </c>
      <c r="H24" s="15">
        <v>-1.1093361732339367E-2</v>
      </c>
      <c r="I24" s="15">
        <v>2.6114978320494517E-2</v>
      </c>
      <c r="J24" s="15">
        <v>3.1047768675419939E-2</v>
      </c>
      <c r="K24" s="15">
        <v>3.2477025898078472E-2</v>
      </c>
      <c r="L24" s="15">
        <v>5.7201747586498534E-2</v>
      </c>
      <c r="M24" s="15">
        <v>7.6048608388867012E-2</v>
      </c>
      <c r="N24" s="15">
        <v>3.9184046277972312E-2</v>
      </c>
      <c r="O24" s="15">
        <v>2.099142311029456E-2</v>
      </c>
      <c r="P24" s="15">
        <v>5.0161845209730535E-2</v>
      </c>
      <c r="Q24" s="15">
        <v>1.4184981295698007E-2</v>
      </c>
      <c r="R24" s="15">
        <v>7.8973211234544788E-2</v>
      </c>
    </row>
    <row r="25" spans="1:18" s="7" customFormat="1" x14ac:dyDescent="0.2">
      <c r="A25" s="1"/>
      <c r="B25" s="4">
        <v>34942</v>
      </c>
      <c r="C25" s="15">
        <v>4.6999999999999993E-3</v>
      </c>
      <c r="D25" s="15">
        <v>4.1910331384014867E-3</v>
      </c>
      <c r="E25" s="15">
        <v>1.1623779946761333E-2</v>
      </c>
      <c r="F25" s="15">
        <v>1.4826966108852205E-2</v>
      </c>
      <c r="G25" s="15">
        <v>1.0651354833970532E-2</v>
      </c>
      <c r="H25" s="15">
        <v>6.7306829399623076E-3</v>
      </c>
      <c r="I25" s="15">
        <v>2.1198327422855205E-2</v>
      </c>
      <c r="J25" s="15">
        <v>-4.897870333417864E-3</v>
      </c>
      <c r="K25" s="15">
        <v>4.4502882573075522E-3</v>
      </c>
      <c r="L25" s="15">
        <v>1.0914665644631741E-2</v>
      </c>
      <c r="M25" s="15">
        <v>3.1010928961748646E-2</v>
      </c>
      <c r="N25" s="15">
        <v>2.9825383804054865E-2</v>
      </c>
      <c r="O25" s="15">
        <v>-2.4927380848490922E-2</v>
      </c>
      <c r="P25" s="15">
        <v>-4.0457141908502484E-2</v>
      </c>
      <c r="Q25" s="15">
        <v>-4.9119387618770681E-2</v>
      </c>
      <c r="R25" s="15">
        <v>-4.0714868926957089E-2</v>
      </c>
    </row>
    <row r="26" spans="1:18" s="7" customFormat="1" x14ac:dyDescent="0.2">
      <c r="A26" s="1"/>
      <c r="B26" s="4">
        <v>34972</v>
      </c>
      <c r="C26" s="15">
        <v>4.3E-3</v>
      </c>
      <c r="D26" s="15">
        <v>1.6500048529554663E-3</v>
      </c>
      <c r="E26" s="15">
        <v>1.2893605824050511E-2</v>
      </c>
      <c r="F26" s="15">
        <v>1.1298351135538743E-2</v>
      </c>
      <c r="G26" s="15">
        <v>9.0839160627379598E-3</v>
      </c>
      <c r="H26" s="15">
        <v>1.0518809056872816E-2</v>
      </c>
      <c r="I26" s="15">
        <v>4.2242205924273909E-3</v>
      </c>
      <c r="J26" s="15">
        <v>4.7287443488405898E-2</v>
      </c>
      <c r="K26" s="15">
        <v>3.2692243144362802E-2</v>
      </c>
      <c r="L26" s="15">
        <v>2.7956351168694223E-2</v>
      </c>
      <c r="M26" s="15">
        <v>2.8510224813391691E-2</v>
      </c>
      <c r="N26" s="15">
        <v>1.84495021337127E-2</v>
      </c>
      <c r="O26" s="15">
        <v>-6.1263933549408562E-3</v>
      </c>
      <c r="P26" s="15">
        <v>2.8283075858389926E-2</v>
      </c>
      <c r="Q26" s="15">
        <v>1.6017720326305322E-2</v>
      </c>
      <c r="R26" s="15">
        <v>7.9504069512665587E-3</v>
      </c>
    </row>
    <row r="27" spans="1:18" s="7" customFormat="1" x14ac:dyDescent="0.2">
      <c r="A27" s="1"/>
      <c r="B27" s="4">
        <v>35003</v>
      </c>
      <c r="C27" s="15">
        <v>4.6999999999999993E-3</v>
      </c>
      <c r="D27" s="15">
        <v>4.7480620155038265E-3</v>
      </c>
      <c r="E27" s="15">
        <v>2.2168340838240406E-2</v>
      </c>
      <c r="F27" s="15">
        <v>1.5453319592491662E-2</v>
      </c>
      <c r="G27" s="15">
        <v>9.0291522921020634E-3</v>
      </c>
      <c r="H27" s="15">
        <v>1.676076217360626E-2</v>
      </c>
      <c r="I27" s="15">
        <v>1.0064516129032298E-2</v>
      </c>
      <c r="J27" s="15">
        <v>7.1366405570061318E-3</v>
      </c>
      <c r="K27" s="15">
        <v>-1.7518770110832992E-2</v>
      </c>
      <c r="L27" s="15">
        <v>-2.2818382989641155E-2</v>
      </c>
      <c r="M27" s="15">
        <v>-6.4908852768771647E-2</v>
      </c>
      <c r="N27" s="15">
        <v>-3.4219310864980375E-2</v>
      </c>
      <c r="O27" s="15">
        <v>-3.9236201935652651E-2</v>
      </c>
      <c r="P27" s="15">
        <v>-6.6025249154528336E-3</v>
      </c>
      <c r="Q27" s="15">
        <v>-1.6535290018357515E-2</v>
      </c>
      <c r="R27" s="15">
        <v>-5.6440412063498938E-2</v>
      </c>
    </row>
    <row r="28" spans="1:18" s="7" customFormat="1" x14ac:dyDescent="0.2">
      <c r="A28" s="1"/>
      <c r="B28" s="4">
        <v>35033</v>
      </c>
      <c r="C28" s="15">
        <v>4.1999999999999997E-3</v>
      </c>
      <c r="D28" s="15">
        <v>6.9437747130870753E-3</v>
      </c>
      <c r="E28" s="15">
        <v>2.0416807861741753E-2</v>
      </c>
      <c r="F28" s="15">
        <v>1.7756610604232208E-2</v>
      </c>
      <c r="G28" s="15">
        <v>1.1121124783243754E-2</v>
      </c>
      <c r="H28" s="15">
        <v>2.2644456012493486E-2</v>
      </c>
      <c r="I28" s="15">
        <v>2.6997104411514261E-2</v>
      </c>
      <c r="J28" s="15">
        <v>3.4324230902177691E-2</v>
      </c>
      <c r="K28" s="15">
        <v>4.8299589784305826E-2</v>
      </c>
      <c r="L28" s="15">
        <v>3.2245360114212536E-2</v>
      </c>
      <c r="M28" s="15">
        <v>5.242250287026403E-2</v>
      </c>
      <c r="N28" s="15">
        <v>2.7983860471170147E-2</v>
      </c>
      <c r="O28" s="15">
        <v>-1.8781270502961345E-2</v>
      </c>
      <c r="P28" s="15">
        <v>5.2462727751328986E-3</v>
      </c>
      <c r="Q28" s="15">
        <v>-1.186415910049656E-2</v>
      </c>
      <c r="R28" s="15">
        <v>5.8646133975411796E-2</v>
      </c>
    </row>
    <row r="29" spans="1:18" s="7" customFormat="1" x14ac:dyDescent="0.2">
      <c r="A29" s="1"/>
      <c r="B29" s="4">
        <v>35064</v>
      </c>
      <c r="C29" s="15">
        <v>4.8999999999999998E-3</v>
      </c>
      <c r="D29" s="15">
        <v>5.0761421319797063E-3</v>
      </c>
      <c r="E29" s="15">
        <v>2.1170610211706079E-2</v>
      </c>
      <c r="F29" s="15">
        <v>1.6302049290630172E-2</v>
      </c>
      <c r="G29" s="15">
        <v>1.2613768069046124E-2</v>
      </c>
      <c r="H29" s="15">
        <v>1.5949775176041361E-2</v>
      </c>
      <c r="I29" s="15">
        <v>0.10227216187080182</v>
      </c>
      <c r="J29" s="15">
        <v>9.3907696420813484E-3</v>
      </c>
      <c r="K29" s="15">
        <v>2.6035092148447361E-2</v>
      </c>
      <c r="L29" s="15">
        <v>1.2177286023146513E-2</v>
      </c>
      <c r="M29" s="15">
        <v>1.2109178975847122E-2</v>
      </c>
      <c r="N29" s="15">
        <v>1.8865535578627454E-2</v>
      </c>
      <c r="O29" s="15">
        <v>4.2482203370556595E-2</v>
      </c>
      <c r="P29" s="15">
        <v>2.9805397208727571E-2</v>
      </c>
      <c r="Q29" s="15">
        <v>4.8391957275116658E-2</v>
      </c>
      <c r="R29" s="15">
        <v>5.061971995398467E-2</v>
      </c>
    </row>
    <row r="30" spans="1:18" s="7" customFormat="1" x14ac:dyDescent="0.2">
      <c r="A30" s="1"/>
      <c r="B30" s="4">
        <v>35095</v>
      </c>
      <c r="C30" s="15">
        <v>4.3E-3</v>
      </c>
      <c r="D30" s="15">
        <v>2.0964360587001989E-3</v>
      </c>
      <c r="E30" s="15">
        <v>-6.0975609756097563E-3</v>
      </c>
      <c r="F30" s="15">
        <v>6.0493786481463094E-3</v>
      </c>
      <c r="G30" s="15">
        <v>7.3293166857429093E-3</v>
      </c>
      <c r="H30" s="15">
        <v>-2.5052192066805606E-3</v>
      </c>
      <c r="I30" s="15">
        <v>-1.6174777878923067E-3</v>
      </c>
      <c r="J30" s="15">
        <v>3.7147397695669347E-2</v>
      </c>
      <c r="K30" s="15">
        <v>2.8111832190200803E-2</v>
      </c>
      <c r="L30" s="15">
        <v>-9.7377100675358024E-4</v>
      </c>
      <c r="M30" s="15">
        <v>-8.7522635164266668E-3</v>
      </c>
      <c r="N30" s="15">
        <v>5.536915068417479E-3</v>
      </c>
      <c r="O30" s="15">
        <v>7.013999637846359E-2</v>
      </c>
      <c r="P30" s="15">
        <v>4.7610737230179582E-3</v>
      </c>
      <c r="Q30" s="15">
        <v>9.0301786660066247E-2</v>
      </c>
      <c r="R30" s="15">
        <v>-1.3604832627704032E-2</v>
      </c>
    </row>
    <row r="31" spans="1:18" s="7" customFormat="1" x14ac:dyDescent="0.2">
      <c r="A31" s="1"/>
      <c r="B31" s="4">
        <v>35124</v>
      </c>
      <c r="C31" s="15">
        <v>3.9000000000000003E-3</v>
      </c>
      <c r="D31" s="15">
        <v>-1.6641308482312666E-2</v>
      </c>
      <c r="E31" s="15">
        <v>-5.9713701431492822E-2</v>
      </c>
      <c r="F31" s="15">
        <v>-2.3381207695480213E-2</v>
      </c>
      <c r="G31" s="15">
        <v>-8.319947398322142E-3</v>
      </c>
      <c r="H31" s="15">
        <v>-5.4583507743825831E-2</v>
      </c>
      <c r="I31" s="15">
        <v>4.0088012779937947E-2</v>
      </c>
      <c r="J31" s="15">
        <v>7.8848241077699912E-3</v>
      </c>
      <c r="K31" s="15">
        <v>5.9532713076255999E-3</v>
      </c>
      <c r="L31" s="15">
        <v>1.9415796755125177E-2</v>
      </c>
      <c r="M31" s="15">
        <v>4.8975686138054107E-2</v>
      </c>
      <c r="N31" s="15">
        <v>1.7219597934746738E-2</v>
      </c>
      <c r="O31" s="15">
        <v>-1.7530411666010878E-2</v>
      </c>
      <c r="P31" s="15">
        <v>1.6362254729014564E-2</v>
      </c>
      <c r="Q31" s="15">
        <v>-4.8650337598679753E-3</v>
      </c>
      <c r="R31" s="15">
        <v>-1.8282374849546985E-2</v>
      </c>
    </row>
    <row r="32" spans="1:18" s="7" customFormat="1" x14ac:dyDescent="0.2">
      <c r="A32" s="1"/>
      <c r="B32" s="4">
        <v>35155</v>
      </c>
      <c r="C32" s="15">
        <v>3.9000000000000003E-3</v>
      </c>
      <c r="D32" s="15">
        <v>-9.9603519969055331E-3</v>
      </c>
      <c r="E32" s="15">
        <v>-2.6011309264897736E-2</v>
      </c>
      <c r="F32" s="15">
        <v>-7.4201501667484938E-3</v>
      </c>
      <c r="G32" s="15">
        <v>-3.0796342825238051E-3</v>
      </c>
      <c r="H32" s="15">
        <v>-1.1157354113167494E-2</v>
      </c>
      <c r="I32" s="15">
        <v>6.5004926536644844E-2</v>
      </c>
      <c r="J32" s="15">
        <v>-6.0811452823615617E-3</v>
      </c>
      <c r="K32" s="15">
        <v>2.1887824897400862E-2</v>
      </c>
      <c r="L32" s="15">
        <v>7.4641827182578193E-3</v>
      </c>
      <c r="M32" s="15">
        <v>1.8700501720777835E-2</v>
      </c>
      <c r="N32" s="15">
        <v>2.0302923945031019E-2</v>
      </c>
      <c r="O32" s="15">
        <v>5.9677954847277065E-3</v>
      </c>
      <c r="P32" s="15">
        <v>1.0106836066317848E-2</v>
      </c>
      <c r="Q32" s="15">
        <v>6.1594691719916283E-3</v>
      </c>
      <c r="R32" s="15">
        <v>3.4808107096933008E-2</v>
      </c>
    </row>
    <row r="33" spans="1:18" s="7" customFormat="1" x14ac:dyDescent="0.2">
      <c r="A33" s="1"/>
      <c r="B33" s="4">
        <v>35185</v>
      </c>
      <c r="C33" s="15">
        <v>4.5999999999999999E-3</v>
      </c>
      <c r="D33" s="15">
        <v>-8.9861301035357253E-3</v>
      </c>
      <c r="E33" s="15">
        <v>-2.3937120400142967E-2</v>
      </c>
      <c r="F33" s="15">
        <v>-8.4641942309834177E-3</v>
      </c>
      <c r="G33" s="15">
        <v>-3.1649908259021088E-3</v>
      </c>
      <c r="H33" s="15">
        <v>-8.3281096086683312E-3</v>
      </c>
      <c r="I33" s="15">
        <v>5.7731096152734175E-2</v>
      </c>
      <c r="J33" s="15">
        <v>1.8578120518785202E-2</v>
      </c>
      <c r="K33" s="15">
        <v>8.4395553227401693E-3</v>
      </c>
      <c r="L33" s="15">
        <v>4.1621381664549199E-2</v>
      </c>
      <c r="M33" s="15">
        <v>8.8896125040703253E-2</v>
      </c>
      <c r="N33" s="15">
        <v>1.186790505675943E-2</v>
      </c>
      <c r="O33" s="15">
        <v>3.6442132360828119E-2</v>
      </c>
      <c r="P33" s="15">
        <v>5.4403569804696806E-3</v>
      </c>
      <c r="Q33" s="15">
        <v>2.6183882040880034E-2</v>
      </c>
      <c r="R33" s="15">
        <v>5.6380029806259377E-2</v>
      </c>
    </row>
    <row r="34" spans="1:18" s="7" customFormat="1" x14ac:dyDescent="0.2">
      <c r="A34" s="1"/>
      <c r="B34" s="4">
        <v>35216</v>
      </c>
      <c r="C34" s="15">
        <v>4.1999999999999997E-3</v>
      </c>
      <c r="D34" s="15">
        <v>-6.6035876207372526E-3</v>
      </c>
      <c r="E34" s="15">
        <v>-1.1530014641288481E-2</v>
      </c>
      <c r="F34" s="15">
        <v>-8.8847718292148832E-4</v>
      </c>
      <c r="G34" s="15">
        <v>-3.1969870774417944E-3</v>
      </c>
      <c r="H34" s="15">
        <v>-1.0113780025284491E-2</v>
      </c>
      <c r="I34" s="15">
        <v>-7.8977663727514014E-3</v>
      </c>
      <c r="J34" s="15">
        <v>3.5101989738455852E-2</v>
      </c>
      <c r="K34" s="15">
        <v>1.0908461272076734E-2</v>
      </c>
      <c r="L34" s="15">
        <v>1.6224318843135473E-2</v>
      </c>
      <c r="M34" s="15">
        <v>4.7155352870813433E-2</v>
      </c>
      <c r="N34" s="15">
        <v>2.2241399599890303E-2</v>
      </c>
      <c r="O34" s="15">
        <v>-6.9099615295057284E-3</v>
      </c>
      <c r="P34" s="15">
        <v>5.8946947747028165E-3</v>
      </c>
      <c r="Q34" s="15">
        <v>-1.1429833981126824E-2</v>
      </c>
      <c r="R34" s="15">
        <v>-5.1899818151294241E-2</v>
      </c>
    </row>
    <row r="35" spans="1:18" s="7" customFormat="1" x14ac:dyDescent="0.2">
      <c r="A35" s="1"/>
      <c r="B35" s="4">
        <v>35246</v>
      </c>
      <c r="C35" s="15">
        <v>4.0000000000000001E-3</v>
      </c>
      <c r="D35" s="15">
        <v>5.0600257962098508E-3</v>
      </c>
      <c r="E35" s="15">
        <v>1.592297722643967E-2</v>
      </c>
      <c r="F35" s="15">
        <v>1.3427430611257563E-2</v>
      </c>
      <c r="G35" s="15">
        <v>1.2274117054740449E-2</v>
      </c>
      <c r="H35" s="15">
        <v>1.1311804415252645E-2</v>
      </c>
      <c r="I35" s="15">
        <v>3.8798384535099997E-2</v>
      </c>
      <c r="J35" s="15">
        <v>1.0941183582179787E-2</v>
      </c>
      <c r="K35" s="15">
        <v>-6.4230659434770191E-3</v>
      </c>
      <c r="L35" s="15">
        <v>-2.3167028199566134E-2</v>
      </c>
      <c r="M35" s="15">
        <v>-5.8391489817409319E-2</v>
      </c>
      <c r="N35" s="15">
        <v>-6.6513174725005818E-4</v>
      </c>
      <c r="O35" s="15">
        <v>4.1082905302901483E-3</v>
      </c>
      <c r="P35" s="15">
        <v>9.170535098174587E-3</v>
      </c>
      <c r="Q35" s="15">
        <v>-2.1504187644945473E-2</v>
      </c>
      <c r="R35" s="15">
        <v>4.838084717223386E-3</v>
      </c>
    </row>
    <row r="36" spans="1:18" s="7" customFormat="1" x14ac:dyDescent="0.2">
      <c r="A36" s="1"/>
      <c r="B36" s="4">
        <v>35277</v>
      </c>
      <c r="C36" s="15">
        <v>4.5000000000000005E-3</v>
      </c>
      <c r="D36" s="15">
        <v>-2.5666337611055371E-3</v>
      </c>
      <c r="E36" s="15">
        <v>-5.7408419901586443E-3</v>
      </c>
      <c r="F36" s="15">
        <v>2.7795331630713696E-3</v>
      </c>
      <c r="G36" s="15">
        <v>4.3588401367103541E-3</v>
      </c>
      <c r="H36" s="15">
        <v>-2.5257081003067033E-3</v>
      </c>
      <c r="I36" s="15">
        <v>-4.7324704825141679E-2</v>
      </c>
      <c r="J36" s="15">
        <v>-4.7386988758670243E-2</v>
      </c>
      <c r="K36" s="15">
        <v>-4.4045395776468849E-2</v>
      </c>
      <c r="L36" s="15">
        <v>-6.6693314383845487E-2</v>
      </c>
      <c r="M36" s="15">
        <v>-0.13143653268379604</v>
      </c>
      <c r="N36" s="15">
        <v>-4.3377534302682763E-2</v>
      </c>
      <c r="O36" s="15">
        <v>-7.019186054634248E-2</v>
      </c>
      <c r="P36" s="15">
        <v>-1.4387743869668554E-2</v>
      </c>
      <c r="Q36" s="15">
        <v>-7.3787261424953884E-2</v>
      </c>
      <c r="R36" s="15">
        <v>-4.5242799360634217E-2</v>
      </c>
    </row>
    <row r="37" spans="1:18" s="7" customFormat="1" x14ac:dyDescent="0.2">
      <c r="A37" s="1"/>
      <c r="B37" s="4">
        <v>35308</v>
      </c>
      <c r="C37" s="15">
        <v>4.0999999999999995E-3</v>
      </c>
      <c r="D37" s="15">
        <v>-4.6516231195565996E-3</v>
      </c>
      <c r="E37" s="15">
        <v>-2.1354596278984495E-2</v>
      </c>
      <c r="F37" s="15">
        <v>-3.2528591475942414E-3</v>
      </c>
      <c r="G37" s="15">
        <v>5.8905143949447754E-4</v>
      </c>
      <c r="H37" s="15">
        <v>-1.2570085006330264E-2</v>
      </c>
      <c r="I37" s="15">
        <v>3.2202174105285968E-2</v>
      </c>
      <c r="J37" s="15">
        <v>1.3432507924552081E-2</v>
      </c>
      <c r="K37" s="15">
        <v>2.437484972349109E-2</v>
      </c>
      <c r="L37" s="15">
        <v>5.3392129181669599E-2</v>
      </c>
      <c r="M37" s="15">
        <v>8.23521709241294E-2</v>
      </c>
      <c r="N37" s="15">
        <v>5.196751361404358E-2</v>
      </c>
      <c r="O37" s="15">
        <v>2.4169729024281328E-2</v>
      </c>
      <c r="P37" s="15">
        <v>2.7765988897283378E-2</v>
      </c>
      <c r="Q37" s="15">
        <v>3.4236331719320952E-2</v>
      </c>
      <c r="R37" s="15">
        <v>-4.5170316188490899E-2</v>
      </c>
    </row>
    <row r="38" spans="1:18" s="7" customFormat="1" x14ac:dyDescent="0.2">
      <c r="A38" s="1"/>
      <c r="B38" s="4">
        <v>35338</v>
      </c>
      <c r="C38" s="15">
        <v>4.4000000000000003E-3</v>
      </c>
      <c r="D38" s="15">
        <v>7.2586258327532035E-3</v>
      </c>
      <c r="E38" s="15">
        <v>2.1820565648997925E-2</v>
      </c>
      <c r="F38" s="15">
        <v>2.045252186665264E-2</v>
      </c>
      <c r="G38" s="15">
        <v>1.6470744408387833E-2</v>
      </c>
      <c r="H38" s="15">
        <v>2.4910706108617994E-2</v>
      </c>
      <c r="I38" s="15">
        <v>3.5468486735014342E-2</v>
      </c>
      <c r="J38" s="15">
        <v>6.7356229289895014E-2</v>
      </c>
      <c r="K38" s="15">
        <v>4.0665434380776383E-2</v>
      </c>
      <c r="L38" s="15">
        <v>4.7689319218780522E-2</v>
      </c>
      <c r="M38" s="15">
        <v>5.9905232382296565E-2</v>
      </c>
      <c r="N38" s="15">
        <v>3.2776668404919655E-2</v>
      </c>
      <c r="O38" s="15">
        <v>7.3019625596270638E-3</v>
      </c>
      <c r="P38" s="15">
        <v>1.9207191958138959E-2</v>
      </c>
      <c r="Q38" s="15">
        <v>2.3985641946029E-2</v>
      </c>
      <c r="R38" s="15">
        <v>3.4159450621066213E-2</v>
      </c>
    </row>
    <row r="39" spans="1:18" s="7" customFormat="1" x14ac:dyDescent="0.2">
      <c r="A39" s="1"/>
      <c r="B39" s="4">
        <v>35369</v>
      </c>
      <c r="C39" s="15">
        <v>4.1999999999999997E-3</v>
      </c>
      <c r="D39" s="15">
        <v>1.1056268509378129E-2</v>
      </c>
      <c r="E39" s="15">
        <v>3.3910732288516203E-2</v>
      </c>
      <c r="F39" s="15">
        <v>2.6951987457030122E-2</v>
      </c>
      <c r="G39" s="15">
        <v>1.980802371171201E-2</v>
      </c>
      <c r="H39" s="15">
        <v>2.4483960325261452E-2</v>
      </c>
      <c r="I39" s="15">
        <v>-2.4760136180748773E-3</v>
      </c>
      <c r="J39" s="15">
        <v>2.0745082109905347E-2</v>
      </c>
      <c r="K39" s="15">
        <v>3.1830612647664215E-2</v>
      </c>
      <c r="L39" s="15">
        <v>-6.7264573991030674E-3</v>
      </c>
      <c r="M39" s="15">
        <v>-6.4442795723471336E-2</v>
      </c>
      <c r="N39" s="15">
        <v>1.4384236453202049E-2</v>
      </c>
      <c r="O39" s="15">
        <v>-2.7431462955873231E-2</v>
      </c>
      <c r="P39" s="15">
        <v>2.1390287131333324E-2</v>
      </c>
      <c r="Q39" s="15">
        <v>-2.0038559767639807E-2</v>
      </c>
      <c r="R39" s="15">
        <v>-6.7556012113444169E-2</v>
      </c>
    </row>
    <row r="40" spans="1:18" s="7" customFormat="1" x14ac:dyDescent="0.2">
      <c r="A40" s="1"/>
      <c r="B40" s="4">
        <v>35399</v>
      </c>
      <c r="C40" s="15">
        <v>4.0999999999999995E-3</v>
      </c>
      <c r="D40" s="15">
        <v>7.2251513376293194E-3</v>
      </c>
      <c r="E40" s="15">
        <v>2.6150163992553876E-2</v>
      </c>
      <c r="F40" s="15">
        <v>2.1889376244999294E-2</v>
      </c>
      <c r="G40" s="15">
        <v>1.5066479588427812E-2</v>
      </c>
      <c r="H40" s="15">
        <v>2.6079372001744393E-2</v>
      </c>
      <c r="I40" s="15">
        <v>8.3216854108619009E-2</v>
      </c>
      <c r="J40" s="15">
        <v>7.3278189932065682E-2</v>
      </c>
      <c r="K40" s="15">
        <v>7.3501284223181529E-2</v>
      </c>
      <c r="L40" s="15">
        <v>5.6708340568385626E-2</v>
      </c>
      <c r="M40" s="15">
        <v>1.4610043006598416E-2</v>
      </c>
      <c r="N40" s="15">
        <v>6.1176670551670531E-2</v>
      </c>
      <c r="O40" s="15">
        <v>1.5565900494617421E-2</v>
      </c>
      <c r="P40" s="15">
        <v>4.8858874790613696E-2</v>
      </c>
      <c r="Q40" s="15">
        <v>5.6043150210666505E-2</v>
      </c>
      <c r="R40" s="15">
        <v>1.8575274586254922E-2</v>
      </c>
    </row>
    <row r="41" spans="1:18" s="7" customFormat="1" x14ac:dyDescent="0.2">
      <c r="A41" s="1"/>
      <c r="B41" s="4">
        <v>35430</v>
      </c>
      <c r="C41" s="15">
        <v>4.5999999999999999E-3</v>
      </c>
      <c r="D41" s="15">
        <v>-1.1729352462194588E-2</v>
      </c>
      <c r="E41" s="15">
        <v>-3.0580511402902608E-2</v>
      </c>
      <c r="F41" s="15">
        <v>-1.305724436598488E-2</v>
      </c>
      <c r="G41" s="15">
        <v>-5.0024683231858161E-3</v>
      </c>
      <c r="H41" s="15">
        <v>-2.0061203672220328E-2</v>
      </c>
      <c r="I41" s="15">
        <v>9.6451623881207166E-3</v>
      </c>
      <c r="J41" s="15">
        <v>-2.5000662093805442E-2</v>
      </c>
      <c r="K41" s="15">
        <v>-1.7842598248829136E-2</v>
      </c>
      <c r="L41" s="15">
        <v>4.4230216221397816E-3</v>
      </c>
      <c r="M41" s="15">
        <v>3.3168326753110862E-3</v>
      </c>
      <c r="N41" s="15">
        <v>2.3407736222499254E-2</v>
      </c>
      <c r="O41" s="15">
        <v>3.3852389258238135E-3</v>
      </c>
      <c r="P41" s="15">
        <v>1.7633235722172264E-2</v>
      </c>
      <c r="Q41" s="15">
        <v>-7.4544350380222569E-3</v>
      </c>
      <c r="R41" s="15">
        <v>-6.9604091914605259E-2</v>
      </c>
    </row>
    <row r="42" spans="1:18" s="7" customFormat="1" x14ac:dyDescent="0.2">
      <c r="A42" s="1"/>
      <c r="B42" s="4">
        <v>35461</v>
      </c>
      <c r="C42" s="15">
        <v>4.5000000000000005E-3</v>
      </c>
      <c r="D42" s="15">
        <v>-1.5693967631191426E-3</v>
      </c>
      <c r="E42" s="15">
        <v>-1.3366601318837996E-2</v>
      </c>
      <c r="F42" s="15">
        <v>1.4146758162408904E-3</v>
      </c>
      <c r="G42" s="15">
        <v>6.7448373190443188E-3</v>
      </c>
      <c r="H42" s="15">
        <v>-4.6842470506591955E-3</v>
      </c>
      <c r="I42" s="15">
        <v>-1.4701710330802567E-2</v>
      </c>
      <c r="J42" s="15">
        <v>7.7495586038299522E-2</v>
      </c>
      <c r="K42" s="15">
        <v>4.4600513126182337E-2</v>
      </c>
      <c r="L42" s="15">
        <v>1.0034083162917538E-2</v>
      </c>
      <c r="M42" s="15">
        <v>3.1590511860174891E-2</v>
      </c>
      <c r="N42" s="15">
        <v>1.2721764502028993E-2</v>
      </c>
      <c r="O42" s="15">
        <v>6.7392376893442407E-2</v>
      </c>
      <c r="P42" s="15">
        <v>1.1126081398733496E-3</v>
      </c>
      <c r="Q42" s="15">
        <v>1.3207225215123238E-2</v>
      </c>
      <c r="R42" s="15">
        <v>-0.10933658313223547</v>
      </c>
    </row>
    <row r="43" spans="1:18" s="7" customFormat="1" x14ac:dyDescent="0.2">
      <c r="A43" s="1"/>
      <c r="B43" s="4">
        <v>35489</v>
      </c>
      <c r="C43" s="15">
        <v>3.9000000000000003E-3</v>
      </c>
      <c r="D43" s="15">
        <v>-3.9296591020729511E-3</v>
      </c>
      <c r="E43" s="15">
        <v>-6.7738439306358382E-3</v>
      </c>
      <c r="F43" s="15">
        <v>2.5555439043385129E-3</v>
      </c>
      <c r="G43" s="15">
        <v>3.4169032671399328E-3</v>
      </c>
      <c r="H43" s="15">
        <v>-1.2201499041310838E-3</v>
      </c>
      <c r="I43" s="15">
        <v>-6.8937992297144271E-2</v>
      </c>
      <c r="J43" s="15">
        <v>7.0837955026721846E-3</v>
      </c>
      <c r="K43" s="15">
        <v>4.688895504614576E-3</v>
      </c>
      <c r="L43" s="15">
        <v>-3.1125988715816681E-2</v>
      </c>
      <c r="M43" s="15">
        <v>-7.9254124390055108E-2</v>
      </c>
      <c r="N43" s="15">
        <v>1.9626673731386216E-2</v>
      </c>
      <c r="O43" s="15">
        <v>4.2178141872289403E-2</v>
      </c>
      <c r="P43" s="15">
        <v>1.1595272245821214E-2</v>
      </c>
      <c r="Q43" s="15">
        <v>2.7354877203787831E-3</v>
      </c>
      <c r="R43" s="15">
        <v>2.2801695578244768E-2</v>
      </c>
    </row>
    <row r="44" spans="1:18" s="7" customFormat="1" x14ac:dyDescent="0.2">
      <c r="A44" s="1"/>
      <c r="B44" s="4">
        <v>35520</v>
      </c>
      <c r="C44" s="15">
        <v>4.3E-3</v>
      </c>
      <c r="D44" s="15">
        <v>-1.1736857678271996E-2</v>
      </c>
      <c r="E44" s="15">
        <v>-3.2099663544603085E-2</v>
      </c>
      <c r="F44" s="15">
        <v>-1.2499529916137E-2</v>
      </c>
      <c r="G44" s="15">
        <v>-9.6359801468521578E-3</v>
      </c>
      <c r="H44" s="15">
        <v>-2.8795811518324704E-2</v>
      </c>
      <c r="I44" s="15">
        <v>1.6867883048527599E-2</v>
      </c>
      <c r="J44" s="15">
        <v>-4.8887331347468095E-2</v>
      </c>
      <c r="K44" s="15">
        <v>-3.5903894115613552E-2</v>
      </c>
      <c r="L44" s="15">
        <v>-4.4706046252438042E-2</v>
      </c>
      <c r="M44" s="15">
        <v>-8.3268490673171908E-2</v>
      </c>
      <c r="N44" s="15">
        <v>-3.6484101809048534E-2</v>
      </c>
      <c r="O44" s="15">
        <v>-2.8783129096608673E-2</v>
      </c>
      <c r="P44" s="15">
        <v>3.0633332765270894E-2</v>
      </c>
      <c r="Q44" s="15">
        <v>-5.7110980481543235E-2</v>
      </c>
      <c r="R44" s="15">
        <v>-3.3476346612989087E-2</v>
      </c>
    </row>
    <row r="45" spans="1:18" s="7" customFormat="1" x14ac:dyDescent="0.2">
      <c r="A45" s="1"/>
      <c r="B45" s="4">
        <v>35550</v>
      </c>
      <c r="C45" s="15">
        <v>4.3E-3</v>
      </c>
      <c r="D45" s="15">
        <v>5.9880239520957515E-3</v>
      </c>
      <c r="E45" s="15">
        <v>1.8508079669297246E-2</v>
      </c>
      <c r="F45" s="15">
        <v>1.6172067273133996E-2</v>
      </c>
      <c r="G45" s="15">
        <v>1.6348931492356656E-2</v>
      </c>
      <c r="H45" s="15">
        <v>1.1500449236298303E-2</v>
      </c>
      <c r="I45" s="15">
        <v>2.3134180050947566E-2</v>
      </c>
      <c r="J45" s="15">
        <v>7.9745236340667477E-2</v>
      </c>
      <c r="K45" s="15">
        <v>3.5883513049714391E-2</v>
      </c>
      <c r="L45" s="15">
        <v>8.6333872920038475E-3</v>
      </c>
      <c r="M45" s="15">
        <v>-2.8342681486069572E-2</v>
      </c>
      <c r="N45" s="15">
        <v>1.2449578085147069E-2</v>
      </c>
      <c r="O45" s="15">
        <v>-1.7605633802818118E-3</v>
      </c>
      <c r="P45" s="15">
        <v>-6.5612226450369711E-3</v>
      </c>
      <c r="Q45" s="15">
        <v>-2.698851346881026E-2</v>
      </c>
      <c r="R45" s="15">
        <v>3.5732051404216217E-2</v>
      </c>
    </row>
    <row r="46" spans="1:18" s="7" customFormat="1" x14ac:dyDescent="0.2">
      <c r="A46" s="1"/>
      <c r="B46" s="4">
        <v>35581</v>
      </c>
      <c r="C46" s="15">
        <v>4.8999999999999998E-3</v>
      </c>
      <c r="D46" s="15">
        <v>2.2817460317460713E-3</v>
      </c>
      <c r="E46" s="15">
        <v>5.3500599575686059E-3</v>
      </c>
      <c r="F46" s="15">
        <v>8.9569194193461783E-3</v>
      </c>
      <c r="G46" s="15">
        <v>9.6328615169418413E-3</v>
      </c>
      <c r="H46" s="15">
        <v>4.7965890922011568E-3</v>
      </c>
      <c r="I46" s="15">
        <v>7.1514969584065939E-3</v>
      </c>
      <c r="J46" s="15">
        <v>5.7938868034904792E-2</v>
      </c>
      <c r="K46" s="15">
        <v>5.9316585896548334E-2</v>
      </c>
      <c r="L46" s="15">
        <v>9.7609993782802926E-2</v>
      </c>
      <c r="M46" s="15">
        <v>0.17289168004533009</v>
      </c>
      <c r="N46" s="15">
        <v>7.5432541311995643E-2</v>
      </c>
      <c r="O46" s="15">
        <v>2.5911910017870351E-2</v>
      </c>
      <c r="P46" s="15">
        <v>4.1068757517787435E-2</v>
      </c>
      <c r="Q46" s="15">
        <v>4.8619683243718091E-2</v>
      </c>
      <c r="R46" s="15">
        <v>0.10986359247164242</v>
      </c>
    </row>
    <row r="47" spans="1:18" s="7" customFormat="1" x14ac:dyDescent="0.2">
      <c r="A47" s="1"/>
      <c r="B47" s="4">
        <v>35611</v>
      </c>
      <c r="C47" s="15">
        <v>3.7000000000000002E-3</v>
      </c>
      <c r="D47" s="15">
        <v>3.0683955260813844E-3</v>
      </c>
      <c r="E47" s="15">
        <v>1.3395724378383279E-2</v>
      </c>
      <c r="F47" s="15">
        <v>1.5526173139581151E-2</v>
      </c>
      <c r="G47" s="15">
        <v>1.1190854000703472E-2</v>
      </c>
      <c r="H47" s="15">
        <v>1.547029702970297E-2</v>
      </c>
      <c r="I47" s="15">
        <v>-5.4099860031149603E-2</v>
      </c>
      <c r="J47" s="15">
        <v>4.9627905905121679E-2</v>
      </c>
      <c r="K47" s="15">
        <v>3.655206218051963E-2</v>
      </c>
      <c r="L47" s="15">
        <v>3.3722370050320132E-2</v>
      </c>
      <c r="M47" s="15">
        <v>3.9835745486020292E-2</v>
      </c>
      <c r="N47" s="15">
        <v>5.8036819945513095E-2</v>
      </c>
      <c r="O47" s="15">
        <v>5.1444651270461952E-2</v>
      </c>
      <c r="P47" s="15">
        <v>4.8456257520994819E-2</v>
      </c>
      <c r="Q47" s="15">
        <v>2.505941885491824E-2</v>
      </c>
      <c r="R47" s="15">
        <v>7.421599079171369E-2</v>
      </c>
    </row>
    <row r="48" spans="1:18" s="7" customFormat="1" x14ac:dyDescent="0.2">
      <c r="A48" s="1"/>
      <c r="B48" s="4">
        <v>35642</v>
      </c>
      <c r="C48" s="15">
        <v>4.3E-3</v>
      </c>
      <c r="D48" s="15">
        <v>1.3222814288533682E-2</v>
      </c>
      <c r="E48" s="15">
        <v>4.6808510638297884E-2</v>
      </c>
      <c r="F48" s="15">
        <v>3.7001265303369862E-2</v>
      </c>
      <c r="G48" s="15">
        <v>1.8707433320499726E-2</v>
      </c>
      <c r="H48" s="15">
        <v>4.2221641856011093E-2</v>
      </c>
      <c r="I48" s="15">
        <v>4.0969401152283681E-2</v>
      </c>
      <c r="J48" s="15">
        <v>7.7946309019470097E-2</v>
      </c>
      <c r="K48" s="15">
        <v>7.8339976130964356E-2</v>
      </c>
      <c r="L48" s="15">
        <v>7.7477890766368421E-2</v>
      </c>
      <c r="M48" s="15">
        <v>5.9051840953966456E-2</v>
      </c>
      <c r="N48" s="15">
        <v>5.1078729712859046E-2</v>
      </c>
      <c r="O48" s="15">
        <v>1.2982630272952782E-2</v>
      </c>
      <c r="P48" s="15">
        <v>4.5402467700008789E-2</v>
      </c>
      <c r="Q48" s="15">
        <v>2.9804265051154404E-3</v>
      </c>
      <c r="R48" s="15">
        <v>-3.0933258869160263E-2</v>
      </c>
    </row>
    <row r="49" spans="1:18" s="7" customFormat="1" x14ac:dyDescent="0.2">
      <c r="A49" s="1"/>
      <c r="B49" s="4">
        <v>35673</v>
      </c>
      <c r="C49" s="15">
        <v>4.0999999999999995E-3</v>
      </c>
      <c r="D49" s="15">
        <v>-9.4468250876509428E-3</v>
      </c>
      <c r="E49" s="15">
        <v>-4.359107420861448E-2</v>
      </c>
      <c r="F49" s="15">
        <v>-1.5168733142943369E-2</v>
      </c>
      <c r="G49" s="15">
        <v>-1.4309526260847237E-3</v>
      </c>
      <c r="H49" s="15">
        <v>-2.8399599064483725E-2</v>
      </c>
      <c r="I49" s="15">
        <v>2.529031032712396E-2</v>
      </c>
      <c r="J49" s="15">
        <v>-6.738209660340469E-2</v>
      </c>
      <c r="K49" s="15">
        <v>-4.721433344470434E-2</v>
      </c>
      <c r="L49" s="15">
        <v>-2.9566903990349363E-4</v>
      </c>
      <c r="M49" s="15">
        <v>1.9293162854035387E-2</v>
      </c>
      <c r="N49" s="15">
        <v>1.5672992158864075E-2</v>
      </c>
      <c r="O49" s="15">
        <v>-0.12841361151145778</v>
      </c>
      <c r="P49" s="15">
        <v>-5.8557077980803729E-2</v>
      </c>
      <c r="Q49" s="15">
        <v>-0.18554725402678054</v>
      </c>
      <c r="R49" s="15">
        <v>-8.7203423028919133E-2</v>
      </c>
    </row>
    <row r="50" spans="1:18" s="7" customFormat="1" x14ac:dyDescent="0.2">
      <c r="A50" s="1"/>
      <c r="B50" s="4">
        <v>35703</v>
      </c>
      <c r="C50" s="15">
        <v>4.4000000000000003E-3</v>
      </c>
      <c r="D50" s="15">
        <v>5.4075312162029012E-3</v>
      </c>
      <c r="E50" s="15">
        <v>1.8176885512750995E-2</v>
      </c>
      <c r="F50" s="15">
        <v>1.8649153496534423E-2</v>
      </c>
      <c r="G50" s="15">
        <v>1.1882963575877915E-2</v>
      </c>
      <c r="H50" s="15">
        <v>2.527510316368636E-2</v>
      </c>
      <c r="I50" s="15">
        <v>2.5294582461380923E-2</v>
      </c>
      <c r="J50" s="15">
        <v>4.9564400969453457E-2</v>
      </c>
      <c r="K50" s="15">
        <v>5.6808468669866566E-2</v>
      </c>
      <c r="L50" s="15">
        <v>5.9801961457014836E-2</v>
      </c>
      <c r="M50" s="15">
        <v>9.1860340004303889E-2</v>
      </c>
      <c r="N50" s="15">
        <v>6.6128236519451197E-2</v>
      </c>
      <c r="O50" s="15">
        <v>2.6177443289360221E-2</v>
      </c>
      <c r="P50" s="15">
        <v>9.5457766337435454E-2</v>
      </c>
      <c r="Q50" s="15">
        <v>-8.9292628443782291E-3</v>
      </c>
      <c r="R50" s="15">
        <v>-1.5636649814231355E-2</v>
      </c>
    </row>
    <row r="51" spans="1:18" s="7" customFormat="1" x14ac:dyDescent="0.2">
      <c r="A51" s="1"/>
      <c r="B51" s="4">
        <v>35734</v>
      </c>
      <c r="C51" s="15">
        <v>4.1999999999999997E-3</v>
      </c>
      <c r="D51" s="15">
        <v>6.3563465675727697E-3</v>
      </c>
      <c r="E51" s="15">
        <v>2.7000621724842275E-2</v>
      </c>
      <c r="F51" s="15">
        <v>1.4168906194721333E-2</v>
      </c>
      <c r="G51" s="15">
        <v>1.0759317346981018E-2</v>
      </c>
      <c r="H51" s="15">
        <v>1.5596176421264459E-2</v>
      </c>
      <c r="I51" s="15">
        <v>2.7510529941167781E-2</v>
      </c>
      <c r="J51" s="15">
        <v>-3.0789074039401718E-2</v>
      </c>
      <c r="K51" s="15">
        <v>-3.8221447976938563E-2</v>
      </c>
      <c r="L51" s="15">
        <v>-5.4987497767458461E-2</v>
      </c>
      <c r="M51" s="15">
        <v>-7.0557512749131635E-2</v>
      </c>
      <c r="N51" s="15">
        <v>-2.872519110136083E-2</v>
      </c>
      <c r="O51" s="15">
        <v>-0.16490155264966289</v>
      </c>
      <c r="P51" s="15">
        <v>-5.0604038742965797E-2</v>
      </c>
      <c r="Q51" s="15">
        <v>-0.24562436889936048</v>
      </c>
      <c r="R51" s="15">
        <v>-9.3680082134598192E-2</v>
      </c>
    </row>
    <row r="52" spans="1:18" s="7" customFormat="1" x14ac:dyDescent="0.2">
      <c r="A52" s="1"/>
      <c r="B52" s="4">
        <v>35764</v>
      </c>
      <c r="C52" s="15">
        <v>3.9000000000000003E-3</v>
      </c>
      <c r="D52" s="15">
        <v>-2.5264794480613245E-3</v>
      </c>
      <c r="E52" s="15">
        <v>5.015999308138135E-3</v>
      </c>
      <c r="F52" s="15">
        <v>2.6173869897666816E-3</v>
      </c>
      <c r="G52" s="15">
        <v>2.9272525425242547E-3</v>
      </c>
      <c r="H52" s="15">
        <v>4.6235138705416302E-3</v>
      </c>
      <c r="I52" s="15">
        <v>-9.8592478013478993E-2</v>
      </c>
      <c r="J52" s="15">
        <v>5.3016806542316955E-2</v>
      </c>
      <c r="K52" s="15">
        <v>3.5945316543039535E-2</v>
      </c>
      <c r="L52" s="15">
        <v>-1.311157835053998E-3</v>
      </c>
      <c r="M52" s="15">
        <v>-3.1180145077353942E-2</v>
      </c>
      <c r="N52" s="15">
        <v>-2.6116110817011083E-3</v>
      </c>
      <c r="O52" s="15">
        <v>-3.7182444181015462E-2</v>
      </c>
      <c r="P52" s="15">
        <v>1.3876791334652926E-2</v>
      </c>
      <c r="Q52" s="15">
        <v>-6.5190024699227161E-2</v>
      </c>
      <c r="R52" s="15">
        <v>-6.1930050412661246E-2</v>
      </c>
    </row>
    <row r="53" spans="1:18" s="7" customFormat="1" x14ac:dyDescent="0.2">
      <c r="A53" s="1"/>
      <c r="B53" s="4">
        <v>35795</v>
      </c>
      <c r="C53" s="15">
        <v>4.7999999999999996E-3</v>
      </c>
      <c r="D53" s="15">
        <v>3.2148075986361256E-3</v>
      </c>
      <c r="E53" s="15">
        <v>1.0240082609069768E-2</v>
      </c>
      <c r="F53" s="15">
        <v>1.0912246049051548E-2</v>
      </c>
      <c r="G53" s="15">
        <v>9.2676000427500387E-3</v>
      </c>
      <c r="H53" s="15">
        <v>1.5039447731755409E-2</v>
      </c>
      <c r="I53" s="15">
        <v>-6.7576381946307093E-2</v>
      </c>
      <c r="J53" s="15">
        <v>1.0925620171629988E-2</v>
      </c>
      <c r="K53" s="15">
        <v>2.0731428095664257E-2</v>
      </c>
      <c r="L53" s="15">
        <v>2.2484535228925913E-2</v>
      </c>
      <c r="M53" s="15">
        <v>4.2771677671178407E-3</v>
      </c>
      <c r="N53" s="15">
        <v>2.4326810799334773E-2</v>
      </c>
      <c r="O53" s="15">
        <v>2.1792661295916508E-2</v>
      </c>
      <c r="P53" s="15">
        <v>3.5097807378875946E-2</v>
      </c>
      <c r="Q53" s="15">
        <v>-4.6928269466793945E-2</v>
      </c>
      <c r="R53" s="15">
        <v>-5.7797345776130472E-2</v>
      </c>
    </row>
    <row r="54" spans="1:18" s="7" customFormat="1" x14ac:dyDescent="0.2">
      <c r="A54" s="1"/>
      <c r="B54" s="4">
        <v>35826</v>
      </c>
      <c r="C54" s="15">
        <v>4.3E-3</v>
      </c>
      <c r="D54" s="15">
        <v>8.3511361429403717E-3</v>
      </c>
      <c r="E54" s="15">
        <v>1.448040885860309E-2</v>
      </c>
      <c r="F54" s="15">
        <v>1.3001657807568182E-2</v>
      </c>
      <c r="G54" s="15">
        <v>9.9262777845012199E-3</v>
      </c>
      <c r="H54" s="15">
        <v>9.8777426928993509E-3</v>
      </c>
      <c r="I54" s="15">
        <v>-1.6117116734277546E-2</v>
      </c>
      <c r="J54" s="15">
        <v>3.2805726383708114E-2</v>
      </c>
      <c r="K54" s="15">
        <v>-1.3356716083117426E-2</v>
      </c>
      <c r="L54" s="15">
        <v>-1.9445215620951261E-2</v>
      </c>
      <c r="M54" s="15">
        <v>-1.2077623704833732E-2</v>
      </c>
      <c r="N54" s="15">
        <v>-2.2954557230944545E-2</v>
      </c>
      <c r="O54" s="15">
        <v>-7.9201871673960228E-2</v>
      </c>
      <c r="P54" s="15">
        <v>4.0222890574280093E-2</v>
      </c>
      <c r="Q54" s="15">
        <v>-8.6271037899518926E-2</v>
      </c>
      <c r="R54" s="15">
        <v>8.8593917005756778E-2</v>
      </c>
    </row>
    <row r="55" spans="1:18" s="7" customFormat="1" x14ac:dyDescent="0.2">
      <c r="A55" s="1"/>
      <c r="B55" s="4">
        <v>35854</v>
      </c>
      <c r="C55" s="15">
        <v>3.9000000000000003E-3</v>
      </c>
      <c r="D55" s="15">
        <v>-6.4522342064715112E-3</v>
      </c>
      <c r="E55" s="15">
        <v>-2.0319059613769955E-2</v>
      </c>
      <c r="F55" s="15">
        <v>-1.3231518870740568E-3</v>
      </c>
      <c r="G55" s="15">
        <v>3.0369906206545228E-3</v>
      </c>
      <c r="H55" s="15">
        <v>-1.0582858975386895E-2</v>
      </c>
      <c r="I55" s="15">
        <v>-6.598468702084645E-2</v>
      </c>
      <c r="J55" s="15">
        <v>6.8603334504704974E-2</v>
      </c>
      <c r="K55" s="15">
        <v>7.2461970899470776E-2</v>
      </c>
      <c r="L55" s="15">
        <v>7.198556041855908E-2</v>
      </c>
      <c r="M55" s="15">
        <v>0.10588192037944319</v>
      </c>
      <c r="N55" s="15">
        <v>6.314524112572463E-2</v>
      </c>
      <c r="O55" s="15">
        <v>0.1038317838213572</v>
      </c>
      <c r="P55" s="15">
        <v>7.6774712417801302E-2</v>
      </c>
      <c r="Q55" s="15">
        <v>0.22743332517739173</v>
      </c>
      <c r="R55" s="15">
        <v>4.6306324540457879E-3</v>
      </c>
    </row>
    <row r="56" spans="1:18" s="7" customFormat="1" x14ac:dyDescent="0.2">
      <c r="A56" s="1"/>
      <c r="B56" s="4">
        <v>35885</v>
      </c>
      <c r="C56" s="15">
        <v>3.9000000000000003E-3</v>
      </c>
      <c r="D56" s="15">
        <v>-3.3924590481728633E-3</v>
      </c>
      <c r="E56" s="15">
        <v>-4.7137470003429148E-3</v>
      </c>
      <c r="F56" s="15">
        <v>4.9488474700548971E-3</v>
      </c>
      <c r="G56" s="15">
        <v>4.0109264456072774E-3</v>
      </c>
      <c r="H56" s="15">
        <v>3.7274126894093506E-3</v>
      </c>
      <c r="I56" s="15">
        <v>-5.1934008238300128E-3</v>
      </c>
      <c r="J56" s="15">
        <v>5.0496930722011078E-2</v>
      </c>
      <c r="K56" s="15">
        <v>4.9354403545962641E-2</v>
      </c>
      <c r="L56" s="15">
        <v>4.343615534450683E-2</v>
      </c>
      <c r="M56" s="15">
        <v>3.7453245781730482E-2</v>
      </c>
      <c r="N56" s="15">
        <v>4.2118390422347926E-2</v>
      </c>
      <c r="O56" s="15">
        <v>4.0035111823524899E-2</v>
      </c>
      <c r="P56" s="15">
        <v>6.9878636511112244E-2</v>
      </c>
      <c r="Q56" s="15">
        <v>-2.6249272403977158E-2</v>
      </c>
      <c r="R56" s="15">
        <v>-6.8578223308520078E-2</v>
      </c>
    </row>
    <row r="57" spans="1:18" s="7" customFormat="1" x14ac:dyDescent="0.2">
      <c r="A57" s="1"/>
      <c r="B57" s="4">
        <v>35915</v>
      </c>
      <c r="C57" s="15">
        <v>4.3E-3</v>
      </c>
      <c r="D57" s="15">
        <v>-7.7805874343511272E-4</v>
      </c>
      <c r="E57" s="15">
        <v>-1.8083182640144127E-3</v>
      </c>
      <c r="F57" s="15">
        <v>5.1095128405422114E-3</v>
      </c>
      <c r="G57" s="15">
        <v>6.1045293748713458E-3</v>
      </c>
      <c r="H57" s="15">
        <v>-1.5338661499959452E-3</v>
      </c>
      <c r="I57" s="15">
        <v>-2.7268241402244021E-2</v>
      </c>
      <c r="J57" s="15">
        <v>7.547826086956577E-3</v>
      </c>
      <c r="K57" s="15">
        <v>1.0688508934638574E-2</v>
      </c>
      <c r="L57" s="15">
        <v>-1.1179547755652479E-3</v>
      </c>
      <c r="M57" s="15">
        <v>1.1753300858864123E-2</v>
      </c>
      <c r="N57" s="15">
        <v>2.9119397507699415E-3</v>
      </c>
      <c r="O57" s="15">
        <v>-1.2864206818098503E-2</v>
      </c>
      <c r="P57" s="15">
        <v>1.8113226619872521E-2</v>
      </c>
      <c r="Q57" s="15">
        <v>-0.1048591151399023</v>
      </c>
      <c r="R57" s="15">
        <v>-4.6435382564964179E-3</v>
      </c>
    </row>
    <row r="58" spans="1:18" s="7" customFormat="1" x14ac:dyDescent="0.2">
      <c r="A58" s="1"/>
      <c r="B58" s="4">
        <v>35946</v>
      </c>
      <c r="C58" s="15">
        <v>4.0000000000000001E-3</v>
      </c>
      <c r="D58" s="15">
        <v>1.5573291804554855E-3</v>
      </c>
      <c r="E58" s="15">
        <v>1.2767425810904107E-2</v>
      </c>
      <c r="F58" s="15">
        <v>1.2265343970410876E-2</v>
      </c>
      <c r="G58" s="15">
        <v>8.0090870675605368E-3</v>
      </c>
      <c r="H58" s="15">
        <v>1.2370633893919802E-2</v>
      </c>
      <c r="I58" s="15">
        <v>-4.7176885752095332E-2</v>
      </c>
      <c r="J58" s="15">
        <v>-2.0920357648358482E-2</v>
      </c>
      <c r="K58" s="15">
        <v>-1.6553704141151697E-2</v>
      </c>
      <c r="L58" s="15">
        <v>-5.2243691268081531E-2</v>
      </c>
      <c r="M58" s="15">
        <v>-8.9243999588226305E-2</v>
      </c>
      <c r="N58" s="15">
        <v>-3.4483855828050157E-2</v>
      </c>
      <c r="O58" s="15">
        <v>-0.14012086234656956</v>
      </c>
      <c r="P58" s="15">
        <v>1.8999482622074539E-2</v>
      </c>
      <c r="Q58" s="15">
        <v>-0.15758515489569183</v>
      </c>
      <c r="R58" s="15">
        <v>-5.5527916768000313E-2</v>
      </c>
    </row>
    <row r="59" spans="1:18" s="7" customFormat="1" x14ac:dyDescent="0.2">
      <c r="A59" s="1"/>
      <c r="B59" s="4">
        <v>35976</v>
      </c>
      <c r="C59" s="15">
        <v>4.0999999999999995E-3</v>
      </c>
      <c r="D59" s="15">
        <v>7.7745383867831191E-4</v>
      </c>
      <c r="E59" s="15">
        <v>1.6865417376490541E-2</v>
      </c>
      <c r="F59" s="15">
        <v>9.0022970737367782E-3</v>
      </c>
      <c r="G59" s="15">
        <v>3.2155794887338261E-3</v>
      </c>
      <c r="H59" s="15">
        <v>1.038255730372971E-2</v>
      </c>
      <c r="I59" s="15">
        <v>-3.5454426209269883E-2</v>
      </c>
      <c r="J59" s="15">
        <v>7.0149148478544407E-2</v>
      </c>
      <c r="K59" s="15">
        <v>6.3375337201137241E-3</v>
      </c>
      <c r="L59" s="15">
        <v>-5.0132572803636283E-3</v>
      </c>
      <c r="M59" s="15">
        <v>4.3908079956178861E-2</v>
      </c>
      <c r="N59" s="15">
        <v>-5.4046928552596444E-3</v>
      </c>
      <c r="O59" s="15">
        <v>-0.10693654113234873</v>
      </c>
      <c r="P59" s="15">
        <v>9.7169264824877397E-3</v>
      </c>
      <c r="Q59" s="15">
        <v>-0.11170715286299115</v>
      </c>
      <c r="R59" s="15">
        <v>1.3443806679802597E-2</v>
      </c>
    </row>
    <row r="60" spans="1:18" s="7" customFormat="1" x14ac:dyDescent="0.2">
      <c r="A60" s="1"/>
      <c r="B60" s="4">
        <v>36007</v>
      </c>
      <c r="C60" s="15">
        <v>4.0000000000000001E-3</v>
      </c>
      <c r="D60" s="15">
        <v>-1.3594872790833226E-3</v>
      </c>
      <c r="E60" s="15">
        <v>-2.6805159993298138E-3</v>
      </c>
      <c r="F60" s="15">
        <v>-8.1416128586273863E-4</v>
      </c>
      <c r="G60" s="15">
        <v>5.2617152046391296E-3</v>
      </c>
      <c r="H60" s="15">
        <v>-4.5846178167733643E-3</v>
      </c>
      <c r="I60" s="15">
        <v>-7.8610968897990519E-2</v>
      </c>
      <c r="J60" s="15">
        <v>-1.3508838404638083E-3</v>
      </c>
      <c r="K60" s="15">
        <v>-2.2895437436885917E-2</v>
      </c>
      <c r="L60" s="15">
        <v>-7.5544159799355096E-2</v>
      </c>
      <c r="M60" s="15">
        <v>-8.795382424227291E-2</v>
      </c>
      <c r="N60" s="15">
        <v>-7.7708747514910484E-2</v>
      </c>
      <c r="O60" s="15">
        <v>2.8176727046087806E-2</v>
      </c>
      <c r="P60" s="15">
        <v>1.8530636615572919E-2</v>
      </c>
      <c r="Q60" s="15">
        <v>-3.0292657881225499E-2</v>
      </c>
      <c r="R60" s="15">
        <v>-1.3736440234626099E-2</v>
      </c>
    </row>
    <row r="61" spans="1:18" s="7" customFormat="1" x14ac:dyDescent="0.2">
      <c r="A61" s="1"/>
      <c r="B61" s="4">
        <v>36038</v>
      </c>
      <c r="C61" s="15">
        <v>4.3E-3</v>
      </c>
      <c r="D61" s="15">
        <v>1.4294049008168016E-2</v>
      </c>
      <c r="E61" s="15">
        <v>3.5612296321182554E-2</v>
      </c>
      <c r="F61" s="15">
        <v>1.4246620271198113E-3</v>
      </c>
      <c r="G61" s="15">
        <v>8.968022938748375E-3</v>
      </c>
      <c r="H61" s="15">
        <v>2.5966806956245387E-2</v>
      </c>
      <c r="I61" s="15">
        <v>-5.9015809899202049E-2</v>
      </c>
      <c r="J61" s="15">
        <v>-0.1308665599894423</v>
      </c>
      <c r="K61" s="15">
        <v>-0.16252019993235381</v>
      </c>
      <c r="L61" s="15">
        <v>-0.18909949736571185</v>
      </c>
      <c r="M61" s="15">
        <v>-0.28112471804425443</v>
      </c>
      <c r="N61" s="15">
        <v>-0.1654137364265891</v>
      </c>
      <c r="O61" s="15">
        <v>-0.29285474672928546</v>
      </c>
      <c r="P61" s="15">
        <v>-0.12700883472782276</v>
      </c>
      <c r="Q61" s="15">
        <v>-0.15734204024002818</v>
      </c>
      <c r="R61" s="15">
        <v>-0.11462421941961547</v>
      </c>
    </row>
    <row r="62" spans="1:18" s="7" customFormat="1" x14ac:dyDescent="0.2">
      <c r="A62" s="1"/>
      <c r="B62" s="4">
        <v>36068</v>
      </c>
      <c r="C62" s="15">
        <v>4.5999999999999999E-3</v>
      </c>
      <c r="D62" s="15">
        <v>1.859840858978044E-2</v>
      </c>
      <c r="E62" s="15">
        <v>2.8710462287104676E-2</v>
      </c>
      <c r="F62" s="15">
        <v>3.1061552002947548E-2</v>
      </c>
      <c r="G62" s="15">
        <v>1.2226233974012601E-2</v>
      </c>
      <c r="H62" s="15">
        <v>3.6996904024767817E-2</v>
      </c>
      <c r="I62" s="15">
        <v>0.10220651667458616</v>
      </c>
      <c r="J62" s="15">
        <v>6.5520252059370579E-2</v>
      </c>
      <c r="K62" s="15">
        <v>5.8762817204783588E-2</v>
      </c>
      <c r="L62" s="15">
        <v>7.2902975265862202E-2</v>
      </c>
      <c r="M62" s="15">
        <v>0.14058867617728876</v>
      </c>
      <c r="N62" s="15">
        <v>4.9051892985514774E-2</v>
      </c>
      <c r="O62" s="15">
        <v>6.0579579879489961E-2</v>
      </c>
      <c r="P62" s="15">
        <v>-4.1428170511573791E-2</v>
      </c>
      <c r="Q62" s="15">
        <v>0.10523166225333978</v>
      </c>
      <c r="R62" s="15">
        <v>-2.7991675683569826E-2</v>
      </c>
    </row>
    <row r="63" spans="1:18" s="7" customFormat="1" x14ac:dyDescent="0.2">
      <c r="A63" s="1"/>
      <c r="B63" s="4">
        <v>36099</v>
      </c>
      <c r="C63" s="15">
        <v>3.2000000000000002E-3</v>
      </c>
      <c r="D63" s="15">
        <v>-3.3882352941176416E-3</v>
      </c>
      <c r="E63" s="15">
        <v>-2.3573005361084792E-2</v>
      </c>
      <c r="F63" s="15">
        <v>-1.1501783287621997E-2</v>
      </c>
      <c r="G63" s="15">
        <v>-1.2649320721984671E-3</v>
      </c>
      <c r="H63" s="15">
        <v>-2.9855202268995375E-2</v>
      </c>
      <c r="I63" s="15">
        <v>-4.6910707260110152E-2</v>
      </c>
      <c r="J63" s="15">
        <v>8.3134418753785438E-2</v>
      </c>
      <c r="K63" s="15">
        <v>7.6883953547512138E-2</v>
      </c>
      <c r="L63" s="15">
        <v>6.7615162947391769E-2</v>
      </c>
      <c r="M63" s="15">
        <v>6.1468380371104685E-2</v>
      </c>
      <c r="N63" s="15">
        <v>2.5082068116536654E-2</v>
      </c>
      <c r="O63" s="15">
        <v>0.1041001294777729</v>
      </c>
      <c r="P63" s="15">
        <v>7.8539542198364259E-2</v>
      </c>
      <c r="Q63" s="15">
        <v>0.27098420347334096</v>
      </c>
      <c r="R63" s="15">
        <v>0.16688150747105354</v>
      </c>
    </row>
    <row r="64" spans="1:18" s="7" customFormat="1" x14ac:dyDescent="0.2">
      <c r="A64" s="1"/>
      <c r="B64" s="4">
        <v>36129</v>
      </c>
      <c r="C64" s="15">
        <v>3.0999999999999999E-3</v>
      </c>
      <c r="D64" s="15">
        <v>-9.0660118991405577E-3</v>
      </c>
      <c r="E64" s="15">
        <v>2.3415421881307391E-3</v>
      </c>
      <c r="F64" s="15">
        <v>1.5380258720936102E-2</v>
      </c>
      <c r="G64" s="15">
        <v>5.6495027130682267E-3</v>
      </c>
      <c r="H64" s="15">
        <v>9.9246037851978813E-3</v>
      </c>
      <c r="I64" s="15">
        <v>-0.12167455668074864</v>
      </c>
      <c r="J64" s="15">
        <v>6.6737932735794633E-2</v>
      </c>
      <c r="K64" s="15">
        <v>5.0043293450881626E-2</v>
      </c>
      <c r="L64" s="15">
        <v>4.4034424305646233E-2</v>
      </c>
      <c r="M64" s="15">
        <v>0.10918629662661986</v>
      </c>
      <c r="N64" s="15">
        <v>4.0470352764573482E-2</v>
      </c>
      <c r="O64" s="15">
        <v>8.218136331653661E-2</v>
      </c>
      <c r="P64" s="15">
        <v>5.1830778466292499E-2</v>
      </c>
      <c r="Q64" s="15">
        <v>8.9268503085844567E-2</v>
      </c>
      <c r="R64" s="15">
        <v>4.5064611077647747E-2</v>
      </c>
    </row>
    <row r="65" spans="1:18" s="7" customFormat="1" x14ac:dyDescent="0.2">
      <c r="A65" s="1"/>
      <c r="B65" s="4">
        <v>36160</v>
      </c>
      <c r="C65" s="15">
        <v>3.8E-3</v>
      </c>
      <c r="D65" s="15">
        <v>-1.3342228152101454E-3</v>
      </c>
      <c r="E65" s="15">
        <v>2.3924601256645712E-2</v>
      </c>
      <c r="F65" s="15">
        <v>5.9526988403165596E-3</v>
      </c>
      <c r="G65" s="15">
        <v>4.5710059521137545E-3</v>
      </c>
      <c r="H65" s="15">
        <v>1.1426830197303699E-3</v>
      </c>
      <c r="I65" s="15">
        <v>-1.7209397671081435E-2</v>
      </c>
      <c r="J65" s="15">
        <v>7.4988822595316265E-2</v>
      </c>
      <c r="K65" s="15">
        <v>3.3658801701681132E-2</v>
      </c>
      <c r="L65" s="15">
        <v>7.5424332121847931E-2</v>
      </c>
      <c r="M65" s="15">
        <v>0.10848445289515739</v>
      </c>
      <c r="N65" s="15">
        <v>2.1554501822658535E-2</v>
      </c>
      <c r="O65" s="15">
        <v>-1.8241343981505828E-2</v>
      </c>
      <c r="P65" s="15">
        <v>4.2412400697660037E-2</v>
      </c>
      <c r="Q65" s="15">
        <v>1.253929222661653E-2</v>
      </c>
      <c r="R65" s="15">
        <v>3.8011091390801569E-2</v>
      </c>
    </row>
    <row r="66" spans="1:18" s="7" customFormat="1" x14ac:dyDescent="0.2">
      <c r="A66" s="1"/>
      <c r="B66" s="4">
        <v>36191</v>
      </c>
      <c r="C66" s="15">
        <v>3.4999999999999996E-3</v>
      </c>
      <c r="D66" s="15">
        <v>-4.7714476572189289E-4</v>
      </c>
      <c r="E66" s="15">
        <v>3.4615687200062759E-3</v>
      </c>
      <c r="F66" s="15">
        <v>9.8578685492995959E-3</v>
      </c>
      <c r="G66" s="15">
        <v>7.4762640084394287E-3</v>
      </c>
      <c r="H66" s="15">
        <v>-6.0873535230559373E-3</v>
      </c>
      <c r="I66" s="15">
        <v>4.3649683310863722E-3</v>
      </c>
      <c r="J66" s="15">
        <v>6.0636482280895618E-2</v>
      </c>
      <c r="K66" s="15">
        <v>1.8982866467228559E-2</v>
      </c>
      <c r="L66" s="15">
        <v>-3.3725872761480126E-2</v>
      </c>
      <c r="M66" s="15">
        <v>0.11543023920668379</v>
      </c>
      <c r="N66" s="15">
        <v>-3.2426325204782815E-2</v>
      </c>
      <c r="O66" s="15">
        <v>-1.6921260448267989E-2</v>
      </c>
      <c r="P66" s="15">
        <v>-7.6815485762582415E-3</v>
      </c>
      <c r="Q66" s="15">
        <v>-3.4119987253889046E-2</v>
      </c>
      <c r="R66" s="15">
        <v>6.6100438316672302E-3</v>
      </c>
    </row>
    <row r="67" spans="1:18" s="7" customFormat="1" x14ac:dyDescent="0.2">
      <c r="A67" s="1"/>
      <c r="B67" s="4">
        <v>36219</v>
      </c>
      <c r="C67" s="15">
        <v>3.4999999999999996E-3</v>
      </c>
      <c r="D67" s="15">
        <v>-1.9763223219400487E-2</v>
      </c>
      <c r="E67" s="15">
        <v>-6.2798902391219061E-2</v>
      </c>
      <c r="F67" s="15">
        <v>-2.561274318914622E-2</v>
      </c>
      <c r="G67" s="15">
        <v>-5.1526414583352642E-3</v>
      </c>
      <c r="H67" s="15">
        <v>-5.4279589649364593E-2</v>
      </c>
      <c r="I67" s="15">
        <v>-4.5987549576290483E-2</v>
      </c>
      <c r="J67" s="15">
        <v>-3.9780947873707076E-2</v>
      </c>
      <c r="K67" s="15">
        <v>-2.3504501619159325E-2</v>
      </c>
      <c r="L67" s="15">
        <v>-6.5887839234633705E-2</v>
      </c>
      <c r="M67" s="15">
        <v>-0.11368348571209971</v>
      </c>
      <c r="N67" s="15">
        <v>-7.717533036218209E-2</v>
      </c>
      <c r="O67" s="15">
        <v>9.0196452023381356E-3</v>
      </c>
      <c r="P67" s="15">
        <v>-2.6645059169367536E-2</v>
      </c>
      <c r="Q67" s="15">
        <v>-1.9429656844367801E-2</v>
      </c>
      <c r="R67" s="15">
        <v>-2.2567402729831144E-2</v>
      </c>
    </row>
    <row r="68" spans="1:18" s="7" customFormat="1" x14ac:dyDescent="0.2">
      <c r="A68" s="1"/>
      <c r="B68" s="4">
        <v>36250</v>
      </c>
      <c r="C68" s="15">
        <v>4.3E-3</v>
      </c>
      <c r="D68" s="15">
        <v>7.7919548066619554E-4</v>
      </c>
      <c r="E68" s="15">
        <v>-7.6125146394513199E-3</v>
      </c>
      <c r="F68" s="15">
        <v>9.4607218683652322E-3</v>
      </c>
      <c r="G68" s="15">
        <v>6.8666586876374039E-3</v>
      </c>
      <c r="H68" s="15">
        <v>-2.0237998866672064E-3</v>
      </c>
      <c r="I68" s="15">
        <v>0.1688293760353396</v>
      </c>
      <c r="J68" s="15">
        <v>4.7413853801416744E-2</v>
      </c>
      <c r="K68" s="15">
        <v>2.8880669084017981E-2</v>
      </c>
      <c r="L68" s="15">
        <v>3.7699433865156329E-3</v>
      </c>
      <c r="M68" s="15">
        <v>4.2427015175319036E-2</v>
      </c>
      <c r="N68" s="15">
        <v>-1.8147308483154993E-2</v>
      </c>
      <c r="O68" s="15">
        <v>0.12874074823394535</v>
      </c>
      <c r="P68" s="15">
        <v>9.5930615247608458E-3</v>
      </c>
      <c r="Q68" s="15">
        <v>0.1088046980139472</v>
      </c>
      <c r="R68" s="15">
        <v>0.13806596425553833</v>
      </c>
    </row>
    <row r="69" spans="1:18" s="7" customFormat="1" x14ac:dyDescent="0.2">
      <c r="A69" s="1"/>
      <c r="B69" s="4">
        <v>36280</v>
      </c>
      <c r="C69" s="15">
        <v>3.7000000000000002E-3</v>
      </c>
      <c r="D69" s="15">
        <v>-2.7250608272506192E-3</v>
      </c>
      <c r="E69" s="15">
        <v>-4.2990811767680262E-3</v>
      </c>
      <c r="F69" s="15">
        <v>3.4671359457768137E-3</v>
      </c>
      <c r="G69" s="15">
        <v>4.3690259484480852E-3</v>
      </c>
      <c r="H69" s="15">
        <v>1.3789746917586122E-3</v>
      </c>
      <c r="I69" s="15">
        <v>4.1327870192875517E-2</v>
      </c>
      <c r="J69" s="15">
        <v>-2.2990051089002905E-3</v>
      </c>
      <c r="K69" s="15">
        <v>8.4918357949916853E-2</v>
      </c>
      <c r="L69" s="15">
        <v>8.4524374142771141E-2</v>
      </c>
      <c r="M69" s="15">
        <v>0.10068647990659228</v>
      </c>
      <c r="N69" s="15">
        <v>8.8708464892497396E-2</v>
      </c>
      <c r="O69" s="15">
        <v>0.12224230384322399</v>
      </c>
      <c r="P69" s="15">
        <v>2.8491153897485522E-2</v>
      </c>
      <c r="Q69" s="15">
        <v>0.22964709993011889</v>
      </c>
      <c r="R69" s="15">
        <v>4.1192432381210946E-2</v>
      </c>
    </row>
    <row r="70" spans="1:18" s="7" customFormat="1" x14ac:dyDescent="0.2">
      <c r="A70" s="1"/>
      <c r="B70" s="4">
        <v>36311</v>
      </c>
      <c r="C70" s="15">
        <v>3.4000000000000002E-3</v>
      </c>
      <c r="D70" s="15">
        <v>-1.1710744608178031E-2</v>
      </c>
      <c r="E70" s="15">
        <v>-1.9302404334575016E-2</v>
      </c>
      <c r="F70" s="15">
        <v>-1.4468652567892377E-2</v>
      </c>
      <c r="G70" s="15">
        <v>-6.6253981330533524E-3</v>
      </c>
      <c r="H70" s="15">
        <v>-2.6245443499392423E-2</v>
      </c>
      <c r="I70" s="15">
        <v>-5.4567265747688075E-2</v>
      </c>
      <c r="J70" s="15">
        <v>-2.9794229810400374E-2</v>
      </c>
      <c r="K70" s="15">
        <v>-1.9784202020861567E-2</v>
      </c>
      <c r="L70" s="15">
        <v>4.2667864361105035E-3</v>
      </c>
      <c r="M70" s="15">
        <v>-2.099006921456522E-2</v>
      </c>
      <c r="N70" s="15">
        <v>2.1978021978021952E-2</v>
      </c>
      <c r="O70" s="15">
        <v>-8.8775904063461766E-3</v>
      </c>
      <c r="P70" s="15">
        <v>-4.9295874434980465E-2</v>
      </c>
      <c r="Q70" s="15">
        <v>-4.6297992619539929E-2</v>
      </c>
      <c r="R70" s="15">
        <v>-5.6852118085871012E-2</v>
      </c>
    </row>
    <row r="71" spans="1:18" s="7" customFormat="1" x14ac:dyDescent="0.2">
      <c r="A71" s="1"/>
      <c r="B71" s="4">
        <v>36341</v>
      </c>
      <c r="C71" s="15">
        <v>4.0000000000000001E-3</v>
      </c>
      <c r="D71" s="15">
        <v>-2.6661400217240648E-3</v>
      </c>
      <c r="E71" s="15">
        <v>-1.4848066298342531E-2</v>
      </c>
      <c r="F71" s="15">
        <v>-4.9320541485100722E-3</v>
      </c>
      <c r="G71" s="15">
        <v>-3.6817053584464066E-3</v>
      </c>
      <c r="H71" s="15">
        <v>-2.3958073371599779E-2</v>
      </c>
      <c r="I71" s="15">
        <v>6.4314749620497449E-2</v>
      </c>
      <c r="J71" s="15">
        <v>7.0724186782966131E-2</v>
      </c>
      <c r="K71" s="15">
        <v>3.7136338656763565E-2</v>
      </c>
      <c r="L71" s="15">
        <v>4.1074286790321032E-2</v>
      </c>
      <c r="M71" s="15">
        <v>4.3056943056943041E-2</v>
      </c>
      <c r="N71" s="15">
        <v>4.7730738788826513E-2</v>
      </c>
      <c r="O71" s="15">
        <v>0.11140117637579569</v>
      </c>
      <c r="P71" s="15">
        <v>1.5541468626424965E-2</v>
      </c>
      <c r="Q71" s="15">
        <v>0.17173827818723533</v>
      </c>
      <c r="R71" s="15">
        <v>9.4130327316857151E-2</v>
      </c>
    </row>
    <row r="72" spans="1:18" s="7" customFormat="1" x14ac:dyDescent="0.2">
      <c r="A72" s="1"/>
      <c r="B72" s="4">
        <v>36372</v>
      </c>
      <c r="C72" s="15">
        <v>3.8E-3</v>
      </c>
      <c r="D72" s="15">
        <v>-5.1485148514851089E-3</v>
      </c>
      <c r="E72" s="15">
        <v>-1.1216263582194191E-2</v>
      </c>
      <c r="F72" s="15">
        <v>-6.0326879557454699E-3</v>
      </c>
      <c r="G72" s="15">
        <v>-6.521894596898262E-3</v>
      </c>
      <c r="H72" s="15">
        <v>-1.9602829625840769E-3</v>
      </c>
      <c r="I72" s="15">
        <v>3.5873759049724709E-2</v>
      </c>
      <c r="J72" s="15">
        <v>-3.2403684005707638E-2</v>
      </c>
      <c r="K72" s="15">
        <v>-3.1631850222386251E-2</v>
      </c>
      <c r="L72" s="15">
        <v>-1.7816364828506171E-2</v>
      </c>
      <c r="M72" s="15">
        <v>-2.7863526187441475E-2</v>
      </c>
      <c r="N72" s="15">
        <v>-1.4436142868987693E-2</v>
      </c>
      <c r="O72" s="15">
        <v>-2.8679967521169226E-2</v>
      </c>
      <c r="P72" s="15">
        <v>7.9268033632139343E-3</v>
      </c>
      <c r="Q72" s="15">
        <v>-4.0048580232663084E-2</v>
      </c>
      <c r="R72" s="15">
        <v>9.933498636899557E-2</v>
      </c>
    </row>
    <row r="73" spans="1:18" s="7" customFormat="1" x14ac:dyDescent="0.2">
      <c r="A73" s="1"/>
      <c r="B73" s="4">
        <v>36403</v>
      </c>
      <c r="C73" s="15">
        <v>3.9000000000000003E-3</v>
      </c>
      <c r="D73" s="15">
        <v>-4.0804140127388196E-3</v>
      </c>
      <c r="E73" s="15">
        <v>-1.1432116270826003E-2</v>
      </c>
      <c r="F73" s="15">
        <v>-2.3829954303153629E-3</v>
      </c>
      <c r="G73" s="15">
        <v>-2.9501657993152387E-5</v>
      </c>
      <c r="H73" s="15">
        <v>-1.1101622544833573E-2</v>
      </c>
      <c r="I73" s="15">
        <v>7.0384398083240832E-2</v>
      </c>
      <c r="J73" s="15">
        <v>1.3245388245388392E-2</v>
      </c>
      <c r="K73" s="15">
        <v>-2.7359100631746503E-2</v>
      </c>
      <c r="L73" s="15">
        <v>-5.1805897654289716E-2</v>
      </c>
      <c r="M73" s="15">
        <v>-2.2493198232677331E-2</v>
      </c>
      <c r="N73" s="15">
        <v>-3.3763320246774996E-2</v>
      </c>
      <c r="O73" s="15">
        <v>8.3495049012290261E-3</v>
      </c>
      <c r="P73" s="15">
        <v>8.8216563194280818E-3</v>
      </c>
      <c r="Q73" s="15">
        <v>1.5321504128371473E-2</v>
      </c>
      <c r="R73" s="15">
        <v>-7.466786144309942E-3</v>
      </c>
    </row>
    <row r="74" spans="1:18" s="7" customFormat="1" x14ac:dyDescent="0.2">
      <c r="A74" s="1"/>
      <c r="B74" s="4">
        <v>36433</v>
      </c>
      <c r="C74" s="15">
        <v>3.9000000000000003E-3</v>
      </c>
      <c r="D74" s="15">
        <v>3.4975517138002826E-3</v>
      </c>
      <c r="E74" s="15">
        <v>7.1716718960106044E-4</v>
      </c>
      <c r="F74" s="15">
        <v>1.1340941295084502E-2</v>
      </c>
      <c r="G74" s="15">
        <v>1.6801099854257606E-2</v>
      </c>
      <c r="H74" s="15">
        <v>-1.1226252158894622E-2</v>
      </c>
      <c r="I74" s="15">
        <v>5.3037382264049172E-2</v>
      </c>
      <c r="J74" s="15">
        <v>-1.7980947340566329E-2</v>
      </c>
      <c r="K74" s="15">
        <v>-4.0454150258272419E-2</v>
      </c>
      <c r="L74" s="15">
        <v>-2.0259525861545811E-2</v>
      </c>
      <c r="M74" s="15">
        <v>1.0513013342843765E-2</v>
      </c>
      <c r="N74" s="15">
        <v>-3.1025075458555887E-2</v>
      </c>
      <c r="O74" s="15">
        <v>-3.5102739726027336E-2</v>
      </c>
      <c r="P74" s="15">
        <v>-9.0567379334652604E-3</v>
      </c>
      <c r="Q74" s="15">
        <v>-8.093356630153821E-2</v>
      </c>
      <c r="R74" s="15">
        <v>6.0201820100427017E-2</v>
      </c>
    </row>
    <row r="75" spans="1:18" s="7" customFormat="1" x14ac:dyDescent="0.2">
      <c r="A75" s="1"/>
      <c r="B75" s="4">
        <v>36464</v>
      </c>
      <c r="C75" s="15">
        <v>3.9000000000000003E-3</v>
      </c>
      <c r="D75" s="15">
        <v>-3.1866162119099099E-3</v>
      </c>
      <c r="E75" s="15">
        <v>-6.6290423721221438E-3</v>
      </c>
      <c r="F75" s="15">
        <v>2.690862700811765E-3</v>
      </c>
      <c r="G75" s="15">
        <v>5.1693201891316034E-3</v>
      </c>
      <c r="H75" s="15">
        <v>-4.3668122270742356E-3</v>
      </c>
      <c r="I75" s="15">
        <v>-5.1569090477039267E-2</v>
      </c>
      <c r="J75" s="15">
        <v>6.8686759811913092E-2</v>
      </c>
      <c r="K75" s="15">
        <v>5.539565789006138E-2</v>
      </c>
      <c r="L75" s="15">
        <v>2.2177619189215951E-2</v>
      </c>
      <c r="M75" s="15">
        <v>5.8877235516614369E-2</v>
      </c>
      <c r="N75" s="15">
        <v>-1.8789748504907149E-2</v>
      </c>
      <c r="O75" s="15">
        <v>2.0415834545821788E-2</v>
      </c>
      <c r="P75" s="15">
        <v>3.544799861397082E-2</v>
      </c>
      <c r="Q75" s="15">
        <v>4.7072489317835517E-2</v>
      </c>
      <c r="R75" s="15">
        <v>4.2415414365747472E-2</v>
      </c>
    </row>
    <row r="76" spans="1:18" s="7" customFormat="1" x14ac:dyDescent="0.2">
      <c r="A76" s="1"/>
      <c r="B76" s="4">
        <v>36494</v>
      </c>
      <c r="C76" s="15">
        <v>3.5999999999999999E-3</v>
      </c>
      <c r="D76" s="15">
        <v>-4.2957042957043638E-3</v>
      </c>
      <c r="E76" s="15">
        <v>-1.3256380196591207E-2</v>
      </c>
      <c r="F76" s="15">
        <v>1.8004303028424475E-3</v>
      </c>
      <c r="G76" s="15">
        <v>1.0876643620190459E-3</v>
      </c>
      <c r="H76" s="15">
        <v>-6.403508771929859E-3</v>
      </c>
      <c r="I76" s="15">
        <v>4.0463672344473685E-2</v>
      </c>
      <c r="J76" s="15">
        <v>4.207062620557496E-2</v>
      </c>
      <c r="K76" s="15">
        <v>-7.7604201737255067E-3</v>
      </c>
      <c r="L76" s="15">
        <v>5.5319871033429474E-2</v>
      </c>
      <c r="M76" s="15">
        <v>0.13148036779143996</v>
      </c>
      <c r="N76" s="15">
        <v>-2.2792254703445248E-3</v>
      </c>
      <c r="O76" s="15">
        <v>8.9323974509651696E-2</v>
      </c>
      <c r="P76" s="15">
        <v>2.5706937067534727E-2</v>
      </c>
      <c r="Q76" s="15">
        <v>9.8848180238925068E-2</v>
      </c>
      <c r="R76" s="15">
        <v>4.2435862909341503E-2</v>
      </c>
    </row>
    <row r="77" spans="1:18" s="7" customFormat="1" x14ac:dyDescent="0.2">
      <c r="A77" s="1"/>
      <c r="B77" s="4">
        <v>36525</v>
      </c>
      <c r="C77" s="15">
        <v>4.4000000000000003E-3</v>
      </c>
      <c r="D77" s="15">
        <v>-8.4278117788703054E-3</v>
      </c>
      <c r="E77" s="15">
        <v>-2.1111314202156846E-2</v>
      </c>
      <c r="F77" s="15">
        <v>-3.5844047441943444E-3</v>
      </c>
      <c r="G77" s="15">
        <v>-3.4878168619336633E-3</v>
      </c>
      <c r="H77" s="15">
        <v>-8.6518937053058163E-3</v>
      </c>
      <c r="I77" s="15">
        <v>4.2238735772740184E-2</v>
      </c>
      <c r="J77" s="15">
        <v>7.3473190089043627E-2</v>
      </c>
      <c r="K77" s="15">
        <v>3.5933020036306176E-2</v>
      </c>
      <c r="L77" s="15">
        <v>5.7749293639308211E-2</v>
      </c>
      <c r="M77" s="15">
        <v>0.21129105591096242</v>
      </c>
      <c r="N77" s="15">
        <v>7.771148845035953E-3</v>
      </c>
      <c r="O77" s="15">
        <v>0.12588509723992283</v>
      </c>
      <c r="P77" s="15">
        <v>0.10131600221739719</v>
      </c>
      <c r="Q77" s="15">
        <v>7.1754585294594983E-2</v>
      </c>
      <c r="R77" s="15">
        <v>6.1637509063596309E-2</v>
      </c>
    </row>
    <row r="78" spans="1:18" s="7" customFormat="1" x14ac:dyDescent="0.2">
      <c r="A78" s="1"/>
      <c r="B78" s="4">
        <v>36556</v>
      </c>
      <c r="C78" s="15">
        <v>4.0999999999999995E-3</v>
      </c>
      <c r="D78" s="15">
        <v>-8.4994434888190761E-3</v>
      </c>
      <c r="E78" s="15">
        <v>7.7490430398655429E-3</v>
      </c>
      <c r="F78" s="15">
        <v>-3.3528028369561877E-3</v>
      </c>
      <c r="G78" s="15">
        <v>-7.6736644004472198E-3</v>
      </c>
      <c r="H78" s="15">
        <v>-2.4935435034286321E-3</v>
      </c>
      <c r="I78" s="15">
        <v>7.2302988075855223E-2</v>
      </c>
      <c r="J78" s="15">
        <v>-6.7069391067182085E-2</v>
      </c>
      <c r="K78" s="15">
        <v>-3.2721376983672092E-2</v>
      </c>
      <c r="L78" s="15">
        <v>-3.8721306491193867E-2</v>
      </c>
      <c r="M78" s="15">
        <v>-6.275310064814855E-3</v>
      </c>
      <c r="N78" s="15">
        <v>-6.8024732586498299E-2</v>
      </c>
      <c r="O78" s="15">
        <v>4.031302357893043E-3</v>
      </c>
      <c r="P78" s="15">
        <v>-7.2286685035509821E-2</v>
      </c>
      <c r="Q78" s="15">
        <v>-2.2783307183920205E-2</v>
      </c>
      <c r="R78" s="15">
        <v>-4.3692032316427917E-2</v>
      </c>
    </row>
    <row r="79" spans="1:18" s="7" customFormat="1" x14ac:dyDescent="0.2">
      <c r="A79" s="1"/>
      <c r="B79" s="4">
        <v>36585</v>
      </c>
      <c r="C79" s="15">
        <v>4.3E-3</v>
      </c>
      <c r="D79" s="15">
        <v>3.3676905806714792E-3</v>
      </c>
      <c r="E79" s="15">
        <v>2.2234574763757696E-2</v>
      </c>
      <c r="F79" s="15">
        <v>7.7436219680784195E-3</v>
      </c>
      <c r="G79" s="15">
        <v>1.2379806010049446E-2</v>
      </c>
      <c r="H79" s="15">
        <v>1.7141326667261866E-2</v>
      </c>
      <c r="I79" s="15">
        <v>6.2475381191735541E-2</v>
      </c>
      <c r="J79" s="15">
        <v>2.0585179637101738E-2</v>
      </c>
      <c r="K79" s="15">
        <v>-6.4524321487225533E-2</v>
      </c>
      <c r="L79" s="15">
        <v>9.0762244713536985E-2</v>
      </c>
      <c r="M79" s="15">
        <v>0.33370219240611382</v>
      </c>
      <c r="N79" s="15">
        <v>-8.2414897660025317E-3</v>
      </c>
      <c r="O79" s="15">
        <v>1.2918376940656371E-2</v>
      </c>
      <c r="P79" s="15">
        <v>5.0980622107427966E-2</v>
      </c>
      <c r="Q79" s="15">
        <v>-5.3711349153214828E-2</v>
      </c>
      <c r="R79" s="15">
        <v>-2.6312460542143676E-2</v>
      </c>
    </row>
    <row r="80" spans="1:18" s="7" customFormat="1" x14ac:dyDescent="0.2">
      <c r="A80" s="1"/>
      <c r="B80" s="4">
        <v>36616</v>
      </c>
      <c r="C80" s="15">
        <v>4.6999999999999993E-3</v>
      </c>
      <c r="D80" s="15">
        <v>6.2042310821806288E-3</v>
      </c>
      <c r="E80" s="15">
        <v>2.5919883994924772E-2</v>
      </c>
      <c r="F80" s="15">
        <v>1.1091190799010777E-2</v>
      </c>
      <c r="G80" s="15">
        <v>9.9080852279665021E-3</v>
      </c>
      <c r="H80" s="15">
        <v>2.3523216009830532E-2</v>
      </c>
      <c r="I80" s="15">
        <v>-1.160697876331653E-2</v>
      </c>
      <c r="J80" s="15">
        <v>9.1830212352927154E-2</v>
      </c>
      <c r="K80" s="15">
        <v>0.10260262071961206</v>
      </c>
      <c r="L80" s="15">
        <v>3.6266478879073749E-2</v>
      </c>
      <c r="M80" s="15">
        <v>-9.5974343018524685E-2</v>
      </c>
      <c r="N80" s="15">
        <v>5.7162564596654149E-2</v>
      </c>
      <c r="O80" s="15">
        <v>3.3410950675150548E-3</v>
      </c>
      <c r="P80" s="15">
        <v>2.3005550398247917E-2</v>
      </c>
      <c r="Q80" s="15">
        <v>4.4824322066930239E-2</v>
      </c>
      <c r="R80" s="15">
        <v>8.2038615677115664E-2</v>
      </c>
    </row>
    <row r="81" spans="1:18" s="7" customFormat="1" x14ac:dyDescent="0.2">
      <c r="A81" s="1"/>
      <c r="B81" s="4">
        <v>36646</v>
      </c>
      <c r="C81" s="15">
        <v>4.5999999999999999E-3</v>
      </c>
      <c r="D81" s="15">
        <v>-5.6605680784393231E-3</v>
      </c>
      <c r="E81" s="15">
        <v>-1.5282685512367526E-2</v>
      </c>
      <c r="F81" s="15">
        <v>-1.2782156685519934E-2</v>
      </c>
      <c r="G81" s="15">
        <v>-1.1407997919170805E-5</v>
      </c>
      <c r="H81" s="15">
        <v>-8.8328616756710495E-3</v>
      </c>
      <c r="I81" s="15">
        <v>-9.1080170426675339E-3</v>
      </c>
      <c r="J81" s="15">
        <v>-4.9956634865568006E-2</v>
      </c>
      <c r="K81" s="15">
        <v>-7.6984947719178189E-3</v>
      </c>
      <c r="L81" s="15">
        <v>-3.1739369409883568E-2</v>
      </c>
      <c r="M81" s="15">
        <v>-0.12490733876945892</v>
      </c>
      <c r="N81" s="15">
        <v>1.1371521484718889E-2</v>
      </c>
      <c r="O81" s="15">
        <v>-9.6204675973760645E-2</v>
      </c>
      <c r="P81" s="15">
        <v>-4.5234629878471412E-2</v>
      </c>
      <c r="Q81" s="15">
        <v>-8.2598718447088965E-2</v>
      </c>
      <c r="R81" s="15">
        <v>-7.5569258340325629E-2</v>
      </c>
    </row>
    <row r="82" spans="1:18" s="7" customFormat="1" x14ac:dyDescent="0.2">
      <c r="A82" s="1"/>
      <c r="B82" s="4">
        <v>36677</v>
      </c>
      <c r="C82" s="15">
        <v>5.0000000000000001E-3</v>
      </c>
      <c r="D82" s="15">
        <v>-2.3381112127681607E-3</v>
      </c>
      <c r="E82" s="15">
        <v>-1.139319996411587E-2</v>
      </c>
      <c r="F82" s="15">
        <v>-5.1514757768693301E-3</v>
      </c>
      <c r="G82" s="15">
        <v>1.0837721659928785E-3</v>
      </c>
      <c r="H82" s="15">
        <v>-1.1593701332410358E-2</v>
      </c>
      <c r="I82" s="15">
        <v>0.11197352158973983</v>
      </c>
      <c r="J82" s="15">
        <v>-4.1309110827095173E-2</v>
      </c>
      <c r="K82" s="15">
        <v>7.1130814530547155E-4</v>
      </c>
      <c r="L82" s="15">
        <v>-1.2829113728080536E-2</v>
      </c>
      <c r="M82" s="15">
        <v>-6.5993021520340395E-2</v>
      </c>
      <c r="N82" s="15">
        <v>-3.522605089345199E-3</v>
      </c>
      <c r="O82" s="15">
        <v>-4.3548483579589646E-2</v>
      </c>
      <c r="P82" s="15">
        <v>-9.3171207082608475E-3</v>
      </c>
      <c r="Q82" s="15">
        <v>-8.2569026790595801E-2</v>
      </c>
      <c r="R82" s="15">
        <v>-5.1304615800906478E-2</v>
      </c>
    </row>
    <row r="83" spans="1:18" s="7" customFormat="1" x14ac:dyDescent="0.2">
      <c r="A83" s="1"/>
      <c r="B83" s="4">
        <v>36707</v>
      </c>
      <c r="C83" s="15">
        <v>4.0000000000000001E-3</v>
      </c>
      <c r="D83" s="15">
        <v>1.0902791929896141E-2</v>
      </c>
      <c r="E83" s="15">
        <v>1.5698729582577169E-2</v>
      </c>
      <c r="F83" s="15">
        <v>2.492826542996537E-2</v>
      </c>
      <c r="G83" s="15">
        <v>2.107307200536053E-2</v>
      </c>
      <c r="H83" s="15">
        <v>1.4618347338935463E-2</v>
      </c>
      <c r="I83" s="15">
        <v>7.1267504822645947E-2</v>
      </c>
      <c r="J83" s="15">
        <v>8.0417083273818094E-2</v>
      </c>
      <c r="K83" s="15">
        <v>-4.0697578312257218E-2</v>
      </c>
      <c r="L83" s="15">
        <v>2.6828095267967263E-2</v>
      </c>
      <c r="M83" s="15">
        <v>0.10407264246690706</v>
      </c>
      <c r="N83" s="15">
        <v>-2.7951619035874717E-2</v>
      </c>
      <c r="O83" s="15">
        <v>3.2001167469301803E-2</v>
      </c>
      <c r="P83" s="15">
        <v>2.0266956399714882E-2</v>
      </c>
      <c r="Q83" s="15">
        <v>4.5173329558956574E-2</v>
      </c>
      <c r="R83" s="15">
        <v>6.8308237984529507E-2</v>
      </c>
    </row>
    <row r="84" spans="1:18" s="7" customFormat="1" x14ac:dyDescent="0.2">
      <c r="A84" s="1"/>
      <c r="B84" s="4">
        <v>36738</v>
      </c>
      <c r="C84" s="15">
        <v>4.7999999999999996E-3</v>
      </c>
      <c r="D84" s="15">
        <v>1.4111480697510388E-3</v>
      </c>
      <c r="E84" s="15">
        <v>1.1078352541767129E-2</v>
      </c>
      <c r="F84" s="15">
        <v>1.1827695589267358E-2</v>
      </c>
      <c r="G84" s="15">
        <v>6.7956830838942148E-3</v>
      </c>
      <c r="H84" s="15">
        <v>8.9724786472263496E-3</v>
      </c>
      <c r="I84" s="15">
        <v>-7.6798348656246115E-2</v>
      </c>
      <c r="J84" s="15">
        <v>-4.4927727833597837E-2</v>
      </c>
      <c r="K84" s="15">
        <v>1.8920269501835191E-2</v>
      </c>
      <c r="L84" s="15">
        <v>5.1928481244654656E-3</v>
      </c>
      <c r="M84" s="15">
        <v>-6.4347673019940016E-2</v>
      </c>
      <c r="N84" s="15">
        <v>5.4444926050047047E-2</v>
      </c>
      <c r="O84" s="15">
        <v>-5.2603935194537668E-2</v>
      </c>
      <c r="P84" s="15">
        <v>-1.7096536979287345E-2</v>
      </c>
      <c r="Q84" s="15">
        <v>-3.7223142852051791E-2</v>
      </c>
      <c r="R84" s="15">
        <v>-0.11555769934742893</v>
      </c>
    </row>
    <row r="85" spans="1:18" s="7" customFormat="1" x14ac:dyDescent="0.2">
      <c r="A85" s="1"/>
      <c r="B85" s="4">
        <v>36769</v>
      </c>
      <c r="C85" s="15">
        <v>5.0000000000000001E-3</v>
      </c>
      <c r="D85" s="15">
        <v>6.3412179164569239E-3</v>
      </c>
      <c r="E85" s="15">
        <v>1.6788901652381422E-2</v>
      </c>
      <c r="F85" s="15">
        <v>1.2949834046041024E-2</v>
      </c>
      <c r="G85" s="15">
        <v>1.481323003351067E-2</v>
      </c>
      <c r="H85" s="15">
        <v>-3.0782385634886655E-3</v>
      </c>
      <c r="I85" s="15">
        <v>0.15408830010385124</v>
      </c>
      <c r="J85" s="15">
        <v>5.733071865267049E-2</v>
      </c>
      <c r="K85" s="15">
        <v>6.4669970066462606E-2</v>
      </c>
      <c r="L85" s="15">
        <v>0.10630862421749969</v>
      </c>
      <c r="M85" s="15">
        <v>0.1064101090126153</v>
      </c>
      <c r="N85" s="15">
        <v>5.210495182522748E-2</v>
      </c>
      <c r="O85" s="15">
        <v>3.5016892452177746E-3</v>
      </c>
      <c r="P85" s="15">
        <v>-1.2905674964029593E-2</v>
      </c>
      <c r="Q85" s="15">
        <v>-1.35438258809594E-2</v>
      </c>
      <c r="R85" s="15">
        <v>6.428219727969639E-2</v>
      </c>
    </row>
    <row r="86" spans="1:18" s="7" customFormat="1" x14ac:dyDescent="0.2">
      <c r="A86" s="1"/>
      <c r="B86" s="4">
        <v>36799</v>
      </c>
      <c r="C86" s="15">
        <v>5.1000000000000004E-3</v>
      </c>
      <c r="D86" s="15">
        <v>3.9007801560312118E-3</v>
      </c>
      <c r="E86" s="15">
        <v>-1.7206917528460972E-2</v>
      </c>
      <c r="F86" s="15">
        <v>7.6531612567557672E-3</v>
      </c>
      <c r="G86" s="15">
        <v>1.0588096502094007E-2</v>
      </c>
      <c r="H86" s="15">
        <v>-6.0039454498670795E-3</v>
      </c>
      <c r="I86" s="15">
        <v>-1.3691576277451352E-2</v>
      </c>
      <c r="J86" s="15">
        <v>-9.7981671394283279E-2</v>
      </c>
      <c r="K86" s="15">
        <v>-1.3342863950441294E-3</v>
      </c>
      <c r="L86" s="15">
        <v>-1.6929598871970489E-2</v>
      </c>
      <c r="M86" s="15">
        <v>-5.3963800563018277E-2</v>
      </c>
      <c r="N86" s="15">
        <v>6.3370752253710406E-3</v>
      </c>
      <c r="O86" s="15">
        <v>-8.8603739729908385E-2</v>
      </c>
      <c r="P86" s="15">
        <v>-4.7962658982498026E-2</v>
      </c>
      <c r="Q86" s="15">
        <v>-0.11675003095673198</v>
      </c>
      <c r="R86" s="15">
        <v>-5.011589667468723E-2</v>
      </c>
    </row>
    <row r="87" spans="1:18" s="7" customFormat="1" x14ac:dyDescent="0.2">
      <c r="A87" s="1"/>
      <c r="B87" s="4">
        <v>36830</v>
      </c>
      <c r="C87" s="15">
        <v>5.6000000000000008E-3</v>
      </c>
      <c r="D87" s="15">
        <v>1.7933645511606317E-3</v>
      </c>
      <c r="E87" s="15">
        <v>9.1077902555486874E-3</v>
      </c>
      <c r="F87" s="15">
        <v>-3.2270832008502934E-4</v>
      </c>
      <c r="G87" s="15">
        <v>7.1350206181666851E-3</v>
      </c>
      <c r="H87" s="15">
        <v>4.9184571576495585E-3</v>
      </c>
      <c r="I87" s="15">
        <v>2.2537308032276565E-3</v>
      </c>
      <c r="J87" s="15">
        <v>-2.6246084253558864E-2</v>
      </c>
      <c r="K87" s="15">
        <v>1.743252055796778E-2</v>
      </c>
      <c r="L87" s="15">
        <v>-2.8928544817822761E-2</v>
      </c>
      <c r="M87" s="15">
        <v>-6.73819592492923E-2</v>
      </c>
      <c r="N87" s="15">
        <v>3.5131577701391407E-3</v>
      </c>
      <c r="O87" s="15">
        <v>-7.3009680569695243E-2</v>
      </c>
      <c r="P87" s="15">
        <v>-8.7433232737077239E-3</v>
      </c>
      <c r="Q87" s="15">
        <v>-7.9184491921813913E-2</v>
      </c>
      <c r="R87" s="15">
        <v>-5.8448678743609581E-2</v>
      </c>
    </row>
    <row r="88" spans="1:18" s="7" customFormat="1" x14ac:dyDescent="0.2">
      <c r="A88" s="1"/>
      <c r="B88" s="4">
        <v>36860</v>
      </c>
      <c r="C88" s="15">
        <v>5.1000000000000004E-3</v>
      </c>
      <c r="D88" s="15">
        <v>1.0641471904525185E-2</v>
      </c>
      <c r="E88" s="15">
        <v>2.5236593059936866E-2</v>
      </c>
      <c r="F88" s="15">
        <v>1.4236980449905786E-2</v>
      </c>
      <c r="G88" s="15">
        <v>1.4942753252997569E-2</v>
      </c>
      <c r="H88" s="15">
        <v>2.1123132405976245E-2</v>
      </c>
      <c r="I88" s="15">
        <v>9.2153662071348605E-2</v>
      </c>
      <c r="J88" s="15">
        <v>-0.10682035548820629</v>
      </c>
      <c r="K88" s="15">
        <v>-5.31524067097097E-2</v>
      </c>
      <c r="L88" s="15">
        <v>-7.9031670215418931E-2</v>
      </c>
      <c r="M88" s="15">
        <v>-0.18839369362134964</v>
      </c>
      <c r="N88" s="15">
        <v>-4.1802706324193329E-3</v>
      </c>
      <c r="O88" s="15">
        <v>-8.8001296643537563E-2</v>
      </c>
      <c r="P88" s="15">
        <v>-3.9900588748413214E-2</v>
      </c>
      <c r="Q88" s="15">
        <v>-5.0976248915791514E-2</v>
      </c>
      <c r="R88" s="15">
        <v>-4.2029391503209279E-2</v>
      </c>
    </row>
    <row r="89" spans="1:18" s="7" customFormat="1" x14ac:dyDescent="0.2">
      <c r="A89" s="1"/>
      <c r="B89" s="4">
        <v>36891</v>
      </c>
      <c r="C89" s="15">
        <v>5.0000000000000001E-3</v>
      </c>
      <c r="D89" s="15">
        <v>1.2792757331233981E-2</v>
      </c>
      <c r="E89" s="15">
        <v>1.8290598290598297E-2</v>
      </c>
      <c r="F89" s="15">
        <v>1.917175760457877E-2</v>
      </c>
      <c r="G89" s="15">
        <v>1.6639895778588709E-2</v>
      </c>
      <c r="H89" s="15">
        <v>9.1658257652203444E-3</v>
      </c>
      <c r="I89" s="15">
        <v>-2.0617824013350883E-2</v>
      </c>
      <c r="J89" s="15">
        <v>-4.3860990974704091E-2</v>
      </c>
      <c r="K89" s="15">
        <v>5.0324434097776052E-2</v>
      </c>
      <c r="L89" s="15">
        <v>9.1270750453021285E-2</v>
      </c>
      <c r="M89" s="15">
        <v>6.0018205324397778E-2</v>
      </c>
      <c r="N89" s="15">
        <v>0.1292511205238272</v>
      </c>
      <c r="O89" s="15">
        <v>2.2787998382134883E-2</v>
      </c>
      <c r="P89" s="15">
        <v>6.764508598347703E-2</v>
      </c>
      <c r="Q89" s="15">
        <v>-2.8925760455811591E-3</v>
      </c>
      <c r="R89" s="15">
        <v>-6.130426466368967E-2</v>
      </c>
    </row>
    <row r="90" spans="1:18" s="7" customFormat="1" x14ac:dyDescent="0.2">
      <c r="A90" s="1"/>
      <c r="B90" s="4">
        <v>36922</v>
      </c>
      <c r="C90" s="15">
        <v>5.4000000000000003E-3</v>
      </c>
      <c r="D90" s="15">
        <v>8.1616789739603901E-3</v>
      </c>
      <c r="E90" s="15">
        <v>-3.5252643948296266E-3</v>
      </c>
      <c r="F90" s="15">
        <v>2.6750728838872896E-2</v>
      </c>
      <c r="G90" s="15">
        <v>1.4685645636899808E-2</v>
      </c>
      <c r="H90" s="15">
        <v>-1.4998750104158554E-3</v>
      </c>
      <c r="I90" s="15">
        <v>-5.307459344467972E-2</v>
      </c>
      <c r="J90" s="15">
        <v>2.8012508181223167E-2</v>
      </c>
      <c r="K90" s="15">
        <v>4.1028059419948165E-2</v>
      </c>
      <c r="L90" s="15">
        <v>1.5231042314812863E-2</v>
      </c>
      <c r="M90" s="15">
        <v>7.6053340634586797E-2</v>
      </c>
      <c r="N90" s="15">
        <v>6.9647817002452543E-4</v>
      </c>
      <c r="O90" s="15">
        <v>0.13550014529963175</v>
      </c>
      <c r="P90" s="15">
        <v>1.8789955861741805E-4</v>
      </c>
      <c r="Q90" s="15">
        <v>0.13374678212029012</v>
      </c>
      <c r="R90" s="15">
        <v>-1.1949260900555805E-2</v>
      </c>
    </row>
    <row r="91" spans="1:18" s="7" customFormat="1" x14ac:dyDescent="0.2">
      <c r="A91" s="1"/>
      <c r="B91" s="4">
        <v>36950</v>
      </c>
      <c r="C91" s="15">
        <v>3.8E-3</v>
      </c>
      <c r="D91" s="15">
        <v>4.4333076329991688E-3</v>
      </c>
      <c r="E91" s="15">
        <v>8.9285714285714472E-3</v>
      </c>
      <c r="F91" s="15">
        <v>9.8117623063007538E-3</v>
      </c>
      <c r="G91" s="15">
        <v>5.9710886550341097E-3</v>
      </c>
      <c r="H91" s="15">
        <v>-2.8373529166318052E-3</v>
      </c>
      <c r="I91" s="15">
        <v>-1.3957100120934303E-2</v>
      </c>
      <c r="J91" s="15">
        <v>-0.11798078691586154</v>
      </c>
      <c r="K91" s="15">
        <v>-6.7995469988674936E-2</v>
      </c>
      <c r="L91" s="15">
        <v>-6.4277791355680361E-2</v>
      </c>
      <c r="M91" s="15">
        <v>-0.1431371982073153</v>
      </c>
      <c r="N91" s="15">
        <v>9.7439079611586349E-3</v>
      </c>
      <c r="O91" s="15">
        <v>-7.9145801562969936E-2</v>
      </c>
      <c r="P91" s="15">
        <v>-8.8887357605782341E-2</v>
      </c>
      <c r="Q91" s="15">
        <v>-4.9046169195307396E-2</v>
      </c>
      <c r="R91" s="15">
        <v>-4.5070262779981315E-2</v>
      </c>
    </row>
    <row r="92" spans="1:18" s="7" customFormat="1" x14ac:dyDescent="0.2">
      <c r="A92" s="1"/>
      <c r="B92" s="4">
        <v>36981</v>
      </c>
      <c r="C92" s="15">
        <v>4.1999999999999997E-3</v>
      </c>
      <c r="D92" s="15">
        <v>1.8230665899059463E-3</v>
      </c>
      <c r="E92" s="15">
        <v>-1.1020203706795736E-2</v>
      </c>
      <c r="F92" s="15">
        <v>7.5911800923097669E-3</v>
      </c>
      <c r="G92" s="15">
        <v>6.3249025076450036E-3</v>
      </c>
      <c r="H92" s="15">
        <v>-3.0964934304126245E-3</v>
      </c>
      <c r="I92" s="15">
        <v>-3.919513133467431E-2</v>
      </c>
      <c r="J92" s="15">
        <v>-9.0853678098232318E-2</v>
      </c>
      <c r="K92" s="15">
        <v>-4.0423187842260531E-2</v>
      </c>
      <c r="L92" s="15">
        <v>-6.4423772402153814E-2</v>
      </c>
      <c r="M92" s="15">
        <v>-0.10878500131602928</v>
      </c>
      <c r="N92" s="15">
        <v>-2.5129550890247133E-2</v>
      </c>
      <c r="O92" s="15">
        <v>-0.10281814431099284</v>
      </c>
      <c r="P92" s="15">
        <v>-7.6686755140871407E-2</v>
      </c>
      <c r="Q92" s="15">
        <v>-0.10953235864713678</v>
      </c>
      <c r="R92" s="15">
        <v>-3.2797302123913019E-2</v>
      </c>
    </row>
    <row r="93" spans="1:18" s="7" customFormat="1" x14ac:dyDescent="0.2">
      <c r="A93" s="1"/>
      <c r="B93" s="4">
        <v>37011</v>
      </c>
      <c r="C93" s="15">
        <v>3.9000000000000003E-3</v>
      </c>
      <c r="D93" s="15">
        <v>-8.8114165309835027E-3</v>
      </c>
      <c r="E93" s="15">
        <v>-3.359783893297319E-2</v>
      </c>
      <c r="F93" s="15">
        <v>-5.0783423994992579E-3</v>
      </c>
      <c r="G93" s="15">
        <v>9.5082252730446825E-4</v>
      </c>
      <c r="H93" s="15">
        <v>-3.374748153122898E-2</v>
      </c>
      <c r="I93" s="15">
        <v>5.3704116760231471E-2</v>
      </c>
      <c r="J93" s="15">
        <v>8.878224355128983E-2</v>
      </c>
      <c r="K93" s="15">
        <v>6.6675671568710237E-2</v>
      </c>
      <c r="L93" s="15">
        <v>0.11416177212743345</v>
      </c>
      <c r="M93" s="15">
        <v>0.13896587759552909</v>
      </c>
      <c r="N93" s="15">
        <v>4.3231961836612993E-2</v>
      </c>
      <c r="O93" s="15">
        <v>4.6532199860764165E-2</v>
      </c>
      <c r="P93" s="15">
        <v>6.837141085875531E-2</v>
      </c>
      <c r="Q93" s="15">
        <v>1.5083032857650554E-3</v>
      </c>
      <c r="R93" s="15">
        <v>6.7745024368250445E-2</v>
      </c>
    </row>
    <row r="94" spans="1:18" s="7" customFormat="1" x14ac:dyDescent="0.2">
      <c r="A94" s="1"/>
      <c r="B94" s="4">
        <v>37042</v>
      </c>
      <c r="C94" s="15">
        <v>3.2000000000000002E-3</v>
      </c>
      <c r="D94" s="15">
        <v>-1.4494154024543983E-3</v>
      </c>
      <c r="E94" s="15">
        <v>-5.3284416491963613E-3</v>
      </c>
      <c r="F94" s="15">
        <v>1.0218247919102259E-2</v>
      </c>
      <c r="G94" s="15">
        <v>5.6297135573416977E-3</v>
      </c>
      <c r="H94" s="15">
        <v>-1.0165073848827122E-2</v>
      </c>
      <c r="I94" s="15">
        <v>-2.8485298280782573E-2</v>
      </c>
      <c r="J94" s="15">
        <v>1.588073245827286E-3</v>
      </c>
      <c r="K94" s="15">
        <v>8.1201722172977008E-3</v>
      </c>
      <c r="L94" s="15">
        <v>2.3023621136628539E-2</v>
      </c>
      <c r="M94" s="15">
        <v>2.5956583890163355E-2</v>
      </c>
      <c r="N94" s="15">
        <v>3.5569346343853302E-2</v>
      </c>
      <c r="O94" s="15">
        <v>8.6540192670937106E-3</v>
      </c>
      <c r="P94" s="15">
        <v>-5.2496249230275092E-2</v>
      </c>
      <c r="Q94" s="15">
        <v>-9.7917416724557609E-3</v>
      </c>
      <c r="R94" s="15">
        <v>-2.4253825879165794E-3</v>
      </c>
    </row>
    <row r="95" spans="1:18" s="7" customFormat="1" x14ac:dyDescent="0.2">
      <c r="A95" s="1"/>
      <c r="B95" s="4">
        <v>37072</v>
      </c>
      <c r="C95" s="15">
        <v>2.8000000000000004E-3</v>
      </c>
      <c r="D95" s="15">
        <v>-2.1288949100057952E-3</v>
      </c>
      <c r="E95" s="15">
        <v>1.4929305348204242E-3</v>
      </c>
      <c r="F95" s="15">
        <v>4.3309545595303063E-3</v>
      </c>
      <c r="G95" s="15">
        <v>1.9535847576126501E-3</v>
      </c>
      <c r="H95" s="15">
        <v>-5.2663916439921242E-4</v>
      </c>
      <c r="I95" s="15">
        <v>-7.234175487231187E-2</v>
      </c>
      <c r="J95" s="15">
        <v>-1.3914056432824265E-2</v>
      </c>
      <c r="K95" s="15">
        <v>-3.3333856709949941E-2</v>
      </c>
      <c r="L95" s="15">
        <v>-1.535533951314984E-3</v>
      </c>
      <c r="M95" s="15">
        <v>2.7166270275874926E-2</v>
      </c>
      <c r="N95" s="15">
        <v>1.794655459269363E-2</v>
      </c>
      <c r="O95" s="15">
        <v>-2.3164773328896163E-2</v>
      </c>
      <c r="P95" s="15">
        <v>-3.9584951687858541E-2</v>
      </c>
      <c r="Q95" s="15">
        <v>-2.2721686228722483E-2</v>
      </c>
      <c r="R95" s="15">
        <v>-5.9689500912485656E-2</v>
      </c>
    </row>
    <row r="96" spans="1:18" s="7" customFormat="1" x14ac:dyDescent="0.2">
      <c r="A96" s="1"/>
      <c r="B96" s="4">
        <v>37103</v>
      </c>
      <c r="C96" s="15">
        <v>3.0000000000000001E-3</v>
      </c>
      <c r="D96" s="15">
        <v>1.2800620636151989E-2</v>
      </c>
      <c r="E96" s="15">
        <v>3.1918625043844268E-2</v>
      </c>
      <c r="F96" s="15">
        <v>2.8198345638989757E-2</v>
      </c>
      <c r="G96" s="15">
        <v>1.8422468805596653E-2</v>
      </c>
      <c r="H96" s="15">
        <v>2.5291999648722186E-2</v>
      </c>
      <c r="I96" s="15">
        <v>2.3940844042097502E-3</v>
      </c>
      <c r="J96" s="15">
        <v>-3.6260418717595925E-3</v>
      </c>
      <c r="K96" s="15">
        <v>-1.8143130948900302E-2</v>
      </c>
      <c r="L96" s="15">
        <v>-1.2284293653114928E-2</v>
      </c>
      <c r="M96" s="15">
        <v>-8.3614614418836455E-2</v>
      </c>
      <c r="N96" s="15">
        <v>8.280595211352746E-3</v>
      </c>
      <c r="O96" s="15">
        <v>-6.5725576670548402E-2</v>
      </c>
      <c r="P96" s="15">
        <v>1.9032280379368141E-3</v>
      </c>
      <c r="Q96" s="15">
        <v>-3.9887025188771658E-2</v>
      </c>
      <c r="R96" s="15">
        <v>-7.453263034603734E-2</v>
      </c>
    </row>
    <row r="97" spans="1:18" s="7" customFormat="1" x14ac:dyDescent="0.2">
      <c r="A97" s="1"/>
      <c r="B97" s="4">
        <v>37134</v>
      </c>
      <c r="C97" s="15">
        <v>3.0999999999999999E-3</v>
      </c>
      <c r="D97" s="15">
        <v>3.3512064343164355E-3</v>
      </c>
      <c r="E97" s="15">
        <v>1.3851121685927901E-2</v>
      </c>
      <c r="F97" s="15">
        <v>1.0848019300427314E-2</v>
      </c>
      <c r="G97" s="15">
        <v>8.7907559537482513E-3</v>
      </c>
      <c r="H97" s="15">
        <v>1.15631691648823E-2</v>
      </c>
      <c r="I97" s="15">
        <v>9.5591120697200091E-3</v>
      </c>
      <c r="J97" s="15">
        <v>-6.7959886047392407E-2</v>
      </c>
      <c r="K97" s="15">
        <v>-6.0050621184800333E-2</v>
      </c>
      <c r="L97" s="15">
        <v>-3.3050904123721317E-2</v>
      </c>
      <c r="M97" s="15">
        <v>-7.2207534699272879E-2</v>
      </c>
      <c r="N97" s="15">
        <v>-6.8912004670958829E-3</v>
      </c>
      <c r="O97" s="15">
        <v>-1.1592290811692448E-2</v>
      </c>
      <c r="P97" s="15">
        <v>-2.8188799898026411E-2</v>
      </c>
      <c r="Q97" s="15">
        <v>-1.8010446058714116E-2</v>
      </c>
      <c r="R97" s="15">
        <v>-2.5058913508437843E-2</v>
      </c>
    </row>
    <row r="98" spans="1:18" s="7" customFormat="1" x14ac:dyDescent="0.2">
      <c r="A98" s="1"/>
      <c r="B98" s="4">
        <v>37164</v>
      </c>
      <c r="C98" s="15">
        <v>2.8000000000000004E-3</v>
      </c>
      <c r="D98" s="15">
        <v>1.7177211565989094E-2</v>
      </c>
      <c r="E98" s="15">
        <v>2.9335344899840275E-3</v>
      </c>
      <c r="F98" s="15">
        <v>2.3833107907664732E-3</v>
      </c>
      <c r="G98" s="15">
        <v>1.6238988818287857E-2</v>
      </c>
      <c r="H98" s="15">
        <v>-1.7442845046570721E-2</v>
      </c>
      <c r="I98" s="15">
        <v>-0.1095600428408039</v>
      </c>
      <c r="J98" s="15">
        <v>-6.803886925795051E-2</v>
      </c>
      <c r="K98" s="15">
        <v>-9.6006617504708042E-2</v>
      </c>
      <c r="L98" s="15">
        <v>-0.12724865895462667</v>
      </c>
      <c r="M98" s="15">
        <v>-0.17987533392698135</v>
      </c>
      <c r="N98" s="15">
        <v>-9.9118891613612009E-2</v>
      </c>
      <c r="O98" s="15">
        <v>-0.15687076792020624</v>
      </c>
      <c r="P98" s="15">
        <v>-0.10045096865808811</v>
      </c>
      <c r="Q98" s="15">
        <v>-0.16037615255075668</v>
      </c>
      <c r="R98" s="15">
        <v>-9.618218180453203E-2</v>
      </c>
    </row>
    <row r="99" spans="1:18" s="7" customFormat="1" x14ac:dyDescent="0.2">
      <c r="A99" s="1"/>
      <c r="B99" s="4">
        <v>37195</v>
      </c>
      <c r="C99" s="15">
        <v>2.2000000000000001E-3</v>
      </c>
      <c r="D99" s="15">
        <v>9.4755605591519375E-3</v>
      </c>
      <c r="E99" s="15">
        <v>4.6464984121678106E-2</v>
      </c>
      <c r="F99" s="15">
        <v>2.2341828980171192E-2</v>
      </c>
      <c r="G99" s="15">
        <v>1.3281148577500757E-2</v>
      </c>
      <c r="H99" s="15">
        <v>6.3857290589451887E-2</v>
      </c>
      <c r="I99" s="15">
        <v>-5.0426475391302211E-2</v>
      </c>
      <c r="J99" s="15">
        <v>3.5943809361314978E-2</v>
      </c>
      <c r="K99" s="15">
        <v>-1.1097266568023058E-3</v>
      </c>
      <c r="L99" s="15">
        <v>4.8491159758223386E-2</v>
      </c>
      <c r="M99" s="15">
        <v>0.11169019182048502</v>
      </c>
      <c r="N99" s="15">
        <v>1.2236381122484029E-2</v>
      </c>
      <c r="O99" s="15">
        <v>6.1520714413572181E-2</v>
      </c>
      <c r="P99" s="15">
        <v>3.1531686611082972E-2</v>
      </c>
      <c r="Q99" s="15">
        <v>5.0029456348339475E-2</v>
      </c>
      <c r="R99" s="15">
        <v>-1.9782814869021888E-3</v>
      </c>
    </row>
    <row r="100" spans="1:18" s="7" customFormat="1" x14ac:dyDescent="0.2">
      <c r="A100" s="1"/>
      <c r="B100" s="4">
        <v>37225</v>
      </c>
      <c r="C100" s="15">
        <v>1.7000000000000001E-3</v>
      </c>
      <c r="D100" s="15">
        <v>-1.840148698884762E-2</v>
      </c>
      <c r="E100" s="15">
        <v>-5.590161316083693E-2</v>
      </c>
      <c r="F100" s="15">
        <v>-8.1955013877235399E-3</v>
      </c>
      <c r="G100" s="15">
        <v>-9.0547078596877745E-3</v>
      </c>
      <c r="H100" s="15">
        <v>-3.4102875658161148E-2</v>
      </c>
      <c r="I100" s="15">
        <v>-5.3706257627320397E-2</v>
      </c>
      <c r="J100" s="15">
        <v>8.7711593009424368E-2</v>
      </c>
      <c r="K100" s="15">
        <v>6.1200226090007158E-2</v>
      </c>
      <c r="L100" s="15">
        <v>7.2978516679261474E-2</v>
      </c>
      <c r="M100" s="15">
        <v>0.11420757911186347</v>
      </c>
      <c r="N100" s="15">
        <v>6.1333039251448652E-2</v>
      </c>
      <c r="O100" s="15">
        <v>0.10329347488018106</v>
      </c>
      <c r="P100" s="15">
        <v>3.9381850521930419E-2</v>
      </c>
      <c r="Q100" s="15">
        <v>0.1362235152462665</v>
      </c>
      <c r="R100" s="15">
        <v>1.0891843785770336E-2</v>
      </c>
    </row>
    <row r="101" spans="1:18" s="7" customFormat="1" x14ac:dyDescent="0.2">
      <c r="A101" s="1"/>
      <c r="B101" s="4">
        <v>37256</v>
      </c>
      <c r="C101" s="15">
        <v>1.5E-3</v>
      </c>
      <c r="D101" s="15">
        <v>-1.0698731300889939E-2</v>
      </c>
      <c r="E101" s="15">
        <v>-2.5207240737607762E-2</v>
      </c>
      <c r="F101" s="15">
        <v>-5.8927611465282711E-3</v>
      </c>
      <c r="G101" s="15">
        <v>-4.256990035099756E-3</v>
      </c>
      <c r="H101" s="15">
        <v>-2.7423683327742452E-2</v>
      </c>
      <c r="I101" s="15">
        <v>-1.3256304870547547E-2</v>
      </c>
      <c r="J101" s="15">
        <v>3.8695783841989666E-4</v>
      </c>
      <c r="K101" s="15">
        <v>1.3885062537880775E-2</v>
      </c>
      <c r="L101" s="15">
        <v>5.253043565751097E-2</v>
      </c>
      <c r="M101" s="15">
        <v>7.3354955586722823E-2</v>
      </c>
      <c r="N101" s="15">
        <v>4.5079968987538951E-2</v>
      </c>
      <c r="O101" s="15">
        <v>7.8029793564427213E-2</v>
      </c>
      <c r="P101" s="15">
        <v>2.542600985798572E-2</v>
      </c>
      <c r="Q101" s="15">
        <v>9.0325014702781883E-2</v>
      </c>
      <c r="R101" s="15">
        <v>-6.7644223504093048E-2</v>
      </c>
    </row>
    <row r="102" spans="1:18" s="7" customFormat="1" x14ac:dyDescent="0.2">
      <c r="A102" s="1"/>
      <c r="B102" s="4">
        <v>37287</v>
      </c>
      <c r="C102" s="15">
        <v>1.4000000000000002E-3</v>
      </c>
      <c r="D102" s="15">
        <v>-1.2441381950426802E-3</v>
      </c>
      <c r="E102" s="15">
        <v>7.202360291565413E-3</v>
      </c>
      <c r="F102" s="15">
        <v>5.172941460416549E-3</v>
      </c>
      <c r="G102" s="15">
        <v>1.0176778363405439E-2</v>
      </c>
      <c r="H102" s="15">
        <v>3.7078554798655413E-3</v>
      </c>
      <c r="I102" s="15">
        <v>-3.1200524199975099E-2</v>
      </c>
      <c r="J102" s="15">
        <v>-2.1863069911369714E-3</v>
      </c>
      <c r="K102" s="15">
        <v>-2.8766552542434282E-2</v>
      </c>
      <c r="L102" s="15">
        <v>-5.0568295877108432E-3</v>
      </c>
      <c r="M102" s="15">
        <v>-4.3195089085192408E-2</v>
      </c>
      <c r="N102" s="15">
        <v>1.5885155754066876E-2</v>
      </c>
      <c r="O102" s="15">
        <v>3.2596093257718797E-2</v>
      </c>
      <c r="P102" s="15">
        <v>-5.278243146038851E-2</v>
      </c>
      <c r="Q102" s="15">
        <v>4.0276208795123052E-2</v>
      </c>
      <c r="R102" s="15">
        <v>-7.8339265035299643E-2</v>
      </c>
    </row>
    <row r="103" spans="1:18" s="7" customFormat="1" x14ac:dyDescent="0.2">
      <c r="A103" s="1"/>
      <c r="B103" s="4">
        <v>37315</v>
      </c>
      <c r="C103" s="15">
        <v>1.2999999999999999E-3</v>
      </c>
      <c r="D103" s="15">
        <v>2.1080873898045118E-3</v>
      </c>
      <c r="E103" s="15">
        <v>6.8062376152321184E-3</v>
      </c>
      <c r="F103" s="15">
        <v>7.5350637906025095E-3</v>
      </c>
      <c r="G103" s="15">
        <v>1.148147054987113E-2</v>
      </c>
      <c r="H103" s="15">
        <v>-3.7800687285223168E-3</v>
      </c>
      <c r="I103" s="15">
        <v>4.3681405058385678E-2</v>
      </c>
      <c r="J103" s="15">
        <v>-3.054052687465238E-2</v>
      </c>
      <c r="K103" s="15">
        <v>-1.0892474121048061E-2</v>
      </c>
      <c r="L103" s="15">
        <v>-1.9215618454662488E-4</v>
      </c>
      <c r="M103" s="15">
        <v>-9.8484255748945537E-2</v>
      </c>
      <c r="N103" s="15">
        <v>2.0793808534345256E-2</v>
      </c>
      <c r="O103" s="15">
        <v>1.5313688038908197E-2</v>
      </c>
      <c r="P103" s="15">
        <v>-1.7142301521706645E-3</v>
      </c>
      <c r="Q103" s="15">
        <v>1.5604134361869994E-3</v>
      </c>
      <c r="R103" s="15">
        <v>4.1333174053279201E-2</v>
      </c>
    </row>
    <row r="104" spans="1:18" s="7" customFormat="1" x14ac:dyDescent="0.2">
      <c r="A104" s="1"/>
      <c r="B104" s="4">
        <v>37346</v>
      </c>
      <c r="C104" s="15">
        <v>1.2999999999999999E-3</v>
      </c>
      <c r="D104" s="15">
        <v>-2.0558424172881923E-2</v>
      </c>
      <c r="E104" s="15">
        <v>-4.5438986821838119E-2</v>
      </c>
      <c r="F104" s="15">
        <v>-1.9164402251802989E-2</v>
      </c>
      <c r="G104" s="15">
        <v>-1.0551978613652655E-2</v>
      </c>
      <c r="H104" s="15">
        <v>-3.0096585029320531E-2</v>
      </c>
      <c r="I104" s="15">
        <v>0.13481788183862622</v>
      </c>
      <c r="J104" s="15">
        <v>2.3018480849806164E-2</v>
      </c>
      <c r="K104" s="15">
        <v>5.0310195923139199E-2</v>
      </c>
      <c r="L104" s="15">
        <v>7.0208145144240869E-2</v>
      </c>
      <c r="M104" s="15">
        <v>8.2030849343169371E-2</v>
      </c>
      <c r="N104" s="15">
        <v>6.8596504166973951E-2</v>
      </c>
      <c r="O104" s="15">
        <v>5.6081619160669047E-2</v>
      </c>
      <c r="P104" s="15">
        <v>5.1560991811525708E-2</v>
      </c>
      <c r="Q104" s="15">
        <v>7.0661092443541393E-2</v>
      </c>
      <c r="R104" s="15">
        <v>5.3457011767076283E-2</v>
      </c>
    </row>
    <row r="105" spans="1:18" s="7" customFormat="1" x14ac:dyDescent="0.2">
      <c r="A105" s="1"/>
      <c r="B105" s="4">
        <v>37376</v>
      </c>
      <c r="C105" s="15">
        <v>1.5E-3</v>
      </c>
      <c r="D105" s="15">
        <v>1.3472615444693891E-2</v>
      </c>
      <c r="E105" s="15">
        <v>3.2093231734648127E-2</v>
      </c>
      <c r="F105" s="15">
        <v>1.350628097172428E-2</v>
      </c>
      <c r="G105" s="15">
        <v>1.9220853351091614E-2</v>
      </c>
      <c r="H105" s="15">
        <v>1.5204054414510606E-2</v>
      </c>
      <c r="I105" s="15">
        <v>1.1069233642321182E-2</v>
      </c>
      <c r="J105" s="15">
        <v>-7.212412691399156E-2</v>
      </c>
      <c r="K105" s="15">
        <v>-5.1096069947395892E-2</v>
      </c>
      <c r="L105" s="15">
        <v>-5.6748796781839811E-3</v>
      </c>
      <c r="M105" s="15">
        <v>-5.8217030523107539E-2</v>
      </c>
      <c r="N105" s="15">
        <v>2.5943640391742701E-2</v>
      </c>
      <c r="O105" s="15">
        <v>4.0150586039205899E-3</v>
      </c>
      <c r="P105" s="15">
        <v>-1.0415663230902509E-2</v>
      </c>
      <c r="Q105" s="15">
        <v>1.1828300337560523E-2</v>
      </c>
      <c r="R105" s="15">
        <v>5.8205752417846306E-2</v>
      </c>
    </row>
    <row r="106" spans="1:18" s="7" customFormat="1" x14ac:dyDescent="0.2">
      <c r="A106" s="1"/>
      <c r="B106" s="4">
        <v>37407</v>
      </c>
      <c r="C106" s="15">
        <v>1.4000000000000002E-3</v>
      </c>
      <c r="D106" s="15">
        <v>9.6329833349382827E-4</v>
      </c>
      <c r="E106" s="15">
        <v>-2.2583166854858935E-3</v>
      </c>
      <c r="F106" s="15">
        <v>1.2891309487815875E-2</v>
      </c>
      <c r="G106" s="15">
        <v>7.1983676730567013E-3</v>
      </c>
      <c r="H106" s="15">
        <v>-4.1163075845156664E-3</v>
      </c>
      <c r="I106" s="15">
        <v>-4.3511312880288928E-2</v>
      </c>
      <c r="J106" s="15">
        <v>-2.0311727321013263E-2</v>
      </c>
      <c r="K106" s="15">
        <v>1.5325525514163041E-3</v>
      </c>
      <c r="L106" s="15">
        <v>-1.9984467562491066E-2</v>
      </c>
      <c r="M106" s="15">
        <v>-7.090540268508333E-2</v>
      </c>
      <c r="N106" s="15">
        <v>-2.0961991254625011E-2</v>
      </c>
      <c r="O106" s="15">
        <v>-1.8586433434040529E-2</v>
      </c>
      <c r="P106" s="15">
        <v>-7.3747237637581155E-3</v>
      </c>
      <c r="Q106" s="15">
        <v>-2.2947257374455073E-2</v>
      </c>
      <c r="R106" s="15">
        <v>6.2294936388164045E-2</v>
      </c>
    </row>
    <row r="107" spans="1:18" s="7" customFormat="1" x14ac:dyDescent="0.2">
      <c r="A107" s="1"/>
      <c r="B107" s="4">
        <v>37437</v>
      </c>
      <c r="C107" s="15">
        <v>1.2999999999999999E-3</v>
      </c>
      <c r="D107" s="15">
        <v>8.0839187758637611E-3</v>
      </c>
      <c r="E107" s="15">
        <v>1.3841734134238734E-2</v>
      </c>
      <c r="F107" s="15">
        <v>-2.5701734623085763E-4</v>
      </c>
      <c r="G107" s="15">
        <v>8.7019700370506523E-3</v>
      </c>
      <c r="H107" s="15">
        <v>1.6445343417465397E-2</v>
      </c>
      <c r="I107" s="15">
        <v>3.4172265755916927E-2</v>
      </c>
      <c r="J107" s="15">
        <v>-8.141708730603843E-2</v>
      </c>
      <c r="K107" s="15">
        <v>-6.4306494880417162E-2</v>
      </c>
      <c r="L107" s="15">
        <v>-7.3366936041207864E-2</v>
      </c>
      <c r="M107" s="15">
        <v>-9.5933333333333246E-2</v>
      </c>
      <c r="N107" s="15">
        <v>-3.3586653290639909E-2</v>
      </c>
      <c r="O107" s="15">
        <v>-7.6608524893150107E-2</v>
      </c>
      <c r="P107" s="15">
        <v>-3.6677039132484636E-2</v>
      </c>
      <c r="Q107" s="15">
        <v>-5.5070297107367473E-2</v>
      </c>
      <c r="R107" s="15">
        <v>-5.2256123257338249E-2</v>
      </c>
    </row>
    <row r="108" spans="1:18" s="7" customFormat="1" x14ac:dyDescent="0.2">
      <c r="A108" s="1"/>
      <c r="B108" s="4">
        <v>37468</v>
      </c>
      <c r="C108" s="15">
        <v>1.5E-3</v>
      </c>
      <c r="D108" s="15">
        <v>1.2792362768496452E-2</v>
      </c>
      <c r="E108" s="15">
        <v>2.5502318392581134E-2</v>
      </c>
      <c r="F108" s="15">
        <v>9.2419862785789089E-4</v>
      </c>
      <c r="G108" s="15">
        <v>1.1945361135406439E-2</v>
      </c>
      <c r="H108" s="15">
        <v>1.5746668973870975E-2</v>
      </c>
      <c r="I108" s="15">
        <v>5.7839327656395443E-3</v>
      </c>
      <c r="J108" s="15">
        <v>-4.8804314643329634E-2</v>
      </c>
      <c r="K108" s="15">
        <v>-0.10936805976176057</v>
      </c>
      <c r="L108" s="15">
        <v>-9.6548363679756596E-2</v>
      </c>
      <c r="M108" s="15">
        <v>-0.14808089373939981</v>
      </c>
      <c r="N108" s="15">
        <v>-9.0510928145841302E-2</v>
      </c>
      <c r="O108" s="15">
        <v>-7.8589031499412099E-2</v>
      </c>
      <c r="P108" s="15">
        <v>-0.11224799433048421</v>
      </c>
      <c r="Q108" s="15">
        <v>-3.8596011485047932E-2</v>
      </c>
      <c r="R108" s="15">
        <v>-6.9488842342078291E-2</v>
      </c>
    </row>
    <row r="109" spans="1:18" s="7" customFormat="1" x14ac:dyDescent="0.2">
      <c r="A109" s="1"/>
      <c r="B109" s="4">
        <v>37499</v>
      </c>
      <c r="C109" s="15">
        <v>1.4000000000000002E-3</v>
      </c>
      <c r="D109" s="15">
        <v>6.7866905457630205E-3</v>
      </c>
      <c r="E109" s="15">
        <v>4.0525831030729202E-2</v>
      </c>
      <c r="F109" s="15">
        <v>2.6277951311418638E-2</v>
      </c>
      <c r="G109" s="15">
        <v>1.0172879946398252E-2</v>
      </c>
      <c r="H109" s="15">
        <v>2.7938671209540043E-2</v>
      </c>
      <c r="I109" s="15">
        <v>6.0480245492903768E-2</v>
      </c>
      <c r="J109" s="15">
        <v>5.3704773519909089E-3</v>
      </c>
      <c r="K109" s="15">
        <v>4.3297894044839955E-3</v>
      </c>
      <c r="L109" s="15">
        <v>5.0411658521551982E-3</v>
      </c>
      <c r="M109" s="15">
        <v>-1.351395215476668E-2</v>
      </c>
      <c r="N109" s="15">
        <v>1.3508865192782741E-2</v>
      </c>
      <c r="O109" s="15">
        <v>1.4469338782104702E-2</v>
      </c>
      <c r="P109" s="15">
        <v>-3.3310141565345893E-3</v>
      </c>
      <c r="Q109" s="15">
        <v>-2.3831291521911414E-2</v>
      </c>
      <c r="R109" s="15">
        <v>-1.0728207770367289E-2</v>
      </c>
    </row>
    <row r="110" spans="1:18" s="7" customFormat="1" x14ac:dyDescent="0.2">
      <c r="A110" s="1"/>
      <c r="B110" s="4">
        <v>37529</v>
      </c>
      <c r="C110" s="15">
        <v>1.4000000000000002E-3</v>
      </c>
      <c r="D110" s="15">
        <v>1.1234903098960797E-2</v>
      </c>
      <c r="E110" s="15">
        <v>3.6694294680936802E-2</v>
      </c>
      <c r="F110" s="15">
        <v>1.952497903201136E-2</v>
      </c>
      <c r="G110" s="15">
        <v>6.8394473438946925E-3</v>
      </c>
      <c r="H110" s="15">
        <v>2.1130261849519365E-2</v>
      </c>
      <c r="I110" s="15">
        <v>4.5664729848604084E-2</v>
      </c>
      <c r="J110" s="15">
        <v>-0.1048778411509321</v>
      </c>
      <c r="K110" s="15">
        <v>-0.1155877573131095</v>
      </c>
      <c r="L110" s="15">
        <v>-8.1382104917314707E-2</v>
      </c>
      <c r="M110" s="15">
        <v>-9.8098142014170636E-2</v>
      </c>
      <c r="N110" s="15">
        <v>-7.2166856931288714E-2</v>
      </c>
      <c r="O110" s="15">
        <v>-0.10967392249887926</v>
      </c>
      <c r="P110" s="15">
        <v>-0.13226869931740989</v>
      </c>
      <c r="Q110" s="15">
        <v>-0.11543144355644357</v>
      </c>
      <c r="R110" s="15">
        <v>-4.7475908357913009E-2</v>
      </c>
    </row>
    <row r="111" spans="1:18" s="7" customFormat="1" x14ac:dyDescent="0.2">
      <c r="A111" s="1"/>
      <c r="B111" s="4">
        <v>37560</v>
      </c>
      <c r="C111" s="15">
        <v>1.4000000000000002E-3</v>
      </c>
      <c r="D111" s="15">
        <v>-5.740209239885238E-3</v>
      </c>
      <c r="E111" s="15">
        <v>-3.4308779011100021E-2</v>
      </c>
      <c r="F111" s="15">
        <v>-1.2768664762928612E-2</v>
      </c>
      <c r="G111" s="15">
        <v>4.6899282585585239E-3</v>
      </c>
      <c r="H111" s="15">
        <v>-2.5561957315588781E-2</v>
      </c>
      <c r="I111" s="15">
        <v>-4.7184979176179268E-2</v>
      </c>
      <c r="J111" s="15">
        <v>9.1512125534950084E-2</v>
      </c>
      <c r="K111" s="15">
        <v>8.0876910905239519E-2</v>
      </c>
      <c r="L111" s="15">
        <v>3.9831185398013905E-2</v>
      </c>
      <c r="M111" s="15">
        <v>6.8211115164781608E-2</v>
      </c>
      <c r="N111" s="15">
        <v>3.799215216812929E-3</v>
      </c>
      <c r="O111" s="15">
        <v>6.4091001330296979E-2</v>
      </c>
      <c r="P111" s="15">
        <v>9.5829545700840554E-2</v>
      </c>
      <c r="Q111" s="15">
        <v>5.3121342062385703E-2</v>
      </c>
      <c r="R111" s="15">
        <v>-6.9706313800606282E-2</v>
      </c>
    </row>
    <row r="112" spans="1:18" s="7" customFormat="1" x14ac:dyDescent="0.2">
      <c r="A112" s="1"/>
      <c r="B112" s="4">
        <v>37590</v>
      </c>
      <c r="C112" s="15">
        <v>1.1999999999999999E-3</v>
      </c>
      <c r="D112" s="15">
        <v>-1.2105410187168238E-2</v>
      </c>
      <c r="E112" s="15">
        <v>-1.7201189614982723E-2</v>
      </c>
      <c r="F112" s="15">
        <v>1.3627833230384237E-2</v>
      </c>
      <c r="G112" s="15">
        <v>1.8711234825997017E-3</v>
      </c>
      <c r="H112" s="15">
        <v>-1.9986675549633153E-3</v>
      </c>
      <c r="I112" s="15">
        <v>-2.1724356256208051E-3</v>
      </c>
      <c r="J112" s="15">
        <v>4.7419895880981902E-2</v>
      </c>
      <c r="K112" s="15">
        <v>6.771817151492257E-2</v>
      </c>
      <c r="L112" s="15">
        <v>5.8495757853703256E-2</v>
      </c>
      <c r="M112" s="15">
        <v>0.11798859276631107</v>
      </c>
      <c r="N112" s="15">
        <v>4.1624912004637867E-2</v>
      </c>
      <c r="O112" s="15">
        <v>6.7795353173636205E-2</v>
      </c>
      <c r="P112" s="15">
        <v>4.8007306446077189E-2</v>
      </c>
      <c r="Q112" s="15">
        <v>4.9073381069940462E-2</v>
      </c>
      <c r="R112" s="15">
        <v>3.9951429076656296E-2</v>
      </c>
    </row>
    <row r="113" spans="1:18" s="7" customFormat="1" x14ac:dyDescent="0.2">
      <c r="A113" s="1"/>
      <c r="B113" s="4">
        <v>37621</v>
      </c>
      <c r="C113" s="15">
        <v>1.1000000000000001E-3</v>
      </c>
      <c r="D113" s="15">
        <v>1.2536525591478916E-2</v>
      </c>
      <c r="E113" s="15">
        <v>3.6885581091028095E-2</v>
      </c>
      <c r="F113" s="15">
        <v>3.116349188851817E-2</v>
      </c>
      <c r="G113" s="15">
        <v>8.8344346077136697E-3</v>
      </c>
      <c r="H113" s="15">
        <v>2.6118157543391151E-2</v>
      </c>
      <c r="I113" s="15">
        <v>8.5311119260928145E-2</v>
      </c>
      <c r="J113" s="15">
        <v>-6.6609824065216552E-2</v>
      </c>
      <c r="K113" s="15">
        <v>-5.3560371517027798E-2</v>
      </c>
      <c r="L113" s="15">
        <v>-4.2026819176360947E-2</v>
      </c>
      <c r="M113" s="15">
        <v>-8.6361923770149535E-2</v>
      </c>
      <c r="N113" s="15">
        <v>-1.3150885339227614E-2</v>
      </c>
      <c r="O113" s="15">
        <v>-3.3959743086010533E-2</v>
      </c>
      <c r="P113" s="15">
        <v>-3.7002457875303367E-2</v>
      </c>
      <c r="Q113" s="15">
        <v>-6.9325538802283065E-2</v>
      </c>
      <c r="R113" s="15">
        <v>-2.5547068001759102E-2</v>
      </c>
    </row>
    <row r="114" spans="1:18" s="7" customFormat="1" x14ac:dyDescent="0.2">
      <c r="A114" s="1"/>
      <c r="B114" s="4">
        <v>37652</v>
      </c>
      <c r="C114" s="15">
        <v>1E-3</v>
      </c>
      <c r="D114" s="15">
        <v>-7.2612176503444531E-3</v>
      </c>
      <c r="E114" s="15">
        <v>-8.9919545669664026E-3</v>
      </c>
      <c r="F114" s="15">
        <v>3.4630261729496526E-3</v>
      </c>
      <c r="G114" s="15">
        <v>3.1030375485124077E-3</v>
      </c>
      <c r="H114" s="15">
        <v>1.4637716516224023E-3</v>
      </c>
      <c r="I114" s="15">
        <v>8.9911927825872345E-2</v>
      </c>
      <c r="J114" s="15">
        <v>-2.6023215916939488E-2</v>
      </c>
      <c r="K114" s="15">
        <v>-2.8786391887471362E-2</v>
      </c>
      <c r="L114" s="15">
        <v>-2.9318649510413675E-2</v>
      </c>
      <c r="M114" s="15">
        <v>-1.4366599050400108E-2</v>
      </c>
      <c r="N114" s="15">
        <v>-3.2259883819299499E-2</v>
      </c>
      <c r="O114" s="15">
        <v>-5.6557910233148807E-3</v>
      </c>
      <c r="P114" s="15">
        <v>-4.801676644221483E-2</v>
      </c>
      <c r="Q114" s="15">
        <v>1.1796136221918456E-2</v>
      </c>
      <c r="R114" s="15">
        <v>-4.0599431951919923E-2</v>
      </c>
    </row>
    <row r="115" spans="1:18" s="7" customFormat="1" x14ac:dyDescent="0.2">
      <c r="A115" s="1"/>
      <c r="B115" s="4">
        <v>37680</v>
      </c>
      <c r="C115" s="15">
        <v>8.9999999999999998E-4</v>
      </c>
      <c r="D115" s="15">
        <v>6.5641410352588418E-3</v>
      </c>
      <c r="E115" s="15">
        <v>2.7141037886023647E-2</v>
      </c>
      <c r="F115" s="15">
        <v>2.0860998200939451E-2</v>
      </c>
      <c r="G115" s="15">
        <v>7.071968452185288E-3</v>
      </c>
      <c r="H115" s="15">
        <v>9.9066179455947929E-3</v>
      </c>
      <c r="I115" s="15">
        <v>0.12122479712206148</v>
      </c>
      <c r="J115" s="15">
        <v>-4.5979640855542663E-3</v>
      </c>
      <c r="K115" s="15">
        <v>-2.9639609296059261E-2</v>
      </c>
      <c r="L115" s="15">
        <v>-2.3879136623606564E-2</v>
      </c>
      <c r="M115" s="15">
        <v>-2.580484660703589E-2</v>
      </c>
      <c r="N115" s="15">
        <v>-3.2769142390915322E-2</v>
      </c>
      <c r="O115" s="15">
        <v>-3.1504142019983535E-2</v>
      </c>
      <c r="P115" s="15">
        <v>-3.4875483624870661E-2</v>
      </c>
      <c r="Q115" s="15">
        <v>-4.9088287677041903E-2</v>
      </c>
      <c r="R115" s="15">
        <v>5.6526264758818652E-3</v>
      </c>
    </row>
    <row r="116" spans="1:18" s="7" customFormat="1" x14ac:dyDescent="0.2">
      <c r="A116" s="1"/>
      <c r="B116" s="4">
        <v>37711</v>
      </c>
      <c r="C116" s="15">
        <v>1E-3</v>
      </c>
      <c r="D116" s="15">
        <v>-4.4717719396311154E-3</v>
      </c>
      <c r="E116" s="15">
        <v>-1.6737698566447197E-2</v>
      </c>
      <c r="F116" s="15">
        <v>9.0466545750644118E-4</v>
      </c>
      <c r="G116" s="15">
        <v>-1.0268057205255693E-4</v>
      </c>
      <c r="H116" s="15">
        <v>-1.1015518211787445E-2</v>
      </c>
      <c r="I116" s="15">
        <v>-0.14411150223408273</v>
      </c>
      <c r="J116" s="15">
        <v>1.9143264236797446E-2</v>
      </c>
      <c r="K116" s="15">
        <v>-2.8759855209005429E-3</v>
      </c>
      <c r="L116" s="15">
        <v>8.0549887230157869E-3</v>
      </c>
      <c r="M116" s="15">
        <v>1.2257547793989692E-2</v>
      </c>
      <c r="N116" s="15">
        <v>8.3493290410324532E-4</v>
      </c>
      <c r="O116" s="15">
        <v>-3.2070333608259199E-2</v>
      </c>
      <c r="P116" s="15">
        <v>-1.9072892552650923E-2</v>
      </c>
      <c r="Q116" s="15">
        <v>-4.7935879369496226E-2</v>
      </c>
      <c r="R116" s="15">
        <v>-4.9696415339466463E-2</v>
      </c>
    </row>
    <row r="117" spans="1:18" s="7" customFormat="1" x14ac:dyDescent="0.2">
      <c r="A117" s="1"/>
      <c r="B117" s="4">
        <v>37741</v>
      </c>
      <c r="C117" s="15">
        <v>1E-3</v>
      </c>
      <c r="D117" s="15">
        <v>-1.1229646266141713E-3</v>
      </c>
      <c r="E117" s="15">
        <v>4.7285050043345302E-3</v>
      </c>
      <c r="F117" s="15">
        <v>1.9010907115139673E-2</v>
      </c>
      <c r="G117" s="15">
        <v>4.7768774416336183E-3</v>
      </c>
      <c r="H117" s="15">
        <v>3.2520325203257117E-4</v>
      </c>
      <c r="I117" s="15">
        <v>-6.137163750862186E-2</v>
      </c>
      <c r="J117" s="15">
        <v>6.5821814327913938E-2</v>
      </c>
      <c r="K117" s="15">
        <v>9.7294743647123164E-2</v>
      </c>
      <c r="L117" s="15">
        <v>7.1264531098326159E-2</v>
      </c>
      <c r="M117" s="15">
        <v>9.3639272076782784E-2</v>
      </c>
      <c r="N117" s="15">
        <v>0.10222405696888395</v>
      </c>
      <c r="O117" s="15">
        <v>8.4104941105605902E-2</v>
      </c>
      <c r="P117" s="15">
        <v>0.1291798095150386</v>
      </c>
      <c r="Q117" s="15">
        <v>3.1676044990975587E-2</v>
      </c>
      <c r="R117" s="15">
        <v>-7.8877667050260957E-3</v>
      </c>
    </row>
    <row r="118" spans="1:18" s="7" customFormat="1" x14ac:dyDescent="0.2">
      <c r="A118" s="1"/>
      <c r="B118" s="4">
        <v>37772</v>
      </c>
      <c r="C118" s="15">
        <v>8.9999999999999998E-4</v>
      </c>
      <c r="D118" s="15">
        <v>1.0773842982949141E-2</v>
      </c>
      <c r="E118" s="15">
        <v>5.2710016471880138E-2</v>
      </c>
      <c r="F118" s="15">
        <v>3.1745574259986864E-2</v>
      </c>
      <c r="G118" s="15">
        <v>3.7026900151226443E-3</v>
      </c>
      <c r="H118" s="15">
        <v>3.234720416124829E-2</v>
      </c>
      <c r="I118" s="15">
        <v>9.5878885228346811E-2</v>
      </c>
      <c r="J118" s="15">
        <v>3.1460246265814756E-2</v>
      </c>
      <c r="K118" s="15">
        <v>7.1083818630894399E-2</v>
      </c>
      <c r="L118" s="15">
        <v>8.1519216743651493E-2</v>
      </c>
      <c r="M118" s="15">
        <v>0.10737839849852691</v>
      </c>
      <c r="N118" s="15">
        <v>9.257958801498116E-2</v>
      </c>
      <c r="O118" s="15">
        <v>6.8673221170459958E-2</v>
      </c>
      <c r="P118" s="15">
        <v>5.9972632098832537E-2</v>
      </c>
      <c r="Q118" s="15">
        <v>8.1565199493925225E-2</v>
      </c>
      <c r="R118" s="15">
        <v>4.8050642379595637E-2</v>
      </c>
    </row>
    <row r="119" spans="1:18" s="7" customFormat="1" x14ac:dyDescent="0.2">
      <c r="A119" s="1"/>
      <c r="B119" s="4">
        <v>37802</v>
      </c>
      <c r="C119" s="15">
        <v>1E-3</v>
      </c>
      <c r="D119" s="15">
        <v>-5.931967744925392E-3</v>
      </c>
      <c r="E119" s="15">
        <v>-1.9819685567394354E-2</v>
      </c>
      <c r="F119" s="15">
        <v>-1.5154636655363627E-3</v>
      </c>
      <c r="G119" s="15">
        <v>-6.1268111846235701E-4</v>
      </c>
      <c r="H119" s="15">
        <v>-2.2122500393638705E-2</v>
      </c>
      <c r="I119" s="15">
        <v>2.1936165757645708E-3</v>
      </c>
      <c r="J119" s="15">
        <v>1.6757943100937294E-2</v>
      </c>
      <c r="K119" s="15">
        <v>5.9025133282559457E-3</v>
      </c>
      <c r="L119" s="15">
        <v>1.2373430331763254E-2</v>
      </c>
      <c r="M119" s="15">
        <v>1.6304656579620151E-2</v>
      </c>
      <c r="N119" s="15">
        <v>1.3069094804499163E-2</v>
      </c>
      <c r="O119" s="15">
        <v>5.4679871669689094E-2</v>
      </c>
      <c r="P119" s="15">
        <v>6.9710354173056774E-3</v>
      </c>
      <c r="Q119" s="15">
        <v>5.636183514582991E-2</v>
      </c>
      <c r="R119" s="15">
        <v>7.3467745811488502E-2</v>
      </c>
    </row>
    <row r="120" spans="1:18" s="7" customFormat="1" x14ac:dyDescent="0.2">
      <c r="A120" s="1"/>
      <c r="B120" s="4">
        <v>37833</v>
      </c>
      <c r="C120" s="15">
        <v>7.000000000000001E-4</v>
      </c>
      <c r="D120" s="15">
        <v>-2.8717948717948701E-2</v>
      </c>
      <c r="E120" s="15">
        <v>-9.8061573546180197E-2</v>
      </c>
      <c r="F120" s="15">
        <v>-4.2212018311085682E-2</v>
      </c>
      <c r="G120" s="15">
        <v>-1.9820728397737519E-2</v>
      </c>
      <c r="H120" s="15">
        <v>-5.5148538764994835E-2</v>
      </c>
      <c r="I120" s="15">
        <v>7.1211111221657604E-3</v>
      </c>
      <c r="J120" s="15">
        <v>1.2386524107323065E-2</v>
      </c>
      <c r="K120" s="15">
        <v>2.0085389193850198E-2</v>
      </c>
      <c r="L120" s="15">
        <v>3.5071960598292207E-2</v>
      </c>
      <c r="M120" s="15">
        <v>6.1274875158381134E-2</v>
      </c>
      <c r="N120" s="15">
        <v>3.4563462690775773E-2</v>
      </c>
      <c r="O120" s="15">
        <v>5.9936756802250774E-2</v>
      </c>
      <c r="P120" s="15">
        <v>1.884421577242603E-2</v>
      </c>
      <c r="Q120" s="15">
        <v>8.3364682070818166E-2</v>
      </c>
      <c r="R120" s="15">
        <v>4.0557050717473266E-2</v>
      </c>
    </row>
    <row r="121" spans="1:18" s="7" customFormat="1" x14ac:dyDescent="0.2">
      <c r="A121" s="1"/>
      <c r="B121" s="4">
        <v>37864</v>
      </c>
      <c r="C121" s="15">
        <v>7.000000000000001E-4</v>
      </c>
      <c r="D121" s="15">
        <v>-2.2079293462609578E-3</v>
      </c>
      <c r="E121" s="15">
        <v>1.01980615254951E-2</v>
      </c>
      <c r="F121" s="15">
        <v>7.5435433330192699E-3</v>
      </c>
      <c r="G121" s="15">
        <v>1.0285629717330316E-2</v>
      </c>
      <c r="H121" s="15">
        <v>-4.2603953646898436E-3</v>
      </c>
      <c r="I121" s="15">
        <v>4.0862963594109236E-2</v>
      </c>
      <c r="J121" s="15">
        <v>1.618045592220629E-2</v>
      </c>
      <c r="K121" s="15">
        <v>1.9566203455527627E-2</v>
      </c>
      <c r="L121" s="15">
        <v>4.3692775724719107E-2</v>
      </c>
      <c r="M121" s="15">
        <v>5.3593531905928166E-2</v>
      </c>
      <c r="N121" s="15">
        <v>2.8795704493111102E-2</v>
      </c>
      <c r="O121" s="15">
        <v>6.4924678978175068E-2</v>
      </c>
      <c r="P121" s="15">
        <v>-4.9999583336806236E-3</v>
      </c>
      <c r="Q121" s="15">
        <v>7.0601699018442751E-2</v>
      </c>
      <c r="R121" s="15">
        <v>0.10522701686343629</v>
      </c>
    </row>
    <row r="122" spans="1:18" s="7" customFormat="1" x14ac:dyDescent="0.2">
      <c r="A122" s="1"/>
      <c r="B122" s="4">
        <v>37894</v>
      </c>
      <c r="C122" s="15">
        <v>8.0000000000000004E-4</v>
      </c>
      <c r="D122" s="15">
        <v>1.8664614200500269E-2</v>
      </c>
      <c r="E122" s="15">
        <v>4.8556649424328448E-2</v>
      </c>
      <c r="F122" s="15">
        <v>3.6007488513915623E-2</v>
      </c>
      <c r="G122" s="15">
        <v>1.5824186555893793E-2</v>
      </c>
      <c r="H122" s="15">
        <v>1.805579325688858E-2</v>
      </c>
      <c r="I122" s="15">
        <v>-4.0836611083521344E-2</v>
      </c>
      <c r="J122" s="15">
        <v>-4.4513295160405492E-3</v>
      </c>
      <c r="K122" s="15">
        <v>-1.9392934419930792E-2</v>
      </c>
      <c r="L122" s="15">
        <v>-1.6339991404921622E-2</v>
      </c>
      <c r="M122" s="15">
        <v>-1.8422236664500428E-2</v>
      </c>
      <c r="N122" s="15">
        <v>-1.7425687490065137E-2</v>
      </c>
      <c r="O122" s="15">
        <v>5.6348830149286723E-3</v>
      </c>
      <c r="P122" s="15">
        <v>1.9533965377174507E-2</v>
      </c>
      <c r="Q122" s="15">
        <v>2.4302557707153367E-3</v>
      </c>
      <c r="R122" s="15">
        <v>5.5816905276799327E-2</v>
      </c>
    </row>
    <row r="123" spans="1:18" s="7" customFormat="1" x14ac:dyDescent="0.2">
      <c r="A123" s="1"/>
      <c r="B123" s="4">
        <v>37925</v>
      </c>
      <c r="C123" s="15">
        <v>7.000000000000001E-4</v>
      </c>
      <c r="D123" s="15">
        <v>-1.5205893464299201E-2</v>
      </c>
      <c r="E123" s="15">
        <v>-3.3418204964990469E-2</v>
      </c>
      <c r="F123" s="15">
        <v>-1.1235538441842058E-2</v>
      </c>
      <c r="G123" s="15">
        <v>-3.7450643776824519E-3</v>
      </c>
      <c r="H123" s="15">
        <v>-2.8326468857695138E-2</v>
      </c>
      <c r="I123" s="15">
        <v>2.1906927038753961E-2</v>
      </c>
      <c r="J123" s="15">
        <v>4.3766865606964821E-2</v>
      </c>
      <c r="K123" s="15">
        <v>6.6299595809618153E-2</v>
      </c>
      <c r="L123" s="15">
        <v>7.4509207989438414E-2</v>
      </c>
      <c r="M123" s="15">
        <v>8.989279075097413E-2</v>
      </c>
      <c r="N123" s="15">
        <v>7.5266425350346861E-2</v>
      </c>
      <c r="O123" s="15">
        <v>8.3363786099768536E-2</v>
      </c>
      <c r="P123" s="15">
        <v>6.6081918783570961E-2</v>
      </c>
      <c r="Q123" s="15">
        <v>8.4000565077310879E-2</v>
      </c>
      <c r="R123" s="15">
        <v>4.5699042862331063E-2</v>
      </c>
    </row>
    <row r="124" spans="1:18" s="7" customFormat="1" x14ac:dyDescent="0.2">
      <c r="A124" s="1"/>
      <c r="B124" s="4">
        <v>37955</v>
      </c>
      <c r="C124" s="15">
        <v>7.000000000000001E-4</v>
      </c>
      <c r="D124" s="15">
        <v>-4.9870528435791315E-3</v>
      </c>
      <c r="E124" s="15">
        <v>7.4086269344750917E-4</v>
      </c>
      <c r="F124" s="15">
        <v>4.5417463541853678E-3</v>
      </c>
      <c r="G124" s="15">
        <v>3.5902698259663822E-3</v>
      </c>
      <c r="H124" s="15">
        <v>-1.7301038062283983E-3</v>
      </c>
      <c r="I124" s="15">
        <v>2.5589830202395279E-2</v>
      </c>
      <c r="J124" s="15">
        <v>7.3786114623239458E-3</v>
      </c>
      <c r="K124" s="15">
        <v>6.8656081381630232E-3</v>
      </c>
      <c r="L124" s="15">
        <v>3.3358672017253885E-2</v>
      </c>
      <c r="M124" s="15">
        <v>3.1542793055912517E-2</v>
      </c>
      <c r="N124" s="15">
        <v>4.182573862674667E-2</v>
      </c>
      <c r="O124" s="15">
        <v>1.0290505114698751E-2</v>
      </c>
      <c r="P124" s="15">
        <v>4.0978711682087332E-2</v>
      </c>
      <c r="Q124" s="15">
        <v>-1.5995997847581919E-2</v>
      </c>
      <c r="R124" s="15">
        <v>-3.0977234413567516E-2</v>
      </c>
    </row>
    <row r="125" spans="1:18" s="7" customFormat="1" x14ac:dyDescent="0.2">
      <c r="A125" s="1"/>
      <c r="B125" s="4">
        <v>37986</v>
      </c>
      <c r="C125" s="15">
        <v>8.0000000000000004E-4</v>
      </c>
      <c r="D125" s="15">
        <v>3.5662650602410078E-3</v>
      </c>
      <c r="E125" s="15">
        <v>6.9095994077485326E-3</v>
      </c>
      <c r="F125" s="15">
        <v>1.334458412455143E-2</v>
      </c>
      <c r="G125" s="15">
        <v>8.7576965738442019E-3</v>
      </c>
      <c r="H125" s="15">
        <v>8.2322357019064367E-3</v>
      </c>
      <c r="I125" s="15">
        <v>6.2450196946293973E-2</v>
      </c>
      <c r="J125" s="15">
        <v>4.1343524034318561E-2</v>
      </c>
      <c r="K125" s="15">
        <v>6.0139833275709841E-2</v>
      </c>
      <c r="L125" s="15">
        <v>1.6465939028980053E-2</v>
      </c>
      <c r="M125" s="15">
        <v>1.3212832302732414E-3</v>
      </c>
      <c r="N125" s="15">
        <v>4.4262324674621337E-2</v>
      </c>
      <c r="O125" s="15">
        <v>7.1258694731748701E-2</v>
      </c>
      <c r="P125" s="15">
        <v>8.1864083562876999E-2</v>
      </c>
      <c r="Q125" s="15">
        <v>5.1301550410779863E-2</v>
      </c>
      <c r="R125" s="15">
        <v>6.8927271820946046E-2</v>
      </c>
    </row>
    <row r="126" spans="1:18" s="7" customFormat="1" x14ac:dyDescent="0.2">
      <c r="A126" s="1"/>
      <c r="B126" s="4">
        <v>38017</v>
      </c>
      <c r="C126" s="15">
        <v>7.000000000000001E-4</v>
      </c>
      <c r="D126" s="15">
        <v>1.1525163273146805E-3</v>
      </c>
      <c r="E126" s="15">
        <v>1.3479290907605634E-2</v>
      </c>
      <c r="F126" s="15">
        <v>1.0636005610628434E-2</v>
      </c>
      <c r="G126" s="15">
        <v>6.4391215356528718E-3</v>
      </c>
      <c r="H126" s="15">
        <v>-8.5947571981135492E-5</v>
      </c>
      <c r="I126" s="15">
        <v>3.9180053629307978E-3</v>
      </c>
      <c r="J126" s="15">
        <v>1.860080231700522E-2</v>
      </c>
      <c r="K126" s="15">
        <v>1.5962169115648624E-2</v>
      </c>
      <c r="L126" s="15">
        <v>2.1189400250772147E-2</v>
      </c>
      <c r="M126" s="15">
        <v>3.6268492406991232E-2</v>
      </c>
      <c r="N126" s="15">
        <v>3.0764000530115819E-2</v>
      </c>
      <c r="O126" s="15">
        <v>3.255130110348755E-2</v>
      </c>
      <c r="P126" s="15">
        <v>1.1090936614544689E-2</v>
      </c>
      <c r="Q126" s="15">
        <v>6.4614446814995452E-2</v>
      </c>
      <c r="R126" s="15">
        <v>1.8067735354124228E-2</v>
      </c>
    </row>
    <row r="127" spans="1:18" s="7" customFormat="1" x14ac:dyDescent="0.2">
      <c r="A127" s="1"/>
      <c r="B127" s="4">
        <v>38046</v>
      </c>
      <c r="C127" s="15">
        <v>5.9999999999999995E-4</v>
      </c>
      <c r="D127" s="15">
        <v>4.7006907137374793E-3</v>
      </c>
      <c r="E127" s="15">
        <v>1.5476382395615038E-2</v>
      </c>
      <c r="F127" s="15">
        <v>1.1433287482806068E-2</v>
      </c>
      <c r="G127" s="15">
        <v>8.3834289865050097E-3</v>
      </c>
      <c r="H127" s="15">
        <v>1.0314595152140303E-2</v>
      </c>
      <c r="I127" s="15">
        <v>7.4204021946904827E-2</v>
      </c>
      <c r="J127" s="15">
        <v>3.638097592850865E-3</v>
      </c>
      <c r="K127" s="15">
        <v>2.0704782965367218E-2</v>
      </c>
      <c r="L127" s="15">
        <v>2.2554408286705605E-2</v>
      </c>
      <c r="M127" s="15">
        <v>9.9467372955353E-3</v>
      </c>
      <c r="N127" s="15">
        <v>2.7592992184966903E-2</v>
      </c>
      <c r="O127" s="15">
        <v>4.4928705945655088E-2</v>
      </c>
      <c r="P127" s="15">
        <v>2.7845283117819152E-2</v>
      </c>
      <c r="Q127" s="15">
        <v>3.5946178070426459E-2</v>
      </c>
      <c r="R127" s="15">
        <v>-3.1377126029318186E-3</v>
      </c>
    </row>
    <row r="128" spans="1:18" s="7" customFormat="1" x14ac:dyDescent="0.2">
      <c r="A128" s="1"/>
      <c r="B128" s="4">
        <v>38077</v>
      </c>
      <c r="C128" s="15">
        <v>8.9999999999999998E-4</v>
      </c>
      <c r="D128" s="15">
        <v>2.8645087367516198E-3</v>
      </c>
      <c r="E128" s="15">
        <v>7.6202571836798995E-3</v>
      </c>
      <c r="F128" s="15">
        <v>1.0579182714276384E-2</v>
      </c>
      <c r="G128" s="15">
        <v>4.3472244933898275E-3</v>
      </c>
      <c r="H128" s="15">
        <v>1.7015484090518988E-4</v>
      </c>
      <c r="I128" s="15">
        <v>2.0095887563560622E-2</v>
      </c>
      <c r="J128" s="15">
        <v>-2.463530943708318E-2</v>
      </c>
      <c r="K128" s="15">
        <v>-8.2991176727526851E-3</v>
      </c>
      <c r="L128" s="15">
        <v>5.7459222487266145E-3</v>
      </c>
      <c r="M128" s="15">
        <v>3.4150101945979502E-3</v>
      </c>
      <c r="N128" s="15">
        <v>7.3223009215436872E-3</v>
      </c>
      <c r="O128" s="15">
        <v>9.0636591226880003E-3</v>
      </c>
      <c r="P128" s="15">
        <v>-3.4954284726737186E-2</v>
      </c>
      <c r="Q128" s="15">
        <v>-2.2609362103525408E-2</v>
      </c>
      <c r="R128" s="15">
        <v>0.12946974845480955</v>
      </c>
    </row>
    <row r="129" spans="1:18" s="7" customFormat="1" x14ac:dyDescent="0.2">
      <c r="A129" s="1"/>
      <c r="B129" s="4">
        <v>38107</v>
      </c>
      <c r="C129" s="15">
        <v>8.0000000000000004E-4</v>
      </c>
      <c r="D129" s="15">
        <v>-2.6659049795296555E-2</v>
      </c>
      <c r="E129" s="15">
        <v>-5.9319363478808895E-2</v>
      </c>
      <c r="F129" s="15">
        <v>-3.1074928911802184E-2</v>
      </c>
      <c r="G129" s="15">
        <v>-1.7423845820506469E-2</v>
      </c>
      <c r="H129" s="15">
        <v>-3.4450493365090144E-2</v>
      </c>
      <c r="I129" s="15">
        <v>2.7580199996889987E-2</v>
      </c>
      <c r="J129" s="15">
        <v>-6.729329412401279E-3</v>
      </c>
      <c r="K129" s="15">
        <v>-2.6356589147286884E-2</v>
      </c>
      <c r="L129" s="15">
        <v>-3.3950048477175573E-2</v>
      </c>
      <c r="M129" s="15">
        <v>-3.4902673167089025E-2</v>
      </c>
      <c r="N129" s="15">
        <v>-6.793290417350728E-2</v>
      </c>
      <c r="O129" s="15">
        <v>-8.4559662450058234E-2</v>
      </c>
      <c r="P129" s="15">
        <v>-1.2311368380837942E-2</v>
      </c>
      <c r="Q129" s="15">
        <v>-6.060937358627147E-2</v>
      </c>
      <c r="R129" s="15">
        <v>-5.4414307392505357E-2</v>
      </c>
    </row>
    <row r="130" spans="1:18" s="7" customFormat="1" x14ac:dyDescent="0.2">
      <c r="A130" s="1"/>
      <c r="B130" s="4">
        <v>38138</v>
      </c>
      <c r="C130" s="15">
        <v>5.9999999999999995E-4</v>
      </c>
      <c r="D130" s="15">
        <v>-6.7494864521177511E-3</v>
      </c>
      <c r="E130" s="15">
        <v>-1.3064232476341916E-2</v>
      </c>
      <c r="F130" s="15">
        <v>-7.0840326972449437E-3</v>
      </c>
      <c r="G130" s="15">
        <v>-3.0098546823124016E-3</v>
      </c>
      <c r="H130" s="15">
        <v>-1.2686106950929412E-2</v>
      </c>
      <c r="I130" s="15">
        <v>4.6268258381698756E-2</v>
      </c>
      <c r="J130" s="15">
        <v>1.4639639639639539E-2</v>
      </c>
      <c r="K130" s="15">
        <v>9.5903300521136148E-3</v>
      </c>
      <c r="L130" s="15">
        <v>1.9325835241033769E-2</v>
      </c>
      <c r="M130" s="15">
        <v>1.5623605035264707E-2</v>
      </c>
      <c r="N130" s="15">
        <v>1.7052071684753856E-2</v>
      </c>
      <c r="O130" s="15">
        <v>-2.2741950468956423E-2</v>
      </c>
      <c r="P130" s="15">
        <v>1.1051450546053859E-2</v>
      </c>
      <c r="Q130" s="15">
        <v>-2.7474225356069346E-2</v>
      </c>
      <c r="R130" s="15">
        <v>-3.5557708673403174E-2</v>
      </c>
    </row>
    <row r="131" spans="1:18" s="7" customFormat="1" x14ac:dyDescent="0.2">
      <c r="A131" s="1"/>
      <c r="B131" s="4">
        <v>38168</v>
      </c>
      <c r="C131" s="15">
        <v>8.0000000000000004E-4</v>
      </c>
      <c r="D131" s="15">
        <v>-5.9090013787672121E-4</v>
      </c>
      <c r="E131" s="15">
        <v>-3.6487059821807958E-3</v>
      </c>
      <c r="F131" s="15">
        <v>4.8601270948763877E-3</v>
      </c>
      <c r="G131" s="15">
        <v>8.9605108505452936E-3</v>
      </c>
      <c r="H131" s="15">
        <v>-4.0153475506380194E-3</v>
      </c>
      <c r="I131" s="15">
        <v>-4.7000090349389137E-2</v>
      </c>
      <c r="J131" s="15">
        <v>1.5645698328022643E-2</v>
      </c>
      <c r="K131" s="15">
        <v>2.0270996881384996E-2</v>
      </c>
      <c r="L131" s="15">
        <v>2.3312773609777421E-2</v>
      </c>
      <c r="M131" s="15">
        <v>2.8634845288326237E-2</v>
      </c>
      <c r="N131" s="15">
        <v>3.9576829296082784E-2</v>
      </c>
      <c r="O131" s="15">
        <v>2.1726881276621342E-3</v>
      </c>
      <c r="P131" s="15">
        <v>1.0889661055883766E-2</v>
      </c>
      <c r="Q131" s="15">
        <v>-1.1438805280337352E-2</v>
      </c>
      <c r="R131" s="15">
        <v>5.3532426375069588E-2</v>
      </c>
    </row>
    <row r="132" spans="1:18" s="7" customFormat="1" x14ac:dyDescent="0.2">
      <c r="A132" s="1"/>
      <c r="B132" s="4">
        <v>38199</v>
      </c>
      <c r="C132" s="15">
        <v>1E-3</v>
      </c>
      <c r="D132" s="15">
        <v>2.4635396137169885E-3</v>
      </c>
      <c r="E132" s="15">
        <v>2.5464145801396651E-2</v>
      </c>
      <c r="F132" s="15">
        <v>1.1952695916539238E-2</v>
      </c>
      <c r="G132" s="15">
        <v>9.741740808196302E-3</v>
      </c>
      <c r="H132" s="15">
        <v>7.5255330585916802E-3</v>
      </c>
      <c r="I132" s="15">
        <v>7.752723482667688E-2</v>
      </c>
      <c r="J132" s="15">
        <v>-4.7765087422447866E-2</v>
      </c>
      <c r="K132" s="15">
        <v>-2.0816864295125203E-2</v>
      </c>
      <c r="L132" s="15">
        <v>-4.687537273674236E-2</v>
      </c>
      <c r="M132" s="15">
        <v>-6.0845600017091495E-2</v>
      </c>
      <c r="N132" s="15">
        <v>-5.4630943834632933E-2</v>
      </c>
      <c r="O132" s="15">
        <v>-2.0962517353077286E-2</v>
      </c>
      <c r="P132" s="15">
        <v>-2.8403297597254917E-2</v>
      </c>
      <c r="Q132" s="15">
        <v>-2.9925572192468771E-2</v>
      </c>
      <c r="R132" s="15">
        <v>-5.9302211352149775E-2</v>
      </c>
    </row>
    <row r="133" spans="1:18" s="7" customFormat="1" x14ac:dyDescent="0.2">
      <c r="A133" s="1"/>
      <c r="B133" s="4">
        <v>38230</v>
      </c>
      <c r="C133" s="15">
        <v>1.1000000000000001E-3</v>
      </c>
      <c r="D133" s="15">
        <v>1.1501032143910368E-2</v>
      </c>
      <c r="E133" s="15">
        <v>3.1724939789054128E-2</v>
      </c>
      <c r="F133" s="15">
        <v>2.358314075052273E-2</v>
      </c>
      <c r="G133" s="15">
        <v>1.5354252976648481E-2</v>
      </c>
      <c r="H133" s="15">
        <v>2.5786946469855871E-2</v>
      </c>
      <c r="I133" s="15">
        <v>-3.8830247061496292E-2</v>
      </c>
      <c r="J133" s="15">
        <v>-4.516343982526822E-3</v>
      </c>
      <c r="K133" s="15">
        <v>8.8805166846071867E-3</v>
      </c>
      <c r="L133" s="15">
        <v>-3.8543682840553608E-3</v>
      </c>
      <c r="M133" s="15">
        <v>-1.230692235947134E-2</v>
      </c>
      <c r="N133" s="15">
        <v>9.1414990435336966E-3</v>
      </c>
      <c r="O133" s="15">
        <v>3.924469442737627E-2</v>
      </c>
      <c r="P133" s="15">
        <v>-2.5709734747179319E-3</v>
      </c>
      <c r="Q133" s="15">
        <v>4.8762435884195765E-2</v>
      </c>
      <c r="R133" s="15">
        <v>7.1057471657584815E-3</v>
      </c>
    </row>
    <row r="134" spans="1:18" s="7" customFormat="1" x14ac:dyDescent="0.2">
      <c r="A134" s="1"/>
      <c r="B134" s="4">
        <v>38260</v>
      </c>
      <c r="C134" s="15">
        <v>1.1000000000000001E-3</v>
      </c>
      <c r="D134" s="15">
        <v>-3.1098153547133855E-3</v>
      </c>
      <c r="E134" s="15">
        <v>1.8514046526604199E-3</v>
      </c>
      <c r="F134" s="15">
        <v>5.2264199628009123E-3</v>
      </c>
      <c r="G134" s="15">
        <v>1.300202610787234E-3</v>
      </c>
      <c r="H134" s="15">
        <v>6.0679611650485688E-3</v>
      </c>
      <c r="I134" s="15">
        <v>0.12613916485254778</v>
      </c>
      <c r="J134" s="15">
        <v>8.7389833029622094E-4</v>
      </c>
      <c r="K134" s="15">
        <v>1.7497999466524462E-2</v>
      </c>
      <c r="L134" s="15">
        <v>3.0954255372606855E-2</v>
      </c>
      <c r="M134" s="15">
        <v>3.5039231040889414E-2</v>
      </c>
      <c r="N134" s="15">
        <v>3.3236255435500579E-2</v>
      </c>
      <c r="O134" s="15">
        <v>5.5497946541867418E-2</v>
      </c>
      <c r="P134" s="15">
        <v>3.9393614489653429E-2</v>
      </c>
      <c r="Q134" s="15">
        <v>3.2319344832679509E-2</v>
      </c>
      <c r="R134" s="15">
        <v>-2.6222776047570215E-2</v>
      </c>
    </row>
    <row r="135" spans="1:18" s="7" customFormat="1" x14ac:dyDescent="0.2">
      <c r="A135" s="1"/>
      <c r="B135" s="4">
        <v>38291</v>
      </c>
      <c r="C135" s="15">
        <v>1.1000000000000001E-3</v>
      </c>
      <c r="D135" s="15">
        <v>2.6320920257361107E-3</v>
      </c>
      <c r="E135" s="15">
        <v>1.205206492045637E-2</v>
      </c>
      <c r="F135" s="15">
        <v>9.8229528885965083E-3</v>
      </c>
      <c r="G135" s="15">
        <v>8.3251387591700039E-3</v>
      </c>
      <c r="H135" s="15">
        <v>4.6527658107875774E-3</v>
      </c>
      <c r="I135" s="15">
        <v>4.148354944629673E-2</v>
      </c>
      <c r="J135" s="15">
        <v>1.4861877426665924E-2</v>
      </c>
      <c r="K135" s="15">
        <v>1.3212394484349507E-2</v>
      </c>
      <c r="L135" s="15">
        <v>1.5654194219239938E-2</v>
      </c>
      <c r="M135" s="15">
        <v>2.1859098933376869E-2</v>
      </c>
      <c r="N135" s="15">
        <v>1.6244794938651174E-2</v>
      </c>
      <c r="O135" s="15">
        <v>2.1803249373587484E-2</v>
      </c>
      <c r="P135" s="15">
        <v>3.5610202426569322E-2</v>
      </c>
      <c r="Q135" s="15">
        <v>3.6247868649170955E-3</v>
      </c>
      <c r="R135" s="15">
        <v>2.5190733181010064E-2</v>
      </c>
    </row>
    <row r="136" spans="1:18" s="7" customFormat="1" x14ac:dyDescent="0.2">
      <c r="A136" s="1"/>
      <c r="B136" s="4">
        <v>38321</v>
      </c>
      <c r="C136" s="15">
        <v>1.5E-3</v>
      </c>
      <c r="D136" s="15">
        <v>-1.2931453573164924E-2</v>
      </c>
      <c r="E136" s="15">
        <v>-2.659574468085113E-2</v>
      </c>
      <c r="F136" s="15">
        <v>-1.0112657801349222E-2</v>
      </c>
      <c r="G136" s="15">
        <v>-2.6922876038884972E-3</v>
      </c>
      <c r="H136" s="15">
        <v>9.4339622641508936E-4</v>
      </c>
      <c r="I136" s="15">
        <v>-4.8374743992525587E-2</v>
      </c>
      <c r="J136" s="15">
        <v>3.0112211462776265E-2</v>
      </c>
      <c r="K136" s="15">
        <v>4.6606295817162538E-2</v>
      </c>
      <c r="L136" s="15">
        <v>5.8396320735852825E-2</v>
      </c>
      <c r="M136" s="15">
        <v>6.1394403513228994E-2</v>
      </c>
      <c r="N136" s="15">
        <v>7.40501654859268E-2</v>
      </c>
      <c r="O136" s="15">
        <v>9.2097134338806355E-2</v>
      </c>
      <c r="P136" s="15">
        <v>7.1097239813288041E-2</v>
      </c>
      <c r="Q136" s="15">
        <v>8.4811475052769661E-2</v>
      </c>
      <c r="R136" s="15">
        <v>4.8073474837044078E-2</v>
      </c>
    </row>
    <row r="137" spans="1:18" s="7" customFormat="1" x14ac:dyDescent="0.2">
      <c r="A137" s="1"/>
      <c r="B137" s="4">
        <v>38352</v>
      </c>
      <c r="C137" s="15">
        <v>1.6000000000000001E-3</v>
      </c>
      <c r="D137" s="15">
        <v>2.0685579196218279E-3</v>
      </c>
      <c r="E137" s="15">
        <v>1.859554685588452E-2</v>
      </c>
      <c r="F137" s="15">
        <v>1.4175433528330868E-2</v>
      </c>
      <c r="G137" s="15">
        <v>7.1134394334779125E-3</v>
      </c>
      <c r="H137" s="15">
        <v>1.208122697283863E-2</v>
      </c>
      <c r="I137" s="15">
        <v>-9.9884445734253868E-2</v>
      </c>
      <c r="J137" s="15">
        <v>3.4296477947186897E-2</v>
      </c>
      <c r="K137" s="15">
        <v>3.0934291411902338E-2</v>
      </c>
      <c r="L137" s="15">
        <v>4.0113054123906054E-2</v>
      </c>
      <c r="M137" s="15">
        <v>4.0657078571770547E-2</v>
      </c>
      <c r="N137" s="15">
        <v>2.492219771712061E-2</v>
      </c>
      <c r="O137" s="15">
        <v>4.6768993146056433E-2</v>
      </c>
      <c r="P137" s="15">
        <v>4.1816430497233728E-2</v>
      </c>
      <c r="Q137" s="15">
        <v>2.6171015117055812E-2</v>
      </c>
      <c r="R137" s="15">
        <v>5.0896278744120539E-2</v>
      </c>
    </row>
    <row r="138" spans="1:18" s="7" customFormat="1" x14ac:dyDescent="0.2">
      <c r="A138" s="1"/>
      <c r="B138" s="4">
        <v>38383</v>
      </c>
      <c r="C138" s="15">
        <v>1.6000000000000001E-3</v>
      </c>
      <c r="D138" s="15">
        <v>-2.359186080802073E-3</v>
      </c>
      <c r="E138" s="15">
        <v>2.2179517975818689E-2</v>
      </c>
      <c r="F138" s="15">
        <v>8.0884767394478266E-3</v>
      </c>
      <c r="G138" s="15">
        <v>5.4519779060830066E-3</v>
      </c>
      <c r="H138" s="15">
        <v>1.6677954622417869E-2</v>
      </c>
      <c r="I138" s="15">
        <v>6.7615562636472906E-2</v>
      </c>
      <c r="J138" s="15">
        <v>-2.4929558105972083E-2</v>
      </c>
      <c r="K138" s="15">
        <v>-2.5641845445535001E-2</v>
      </c>
      <c r="L138" s="15">
        <v>-2.6047342953049328E-2</v>
      </c>
      <c r="M138" s="15">
        <v>-2.7331633457757309E-2</v>
      </c>
      <c r="N138" s="15">
        <v>-5.0938257861885265E-2</v>
      </c>
      <c r="O138" s="15">
        <v>1.9919804343266357E-4</v>
      </c>
      <c r="P138" s="15">
        <v>-1.9177819740396326E-2</v>
      </c>
      <c r="Q138" s="15">
        <v>5.7737870778162437E-3</v>
      </c>
      <c r="R138" s="15">
        <v>-2.3242522772420539E-2</v>
      </c>
    </row>
    <row r="139" spans="1:18" s="7" customFormat="1" x14ac:dyDescent="0.2">
      <c r="A139" s="1"/>
      <c r="B139" s="4">
        <v>38411</v>
      </c>
      <c r="C139" s="15">
        <v>1.6000000000000001E-3</v>
      </c>
      <c r="D139" s="15">
        <v>-7.3898906296186806E-3</v>
      </c>
      <c r="E139" s="15">
        <v>-2.2246592511358212E-2</v>
      </c>
      <c r="F139" s="15">
        <v>-6.4380924722785759E-3</v>
      </c>
      <c r="G139" s="15">
        <v>-4.1924722980050209E-3</v>
      </c>
      <c r="H139" s="15">
        <v>-1.9318844200183257E-2</v>
      </c>
      <c r="I139" s="15">
        <v>6.2261019411567052E-2</v>
      </c>
      <c r="J139" s="15">
        <v>2.1954786531108553E-2</v>
      </c>
      <c r="K139" s="15">
        <v>1.5865463494667692E-2</v>
      </c>
      <c r="L139" s="15">
        <v>3.2570179561205295E-2</v>
      </c>
      <c r="M139" s="15">
        <v>2.3208048159233653E-2</v>
      </c>
      <c r="N139" s="15">
        <v>1.6724789761957154E-2</v>
      </c>
      <c r="O139" s="15">
        <v>8.5562493315286134E-2</v>
      </c>
      <c r="P139" s="15">
        <v>4.802222682609212E-2</v>
      </c>
      <c r="Q139" s="15">
        <v>5.5906706611818659E-2</v>
      </c>
      <c r="R139" s="15">
        <v>2.038474791545641E-2</v>
      </c>
    </row>
    <row r="140" spans="1:18" s="7" customFormat="1" x14ac:dyDescent="0.2">
      <c r="A140" s="1"/>
      <c r="B140" s="4">
        <v>38442</v>
      </c>
      <c r="C140" s="15">
        <v>2.0999999999999999E-3</v>
      </c>
      <c r="D140" s="15">
        <v>-5.8566607107405537E-3</v>
      </c>
      <c r="E140" s="15">
        <v>-1.3138920044864609E-2</v>
      </c>
      <c r="F140" s="15">
        <v>-1.0769400918746567E-2</v>
      </c>
      <c r="G140" s="15">
        <v>-2.7599515689769329E-3</v>
      </c>
      <c r="H140" s="15">
        <v>-4.2455633862611156E-4</v>
      </c>
      <c r="I140" s="15">
        <v>7.559327027922691E-2</v>
      </c>
      <c r="J140" s="15">
        <v>-1.8862394179209884E-2</v>
      </c>
      <c r="K140" s="15">
        <v>-1.9332331992828973E-2</v>
      </c>
      <c r="L140" s="15">
        <v>-1.6053173427735452E-2</v>
      </c>
      <c r="M140" s="15">
        <v>-2.4649375346662745E-2</v>
      </c>
      <c r="N140" s="15">
        <v>-1.909686457088703E-2</v>
      </c>
      <c r="O140" s="15">
        <v>-6.793492570679209E-2</v>
      </c>
      <c r="P140" s="15">
        <v>-2.8489370760006062E-2</v>
      </c>
      <c r="Q140" s="15">
        <v>-4.8816354969567176E-2</v>
      </c>
      <c r="R140" s="15">
        <v>-2.6164940187372518E-2</v>
      </c>
    </row>
    <row r="141" spans="1:18" s="7" customFormat="1" x14ac:dyDescent="0.2">
      <c r="A141" s="1"/>
      <c r="B141" s="4">
        <v>38472</v>
      </c>
      <c r="C141" s="15">
        <v>2.0999999999999999E-3</v>
      </c>
      <c r="D141" s="15">
        <v>8.6869695456813813E-3</v>
      </c>
      <c r="E141" s="15">
        <v>3.0686799805163183E-2</v>
      </c>
      <c r="F141" s="15">
        <v>1.375620812861387E-2</v>
      </c>
      <c r="G141" s="15">
        <v>1.1629411482284224E-2</v>
      </c>
      <c r="H141" s="15">
        <v>1.6055045871559637E-2</v>
      </c>
      <c r="I141" s="15">
        <v>-9.050872762730687E-2</v>
      </c>
      <c r="J141" s="15">
        <v>-1.787189174940703E-2</v>
      </c>
      <c r="K141" s="15">
        <v>-2.2315546772068623E-2</v>
      </c>
      <c r="L141" s="15">
        <v>-3.9671642448583976E-2</v>
      </c>
      <c r="M141" s="15">
        <v>-4.1696285313890052E-2</v>
      </c>
      <c r="N141" s="15">
        <v>-5.3433791872309254E-2</v>
      </c>
      <c r="O141" s="15">
        <v>-3.0434362635299698E-2</v>
      </c>
      <c r="P141" s="15">
        <v>-3.0430864708917427E-2</v>
      </c>
      <c r="Q141" s="15">
        <v>-1.2685153229044054E-2</v>
      </c>
      <c r="R141" s="15">
        <v>-2.5776116708889078E-2</v>
      </c>
    </row>
    <row r="142" spans="1:18" s="7" customFormat="1" x14ac:dyDescent="0.2">
      <c r="A142" s="1"/>
      <c r="B142" s="4">
        <v>38503</v>
      </c>
      <c r="C142" s="15">
        <v>2.3999999999999998E-3</v>
      </c>
      <c r="D142" s="15">
        <v>4.8505246485845291E-3</v>
      </c>
      <c r="E142" s="15">
        <v>2.1660365469439193E-2</v>
      </c>
      <c r="F142" s="15">
        <v>1.2485738555724326E-2</v>
      </c>
      <c r="G142" s="15">
        <v>8.2805242776862378E-3</v>
      </c>
      <c r="H142" s="15">
        <v>1.2289942312515666E-2</v>
      </c>
      <c r="I142" s="15">
        <v>-7.3288769053637941E-3</v>
      </c>
      <c r="J142" s="15">
        <v>3.016747781276842E-2</v>
      </c>
      <c r="K142" s="15">
        <v>2.9748168112524353E-2</v>
      </c>
      <c r="L142" s="15">
        <v>5.6831562046027927E-2</v>
      </c>
      <c r="M142" s="15">
        <v>5.487029501525946E-2</v>
      </c>
      <c r="N142" s="15">
        <v>5.8779807302962582E-2</v>
      </c>
      <c r="O142" s="15">
        <v>3.0385909509577178E-2</v>
      </c>
      <c r="P142" s="15">
        <v>-1.9120143607193334E-3</v>
      </c>
      <c r="Q142" s="15">
        <v>1.9004679831069418E-2</v>
      </c>
      <c r="R142" s="15">
        <v>-9.2790578306478598E-3</v>
      </c>
    </row>
    <row r="143" spans="1:18" s="7" customFormat="1" x14ac:dyDescent="0.2">
      <c r="A143" s="1"/>
      <c r="B143" s="4">
        <v>38533</v>
      </c>
      <c r="C143" s="15">
        <v>2.3E-3</v>
      </c>
      <c r="D143" s="15">
        <v>-1.9702492365280289E-4</v>
      </c>
      <c r="E143" s="15">
        <v>1.0639118032534079E-2</v>
      </c>
      <c r="F143" s="15">
        <v>8.0623305354529714E-3</v>
      </c>
      <c r="G143" s="15">
        <v>3.5685451058356894E-3</v>
      </c>
      <c r="H143" s="15">
        <v>1.3049223653782608E-2</v>
      </c>
      <c r="I143" s="15">
        <v>5.7953738769723755E-2</v>
      </c>
      <c r="J143" s="15">
        <v>-1.3929898912703619E-2</v>
      </c>
      <c r="K143" s="15">
        <v>1.3495607793100063E-2</v>
      </c>
      <c r="L143" s="15">
        <v>2.2159843152008064E-2</v>
      </c>
      <c r="M143" s="15">
        <v>2.1919514596267065E-2</v>
      </c>
      <c r="N143" s="15">
        <v>3.343461860854996E-2</v>
      </c>
      <c r="O143" s="15">
        <v>3.1036841769207679E-2</v>
      </c>
      <c r="P143" s="15">
        <v>1.1329604609039645E-2</v>
      </c>
      <c r="Q143" s="15">
        <v>2.0624474936992425E-2</v>
      </c>
      <c r="R143" s="15">
        <v>-1.3255975711406935E-3</v>
      </c>
    </row>
    <row r="144" spans="1:18" s="7" customFormat="1" x14ac:dyDescent="0.2">
      <c r="A144" s="1"/>
      <c r="B144" s="4">
        <v>38564</v>
      </c>
      <c r="C144" s="15">
        <v>2.3999999999999998E-3</v>
      </c>
      <c r="D144" s="15">
        <v>-1.2513548132821068E-2</v>
      </c>
      <c r="E144" s="15">
        <v>-3.0894805095735733E-2</v>
      </c>
      <c r="F144" s="15">
        <v>-1.0650935526465691E-2</v>
      </c>
      <c r="G144" s="15">
        <v>-4.9096726752389302E-3</v>
      </c>
      <c r="H144" s="15">
        <v>-1.7609652698516196E-2</v>
      </c>
      <c r="I144" s="15">
        <v>5.4952403513241689E-2</v>
      </c>
      <c r="J144" s="15">
        <v>4.2609032621714824E-2</v>
      </c>
      <c r="K144" s="15">
        <v>2.9553231325456685E-2</v>
      </c>
      <c r="L144" s="15">
        <v>5.2015061648004755E-2</v>
      </c>
      <c r="M144" s="15">
        <v>6.0075233301876946E-2</v>
      </c>
      <c r="N144" s="15">
        <v>6.4041731301517621E-2</v>
      </c>
      <c r="O144" s="15">
        <v>6.6167935905783695E-2</v>
      </c>
      <c r="P144" s="15">
        <v>3.5719828235928348E-2</v>
      </c>
      <c r="Q144" s="15">
        <v>6.1233588959159264E-2</v>
      </c>
      <c r="R144" s="15">
        <v>9.9306298407257337E-3</v>
      </c>
    </row>
    <row r="145" spans="1:18" s="7" customFormat="1" x14ac:dyDescent="0.2">
      <c r="A145" s="1"/>
      <c r="B145" s="4">
        <v>38595</v>
      </c>
      <c r="C145" s="15">
        <v>3.0000000000000001E-3</v>
      </c>
      <c r="D145" s="15">
        <v>8.9802434643784252E-3</v>
      </c>
      <c r="E145" s="15">
        <v>2.3614609571788299E-2</v>
      </c>
      <c r="F145" s="15">
        <v>1.6595015189506429E-2</v>
      </c>
      <c r="G145" s="15">
        <v>8.9610616824939322E-3</v>
      </c>
      <c r="H145" s="15">
        <v>1.4937759336099561E-2</v>
      </c>
      <c r="I145" s="15">
        <v>0.15143451993181203</v>
      </c>
      <c r="J145" s="15">
        <v>-1.2721528610768484E-2</v>
      </c>
      <c r="K145" s="15">
        <v>-9.7512032232273463E-3</v>
      </c>
      <c r="L145" s="15">
        <v>-1.3294311568607808E-2</v>
      </c>
      <c r="M145" s="15">
        <v>-1.1993150303847136E-2</v>
      </c>
      <c r="N145" s="15">
        <v>-1.0043116796493451E-2</v>
      </c>
      <c r="O145" s="15">
        <v>6.0840010355747336E-3</v>
      </c>
      <c r="P145" s="15">
        <v>1.1870212698840593E-2</v>
      </c>
      <c r="Q145" s="15">
        <v>-3.6406119718446373E-2</v>
      </c>
      <c r="R145" s="15">
        <v>6.9465441301106295E-2</v>
      </c>
    </row>
    <row r="146" spans="1:18" s="7" customFormat="1" x14ac:dyDescent="0.2">
      <c r="A146" s="1"/>
      <c r="B146" s="4">
        <v>38625</v>
      </c>
      <c r="C146" s="15">
        <v>2.8999999999999998E-3</v>
      </c>
      <c r="D146" s="15">
        <v>-1.0482594936708882E-2</v>
      </c>
      <c r="E146" s="15">
        <v>-3.4527837588434293E-2</v>
      </c>
      <c r="F146" s="15">
        <v>-1.581956310431272E-2</v>
      </c>
      <c r="G146" s="15">
        <v>-5.5480511747743495E-3</v>
      </c>
      <c r="H146" s="15">
        <v>-1.1038430089942718E-2</v>
      </c>
      <c r="I146" s="15">
        <v>1.7935690377517445E-4</v>
      </c>
      <c r="J146" s="15">
        <v>4.6202813237962376E-3</v>
      </c>
      <c r="K146" s="15">
        <v>9.2614580859653652E-3</v>
      </c>
      <c r="L146" s="15">
        <v>7.2753803039704848E-3</v>
      </c>
      <c r="M146" s="15">
        <v>4.4237543721334363E-3</v>
      </c>
      <c r="N146" s="15">
        <v>1.203155154076049E-4</v>
      </c>
      <c r="O146" s="15">
        <v>9.0869801890371582E-2</v>
      </c>
      <c r="P146" s="15">
        <v>2.363126358144051E-2</v>
      </c>
      <c r="Q146" s="15">
        <v>4.7980788902639793E-2</v>
      </c>
      <c r="R146" s="15">
        <v>9.8619447610090449E-2</v>
      </c>
    </row>
    <row r="147" spans="1:18" s="7" customFormat="1" x14ac:dyDescent="0.2">
      <c r="A147" s="1"/>
      <c r="B147" s="4">
        <v>38656</v>
      </c>
      <c r="C147" s="15">
        <v>2.7000000000000001E-3</v>
      </c>
      <c r="D147" s="15">
        <v>-7.8952628422946855E-3</v>
      </c>
      <c r="E147" s="15">
        <v>-2.429311031461567E-2</v>
      </c>
      <c r="F147" s="15">
        <v>-1.0289651479965857E-2</v>
      </c>
      <c r="G147" s="15">
        <v>-7.28208484512628E-3</v>
      </c>
      <c r="H147" s="15">
        <v>-1.909880115750312E-2</v>
      </c>
      <c r="I147" s="15">
        <v>-0.10325076945703543</v>
      </c>
      <c r="J147" s="15">
        <v>-1.6488383184574611E-2</v>
      </c>
      <c r="K147" s="15">
        <v>-1.8933333333333233E-2</v>
      </c>
      <c r="L147" s="15">
        <v>-2.2352192572735997E-2</v>
      </c>
      <c r="M147" s="15">
        <v>-3.1378094514284222E-2</v>
      </c>
      <c r="N147" s="15">
        <v>-2.9877966623679055E-2</v>
      </c>
      <c r="O147" s="15">
        <v>-6.639166029051069E-2</v>
      </c>
      <c r="P147" s="15">
        <v>-3.2025698634915757E-2</v>
      </c>
      <c r="Q147" s="15">
        <v>-6.3248279018264256E-2</v>
      </c>
      <c r="R147" s="15">
        <v>-1.2139671027144909E-2</v>
      </c>
    </row>
    <row r="148" spans="1:18" s="7" customFormat="1" x14ac:dyDescent="0.2">
      <c r="A148" s="1"/>
      <c r="B148" s="4">
        <v>38686</v>
      </c>
      <c r="C148" s="15">
        <v>3.0999999999999999E-3</v>
      </c>
      <c r="D148" s="15">
        <v>2.0147073637554434E-3</v>
      </c>
      <c r="E148" s="15">
        <v>1.7142857142857792E-3</v>
      </c>
      <c r="F148" s="15">
        <v>5.3637572824330538E-3</v>
      </c>
      <c r="G148" s="15">
        <v>3.0549889999542585E-3</v>
      </c>
      <c r="H148" s="15">
        <v>2.612946729602177E-3</v>
      </c>
      <c r="I148" s="15">
        <v>-3.8478195142232351E-2</v>
      </c>
      <c r="J148" s="15">
        <v>3.6266020090058977E-2</v>
      </c>
      <c r="K148" s="15">
        <v>3.4168492077450721E-2</v>
      </c>
      <c r="L148" s="15">
        <v>4.8350689636071517E-2</v>
      </c>
      <c r="M148" s="15">
        <v>5.6807877084552552E-2</v>
      </c>
      <c r="N148" s="15">
        <v>4.1373392261027903E-2</v>
      </c>
      <c r="O148" s="15">
        <v>8.1925845302650402E-2</v>
      </c>
      <c r="P148" s="15">
        <v>1.4437134110893368E-2</v>
      </c>
      <c r="Q148" s="15">
        <v>7.0279189898327404E-2</v>
      </c>
      <c r="R148" s="15">
        <v>4.2593624948663457E-2</v>
      </c>
    </row>
    <row r="149" spans="1:18" s="7" customFormat="1" x14ac:dyDescent="0.2">
      <c r="A149" s="1"/>
      <c r="B149" s="4">
        <v>38717</v>
      </c>
      <c r="C149" s="15">
        <v>3.2000000000000002E-3</v>
      </c>
      <c r="D149" s="15">
        <v>2.8149190710767178E-3</v>
      </c>
      <c r="E149" s="15">
        <v>2.0047265911498604E-2</v>
      </c>
      <c r="F149" s="15">
        <v>9.7547533036081106E-3</v>
      </c>
      <c r="G149" s="15">
        <v>9.8119175898072775E-3</v>
      </c>
      <c r="H149" s="15">
        <v>1.5636822194199238E-2</v>
      </c>
      <c r="I149" s="15">
        <v>2.8684958695335785E-2</v>
      </c>
      <c r="J149" s="15">
        <v>-3.0417488384531367E-3</v>
      </c>
      <c r="K149" s="15">
        <v>1.1595547309833022E-3</v>
      </c>
      <c r="L149" s="15">
        <v>5.3696328439240652E-3</v>
      </c>
      <c r="M149" s="15">
        <v>5.0510582879950781E-4</v>
      </c>
      <c r="N149" s="15">
        <v>1.3860839080897069E-3</v>
      </c>
      <c r="O149" s="15">
        <v>5.7618781007015077E-2</v>
      </c>
      <c r="P149" s="15">
        <v>3.4838337678962161E-2</v>
      </c>
      <c r="Q149" s="15">
        <v>5.7540499561088344E-2</v>
      </c>
      <c r="R149" s="15">
        <v>8.5385584852131671E-2</v>
      </c>
    </row>
    <row r="150" spans="1:18" s="7" customFormat="1" x14ac:dyDescent="0.2">
      <c r="A150" s="1"/>
      <c r="B150" s="4">
        <v>38748</v>
      </c>
      <c r="C150" s="15">
        <v>3.4999999999999996E-3</v>
      </c>
      <c r="D150" s="15">
        <v>-3.6090225563909718E-3</v>
      </c>
      <c r="E150" s="15">
        <v>-1.3661420468163248E-2</v>
      </c>
      <c r="F150" s="15">
        <v>-1.9614639906771472E-3</v>
      </c>
      <c r="G150" s="15">
        <v>3.6376795183757061E-3</v>
      </c>
      <c r="H150" s="15">
        <v>-1.7796540021521444E-2</v>
      </c>
      <c r="I150" s="15">
        <v>4.3341212127247154E-2</v>
      </c>
      <c r="J150" s="15">
        <v>2.2731844699255783E-2</v>
      </c>
      <c r="K150" s="15">
        <v>2.832213728669588E-2</v>
      </c>
      <c r="L150" s="15">
        <v>5.7226382866903097E-2</v>
      </c>
      <c r="M150" s="15">
        <v>7.3586569751528247E-2</v>
      </c>
      <c r="N150" s="15">
        <v>6.8076200442362289E-2</v>
      </c>
      <c r="O150" s="15">
        <v>0.10939824454374698</v>
      </c>
      <c r="P150" s="15">
        <v>6.4708522836799495E-2</v>
      </c>
      <c r="Q150" s="15">
        <v>6.9779445277859092E-2</v>
      </c>
      <c r="R150" s="15">
        <v>5.0393746695849138E-2</v>
      </c>
    </row>
    <row r="151" spans="1:18" s="7" customFormat="1" x14ac:dyDescent="0.2">
      <c r="A151" s="1"/>
      <c r="B151" s="4">
        <v>38776</v>
      </c>
      <c r="C151" s="15">
        <v>3.4000000000000002E-3</v>
      </c>
      <c r="D151" s="15">
        <v>-2.112888620585509E-3</v>
      </c>
      <c r="E151" s="15">
        <v>-4.8598736432853432E-3</v>
      </c>
      <c r="F151" s="15">
        <v>3.978588197330264E-3</v>
      </c>
      <c r="G151" s="15">
        <v>5.1101115829983749E-3</v>
      </c>
      <c r="H151" s="15">
        <v>-2.5282319231417255E-3</v>
      </c>
      <c r="I151" s="15">
        <v>-0.10104306757018613</v>
      </c>
      <c r="J151" s="15">
        <v>-7.0318646734855708E-3</v>
      </c>
      <c r="K151" s="15">
        <v>8.1995524786376683E-3</v>
      </c>
      <c r="L151" s="15">
        <v>-9.1405633470243823E-3</v>
      </c>
      <c r="M151" s="15">
        <v>-6.7930856699319614E-3</v>
      </c>
      <c r="N151" s="15">
        <v>2.4850031396544715E-3</v>
      </c>
      <c r="O151" s="15">
        <v>-2.1243449936270637E-3</v>
      </c>
      <c r="P151" s="15">
        <v>-4.8493719807369309E-4</v>
      </c>
      <c r="Q151" s="15">
        <v>-3.6933685835126477E-3</v>
      </c>
      <c r="R151" s="15">
        <v>-8.6930110710611488E-3</v>
      </c>
    </row>
    <row r="152" spans="1:18" s="7" customFormat="1" x14ac:dyDescent="0.2">
      <c r="A152" s="1"/>
      <c r="B152" s="4">
        <v>38807</v>
      </c>
      <c r="C152" s="15">
        <v>3.7000000000000002E-3</v>
      </c>
      <c r="D152" s="15">
        <v>-6.6545674531156562E-3</v>
      </c>
      <c r="E152" s="15">
        <v>-3.8824678495848905E-2</v>
      </c>
      <c r="F152" s="15">
        <v>-1.2600353297822924E-2</v>
      </c>
      <c r="G152" s="15">
        <v>-8.8840814968083742E-3</v>
      </c>
      <c r="H152" s="15">
        <v>-3.2274417032781284E-2</v>
      </c>
      <c r="I152" s="15">
        <v>5.1304209203678716E-2</v>
      </c>
      <c r="J152" s="15">
        <v>6.8670661450338927E-3</v>
      </c>
      <c r="K152" s="15">
        <v>1.5357116258285463E-2</v>
      </c>
      <c r="L152" s="15">
        <v>2.3962122162297633E-2</v>
      </c>
      <c r="M152" s="15">
        <v>4.2782822981791632E-2</v>
      </c>
      <c r="N152" s="15">
        <v>3.7200417582905654E-2</v>
      </c>
      <c r="O152" s="15">
        <v>7.2829002718301948E-3</v>
      </c>
      <c r="P152" s="15">
        <v>3.4932418290362151E-2</v>
      </c>
      <c r="Q152" s="15">
        <v>9.2265866160685939E-3</v>
      </c>
      <c r="R152" s="15">
        <v>2.027649363689657E-2</v>
      </c>
    </row>
    <row r="153" spans="1:18" s="7" customFormat="1" x14ac:dyDescent="0.2">
      <c r="A153" s="1"/>
      <c r="B153" s="4">
        <v>38837</v>
      </c>
      <c r="C153" s="15">
        <v>3.5999999999999999E-3</v>
      </c>
      <c r="D153" s="15">
        <v>-2.537555826228177E-3</v>
      </c>
      <c r="E153" s="15">
        <v>-2.4049453806418861E-2</v>
      </c>
      <c r="F153" s="15">
        <v>-4.2944600811306109E-3</v>
      </c>
      <c r="G153" s="15">
        <v>-3.16003060240073E-4</v>
      </c>
      <c r="H153" s="15">
        <v>-2.8025144054478854E-2</v>
      </c>
      <c r="I153" s="15">
        <v>6.3333740858793328E-2</v>
      </c>
      <c r="J153" s="15">
        <v>-1.3443724895484056E-3</v>
      </c>
      <c r="K153" s="15">
        <v>2.5922013907226586E-2</v>
      </c>
      <c r="L153" s="15">
        <v>1.3326718969139086E-2</v>
      </c>
      <c r="M153" s="15">
        <v>-6.3182424892234057E-3</v>
      </c>
      <c r="N153" s="15">
        <v>-2.7068815610824565E-3</v>
      </c>
      <c r="O153" s="15">
        <v>6.826334535835149E-2</v>
      </c>
      <c r="P153" s="15">
        <v>4.7426970134955303E-2</v>
      </c>
      <c r="Q153" s="15">
        <v>6.960501504063217E-2</v>
      </c>
      <c r="R153" s="15">
        <v>2.8813501839113829E-2</v>
      </c>
    </row>
    <row r="154" spans="1:18" s="7" customFormat="1" x14ac:dyDescent="0.2">
      <c r="A154" s="1"/>
      <c r="B154" s="4">
        <v>38868</v>
      </c>
      <c r="C154" s="15">
        <v>4.3E-3</v>
      </c>
      <c r="D154" s="15">
        <v>-1.9334486618499821E-3</v>
      </c>
      <c r="E154" s="15">
        <v>-5.8134490238611865E-3</v>
      </c>
      <c r="F154" s="15">
        <v>-4.7922022335602398E-4</v>
      </c>
      <c r="G154" s="15">
        <v>-2.2658005921187591E-3</v>
      </c>
      <c r="H154" s="15">
        <v>-4.9402676726847854E-3</v>
      </c>
      <c r="I154" s="15">
        <v>-7.6963269191998593E-3</v>
      </c>
      <c r="J154" s="15">
        <v>-3.514849047001456E-2</v>
      </c>
      <c r="K154" s="15">
        <v>-2.6739879599044863E-2</v>
      </c>
      <c r="L154" s="15">
        <v>-4.6416893815311507E-2</v>
      </c>
      <c r="M154" s="15">
        <v>-6.160232095965288E-2</v>
      </c>
      <c r="N154" s="15">
        <v>-4.2160732154590812E-2</v>
      </c>
      <c r="O154" s="15">
        <v>-0.10763563772903355</v>
      </c>
      <c r="P154" s="15">
        <v>-3.4377228990217244E-2</v>
      </c>
      <c r="Q154" s="15">
        <v>-7.1164536837603862E-2</v>
      </c>
      <c r="R154" s="15">
        <v>-6.2398407606663063E-2</v>
      </c>
    </row>
    <row r="155" spans="1:18" s="7" customFormat="1" x14ac:dyDescent="0.2">
      <c r="A155" s="1"/>
      <c r="B155" s="4">
        <v>38898</v>
      </c>
      <c r="C155" s="15">
        <v>4.0000000000000001E-3</v>
      </c>
      <c r="D155" s="15">
        <v>-1.3254486133767889E-3</v>
      </c>
      <c r="E155" s="15">
        <v>1.5709547914121733E-3</v>
      </c>
      <c r="F155" s="15">
        <v>7.5135723752740781E-4</v>
      </c>
      <c r="G155" s="15">
        <v>1.7373531726150118E-3</v>
      </c>
      <c r="H155" s="15">
        <v>-1.0200397183607109E-2</v>
      </c>
      <c r="I155" s="15">
        <v>1.1624458638259037E-2</v>
      </c>
      <c r="J155" s="15">
        <v>-1.7695501259102355E-3</v>
      </c>
      <c r="K155" s="15">
        <v>1.9099951515508693E-3</v>
      </c>
      <c r="L155" s="15">
        <v>-1.685923803849645E-3</v>
      </c>
      <c r="M155" s="15">
        <v>-3.8366997342470567E-3</v>
      </c>
      <c r="N155" s="15">
        <v>1.0958167062727011E-2</v>
      </c>
      <c r="O155" s="15">
        <v>-4.6032202568322515E-3</v>
      </c>
      <c r="P155" s="15">
        <v>7.3194400536629855E-4</v>
      </c>
      <c r="Q155" s="15">
        <v>-8.3237536259310272E-3</v>
      </c>
      <c r="R155" s="15">
        <v>-1.1448072314919318E-2</v>
      </c>
    </row>
    <row r="156" spans="1:18" s="7" customFormat="1" x14ac:dyDescent="0.2">
      <c r="A156" s="1"/>
      <c r="B156" s="4">
        <v>38929</v>
      </c>
      <c r="C156" s="15">
        <v>4.0000000000000001E-3</v>
      </c>
      <c r="D156" s="15">
        <v>7.0444104134762403E-3</v>
      </c>
      <c r="E156" s="15">
        <v>1.4813523875914976E-2</v>
      </c>
      <c r="F156" s="15">
        <v>1.4819632452639085E-2</v>
      </c>
      <c r="G156" s="15">
        <v>1.5449735449735437E-2</v>
      </c>
      <c r="H156" s="15">
        <v>1.103511171910619E-2</v>
      </c>
      <c r="I156" s="15">
        <v>2.0052136156073003E-2</v>
      </c>
      <c r="J156" s="15">
        <v>1.6533715142836188E-3</v>
      </c>
      <c r="K156" s="15">
        <v>8.446614755180137E-3</v>
      </c>
      <c r="L156" s="15">
        <v>-2.9693164286938821E-2</v>
      </c>
      <c r="M156" s="15">
        <v>-3.7772739318630122E-2</v>
      </c>
      <c r="N156" s="15">
        <v>-1.9412437797706156E-2</v>
      </c>
      <c r="O156" s="15">
        <v>1.1099086469067199E-2</v>
      </c>
      <c r="P156" s="15">
        <v>1.4247498423530222E-2</v>
      </c>
      <c r="Q156" s="15">
        <v>-2.2757049273712188E-3</v>
      </c>
      <c r="R156" s="15">
        <v>-5.5651260721565187E-3</v>
      </c>
    </row>
    <row r="157" spans="1:18" s="7" customFormat="1" x14ac:dyDescent="0.2">
      <c r="A157" s="1"/>
      <c r="B157" s="4">
        <v>38960</v>
      </c>
      <c r="C157" s="15">
        <v>4.1999999999999997E-3</v>
      </c>
      <c r="D157" s="15">
        <v>8.0089213300892758E-3</v>
      </c>
      <c r="E157" s="15">
        <v>1.7688476730207695E-2</v>
      </c>
      <c r="F157" s="15">
        <v>1.8703966816335495E-2</v>
      </c>
      <c r="G157" s="15">
        <v>1.4956294211227275E-2</v>
      </c>
      <c r="H157" s="15">
        <v>2.3633411510012671E-2</v>
      </c>
      <c r="I157" s="15">
        <v>-7.2575187103490715E-2</v>
      </c>
      <c r="J157" s="15">
        <v>3.0392240279077706E-2</v>
      </c>
      <c r="K157" s="15">
        <v>1.2432927627273849E-2</v>
      </c>
      <c r="L157" s="15">
        <v>1.1136265490663209E-2</v>
      </c>
      <c r="M157" s="15">
        <v>2.0325476923453576E-2</v>
      </c>
      <c r="N157" s="15">
        <v>3.0963785125985233E-2</v>
      </c>
      <c r="O157" s="15">
        <v>2.2872686667478145E-2</v>
      </c>
      <c r="P157" s="15">
        <v>2.8420041147428875E-2</v>
      </c>
      <c r="Q157" s="15">
        <v>2.4615973120259569E-2</v>
      </c>
      <c r="R157" s="15">
        <v>1.488220261280665E-2</v>
      </c>
    </row>
    <row r="158" spans="1:18" s="7" customFormat="1" x14ac:dyDescent="0.2">
      <c r="A158" s="1"/>
      <c r="B158" s="4">
        <v>38990</v>
      </c>
      <c r="C158" s="15">
        <v>4.0999999999999995E-3</v>
      </c>
      <c r="D158" s="15">
        <v>3.8217841697676296E-3</v>
      </c>
      <c r="E158" s="15">
        <v>1.2740465744178241E-2</v>
      </c>
      <c r="F158" s="15">
        <v>1.0703867701439397E-2</v>
      </c>
      <c r="G158" s="15">
        <v>6.8065090222775952E-3</v>
      </c>
      <c r="H158" s="15">
        <v>8.4596404652801695E-3</v>
      </c>
      <c r="I158" s="15">
        <v>-0.10706435450177848</v>
      </c>
      <c r="J158" s="15">
        <v>2.3864180608082517E-2</v>
      </c>
      <c r="K158" s="15">
        <v>2.5235550959439346E-2</v>
      </c>
      <c r="L158" s="15">
        <v>6.3221514727959706E-3</v>
      </c>
      <c r="M158" s="15">
        <v>2.5792984308267877E-3</v>
      </c>
      <c r="N158" s="15">
        <v>6.1024027936810122E-3</v>
      </c>
      <c r="O158" s="15">
        <v>6.5151256460801044E-3</v>
      </c>
      <c r="P158" s="15">
        <v>7.9575456970146091E-3</v>
      </c>
      <c r="Q158" s="15">
        <v>2.7585226956124285E-2</v>
      </c>
      <c r="R158" s="15">
        <v>-2.0500789391399873E-2</v>
      </c>
    </row>
    <row r="159" spans="1:18" s="7" customFormat="1" x14ac:dyDescent="0.2">
      <c r="A159" s="1"/>
      <c r="B159" s="4">
        <v>39021</v>
      </c>
      <c r="C159" s="15">
        <v>4.0999999999999995E-3</v>
      </c>
      <c r="D159" s="15">
        <v>1.1020939785592568E-3</v>
      </c>
      <c r="E159" s="15">
        <v>2.1661251353828634E-3</v>
      </c>
      <c r="F159" s="15">
        <v>8.7853294357214881E-3</v>
      </c>
      <c r="G159" s="15">
        <v>7.6252257317374781E-3</v>
      </c>
      <c r="H159" s="15">
        <v>1.9224047535826535E-3</v>
      </c>
      <c r="I159" s="15">
        <v>-2.5682640595759074E-2</v>
      </c>
      <c r="J159" s="15">
        <v>3.1227821149751617E-2</v>
      </c>
      <c r="K159" s="15">
        <v>3.1801179585603911E-2</v>
      </c>
      <c r="L159" s="15">
        <v>3.9823037302347604E-2</v>
      </c>
      <c r="M159" s="15">
        <v>4.3113041605341532E-2</v>
      </c>
      <c r="N159" s="15">
        <v>4.5536204836613775E-2</v>
      </c>
      <c r="O159" s="15">
        <v>4.661888735107507E-2</v>
      </c>
      <c r="P159" s="15">
        <v>4.2290585554353839E-2</v>
      </c>
      <c r="Q159" s="15">
        <v>2.5540568020063759E-2</v>
      </c>
      <c r="R159" s="15">
        <v>1.7365402837246507E-2</v>
      </c>
    </row>
    <row r="160" spans="1:18" s="7" customFormat="1" x14ac:dyDescent="0.2">
      <c r="A160" s="1"/>
      <c r="B160" s="4">
        <v>39051</v>
      </c>
      <c r="C160" s="15">
        <v>4.1999999999999997E-3</v>
      </c>
      <c r="D160" s="15">
        <v>6.4051240992794292E-3</v>
      </c>
      <c r="E160" s="15">
        <v>1.2303599634217222E-2</v>
      </c>
      <c r="F160" s="15">
        <v>1.416373975529135E-2</v>
      </c>
      <c r="G160" s="15">
        <v>1.1333087703497549E-2</v>
      </c>
      <c r="H160" s="15">
        <v>4.5351473922903389E-3</v>
      </c>
      <c r="I160" s="15">
        <v>5.5281295436669278E-2</v>
      </c>
      <c r="J160" s="15">
        <v>1.7972220484264542E-2</v>
      </c>
      <c r="K160" s="15">
        <v>1.4989613175652845E-2</v>
      </c>
      <c r="L160" s="15">
        <v>2.9992702806327532E-2</v>
      </c>
      <c r="M160" s="15">
        <v>2.9911441484846452E-2</v>
      </c>
      <c r="N160" s="15">
        <v>3.0670164361052129E-2</v>
      </c>
      <c r="O160" s="15">
        <v>7.323086594682475E-2</v>
      </c>
      <c r="P160" s="15">
        <v>3.3195978610579775E-2</v>
      </c>
      <c r="Q160" s="15">
        <v>7.8605136882179613E-2</v>
      </c>
      <c r="R160" s="15">
        <v>6.8825080517756669E-3</v>
      </c>
    </row>
    <row r="161" spans="1:18" s="7" customFormat="1" x14ac:dyDescent="0.2">
      <c r="A161" s="1"/>
      <c r="B161" s="4">
        <v>39082</v>
      </c>
      <c r="C161" s="15">
        <v>4.0000000000000001E-3</v>
      </c>
      <c r="D161" s="15">
        <v>-7.7565632458234E-3</v>
      </c>
      <c r="E161" s="15">
        <v>-2.3979633735731195E-2</v>
      </c>
      <c r="F161" s="15">
        <v>-9.2846298027837587E-3</v>
      </c>
      <c r="G161" s="15">
        <v>-3.1041816122404729E-3</v>
      </c>
      <c r="H161" s="15">
        <v>-2.0663309602361603E-2</v>
      </c>
      <c r="I161" s="15">
        <v>-7.1178691334706209E-2</v>
      </c>
      <c r="J161" s="15">
        <v>2.6735913707533828E-3</v>
      </c>
      <c r="K161" s="15">
        <v>2.2339642833255208E-2</v>
      </c>
      <c r="L161" s="15">
        <v>-5.8899109008381237E-3</v>
      </c>
      <c r="M161" s="15">
        <v>-6.9780522713476451E-3</v>
      </c>
      <c r="N161" s="15">
        <v>6.3245808902970936E-3</v>
      </c>
      <c r="O161" s="15">
        <v>4.4124107633168569E-2</v>
      </c>
      <c r="P161" s="15">
        <v>3.1757030973413147E-2</v>
      </c>
      <c r="Q161" s="15">
        <v>4.3245084894491533E-2</v>
      </c>
      <c r="R161" s="15">
        <v>2.4388694154542451E-2</v>
      </c>
    </row>
    <row r="162" spans="1:18" s="7" customFormat="1" x14ac:dyDescent="0.2">
      <c r="A162" s="1"/>
      <c r="B162" s="4">
        <v>39113</v>
      </c>
      <c r="C162" s="15">
        <v>4.4000000000000003E-3</v>
      </c>
      <c r="D162" s="15">
        <v>-3.6079374624173122E-3</v>
      </c>
      <c r="E162" s="15">
        <v>-1.5734118636937352E-2</v>
      </c>
      <c r="F162" s="15">
        <v>6.302294481371686E-4</v>
      </c>
      <c r="G162" s="15">
        <v>4.8952300457344368E-4</v>
      </c>
      <c r="H162" s="15">
        <v>-1.8262411347517625E-2</v>
      </c>
      <c r="I162" s="15">
        <v>-2.2899115277609284E-2</v>
      </c>
      <c r="J162" s="15">
        <v>1.2029729522641803E-2</v>
      </c>
      <c r="K162" s="15">
        <v>1.5989532221131864E-2</v>
      </c>
      <c r="L162" s="15">
        <v>3.6309829382455153E-2</v>
      </c>
      <c r="M162" s="15">
        <v>3.5247602490045375E-2</v>
      </c>
      <c r="N162" s="15">
        <v>1.6140317016092014E-2</v>
      </c>
      <c r="O162" s="15">
        <v>-1.2240206519928876E-2</v>
      </c>
      <c r="P162" s="15">
        <v>5.3515347936068198E-3</v>
      </c>
      <c r="Q162" s="15">
        <v>-1.7555565997838401E-2</v>
      </c>
      <c r="R162" s="15">
        <v>8.4104124166026941E-3</v>
      </c>
    </row>
    <row r="163" spans="1:18" s="7" customFormat="1" x14ac:dyDescent="0.2">
      <c r="A163" s="1"/>
      <c r="B163" s="4">
        <v>39141</v>
      </c>
      <c r="C163" s="15">
        <v>3.8E-3</v>
      </c>
      <c r="D163" s="15">
        <v>9.4548380607523408E-3</v>
      </c>
      <c r="E163" s="15">
        <v>2.4448623696358345E-2</v>
      </c>
      <c r="F163" s="15">
        <v>2.0295841681039647E-2</v>
      </c>
      <c r="G163" s="15">
        <v>1.2219310238050351E-2</v>
      </c>
      <c r="H163" s="15">
        <v>1.5802781289506952E-2</v>
      </c>
      <c r="I163" s="15">
        <v>4.2969949841537403E-2</v>
      </c>
      <c r="J163" s="15">
        <v>-2.4136886735311842E-2</v>
      </c>
      <c r="K163" s="15">
        <v>-1.9678802786971771E-2</v>
      </c>
      <c r="L163" s="15">
        <v>1.6901047282135962E-3</v>
      </c>
      <c r="M163" s="15">
        <v>2.9849129174679655E-3</v>
      </c>
      <c r="N163" s="15">
        <v>-8.7136141317251462E-3</v>
      </c>
      <c r="O163" s="15">
        <v>-6.583639959754875E-3</v>
      </c>
      <c r="P163" s="15">
        <v>-4.7278408798248038E-3</v>
      </c>
      <c r="Q163" s="15">
        <v>7.3634215636569052E-3</v>
      </c>
      <c r="R163" s="15">
        <v>4.0048614210631148E-2</v>
      </c>
    </row>
    <row r="164" spans="1:18" s="7" customFormat="1" x14ac:dyDescent="0.2">
      <c r="A164" s="1"/>
      <c r="B164" s="4">
        <v>39172</v>
      </c>
      <c r="C164" s="15">
        <v>4.3E-3</v>
      </c>
      <c r="D164" s="15">
        <v>-1.5942606616181406E-3</v>
      </c>
      <c r="E164" s="15">
        <v>-1.6188251001335092E-2</v>
      </c>
      <c r="F164" s="15">
        <v>-5.0130896328772333E-3</v>
      </c>
      <c r="G164" s="15">
        <v>2.5371721334297979E-3</v>
      </c>
      <c r="H164" s="15">
        <v>-1.6801493466085879E-2</v>
      </c>
      <c r="I164" s="15">
        <v>3.2343543348756061E-2</v>
      </c>
      <c r="J164" s="15">
        <v>8.3015237563231585E-3</v>
      </c>
      <c r="K164" s="15">
        <v>1.1560845518201702E-2</v>
      </c>
      <c r="L164" s="15">
        <v>1.0053701193295189E-2</v>
      </c>
      <c r="M164" s="15">
        <v>2.1221090382724964E-2</v>
      </c>
      <c r="N164" s="15">
        <v>6.3511452819494585E-3</v>
      </c>
      <c r="O164" s="15">
        <v>3.7398580971076692E-2</v>
      </c>
      <c r="P164" s="15">
        <v>3.2538009714929719E-2</v>
      </c>
      <c r="Q164" s="15">
        <v>1.9561898928606075E-2</v>
      </c>
      <c r="R164" s="15">
        <v>-1.8336109100116713E-2</v>
      </c>
    </row>
    <row r="165" spans="1:18" s="7" customFormat="1" x14ac:dyDescent="0.2">
      <c r="A165" s="1"/>
      <c r="B165" s="4">
        <v>39202</v>
      </c>
      <c r="C165" s="15">
        <v>4.4000000000000003E-3</v>
      </c>
      <c r="D165" s="15">
        <v>4.9900199600795569E-4</v>
      </c>
      <c r="E165" s="15">
        <v>6.785411365563892E-4</v>
      </c>
      <c r="F165" s="15">
        <v>7.5413548328847968E-3</v>
      </c>
      <c r="G165" s="15">
        <v>4.7037754630453394E-3</v>
      </c>
      <c r="H165" s="15">
        <v>-3.8878842676311645E-3</v>
      </c>
      <c r="I165" s="15">
        <v>-2.7505904437547346E-3</v>
      </c>
      <c r="J165" s="15">
        <v>4.6275065019005454E-2</v>
      </c>
      <c r="K165" s="15">
        <v>4.0520006753334517E-2</v>
      </c>
      <c r="L165" s="15">
        <v>2.9734166642665892E-2</v>
      </c>
      <c r="M165" s="15">
        <v>3.2558508528361729E-2</v>
      </c>
      <c r="N165" s="15">
        <v>1.6231847265139852E-2</v>
      </c>
      <c r="O165" s="15">
        <v>4.4020993849525472E-2</v>
      </c>
      <c r="P165" s="15">
        <v>5.9795208019542571E-2</v>
      </c>
      <c r="Q165" s="15">
        <v>3.4244773172327679E-2</v>
      </c>
      <c r="R165" s="15">
        <v>-1.9798748947213129E-2</v>
      </c>
    </row>
    <row r="166" spans="1:18" s="7" customFormat="1" x14ac:dyDescent="0.2">
      <c r="A166" s="1"/>
      <c r="B166" s="4">
        <v>39233</v>
      </c>
      <c r="C166" s="15">
        <v>4.0999999999999995E-3</v>
      </c>
      <c r="D166" s="15">
        <v>-8.2793017456358926E-3</v>
      </c>
      <c r="E166" s="15">
        <v>-2.9496524834717781E-2</v>
      </c>
      <c r="F166" s="15">
        <v>-9.9013677728734522E-3</v>
      </c>
      <c r="G166" s="15">
        <v>-6.3779769605534385E-3</v>
      </c>
      <c r="H166" s="15">
        <v>-2.4507579195788352E-2</v>
      </c>
      <c r="I166" s="15">
        <v>-1.5533694134846869E-2</v>
      </c>
      <c r="J166" s="15">
        <v>2.9534623757133671E-2</v>
      </c>
      <c r="K166" s="15">
        <v>3.535990214555839E-2</v>
      </c>
      <c r="L166" s="15">
        <v>4.8862485805545711E-2</v>
      </c>
      <c r="M166" s="15">
        <v>5.7163052998755279E-2</v>
      </c>
      <c r="N166" s="15">
        <v>3.3178629839688667E-2</v>
      </c>
      <c r="O166" s="15">
        <v>4.6244526672515801E-2</v>
      </c>
      <c r="P166" s="15">
        <v>1.0903935018757764E-2</v>
      </c>
      <c r="Q166" s="15">
        <v>5.2582996753524507E-2</v>
      </c>
      <c r="R166" s="15">
        <v>1.6106296367219011E-2</v>
      </c>
    </row>
    <row r="167" spans="1:18" s="7" customFormat="1" x14ac:dyDescent="0.2">
      <c r="A167" s="1"/>
      <c r="B167" s="4">
        <v>39263</v>
      </c>
      <c r="C167" s="15">
        <v>4.0000000000000001E-3</v>
      </c>
      <c r="D167" s="15">
        <v>-3.3192516596258128E-3</v>
      </c>
      <c r="E167" s="15">
        <v>-9.2576419213973998E-3</v>
      </c>
      <c r="F167" s="15">
        <v>-4.9668641303982665E-3</v>
      </c>
      <c r="G167" s="15">
        <v>-4.7778344094589649E-3</v>
      </c>
      <c r="H167" s="15">
        <v>-2.0563878291616208E-2</v>
      </c>
      <c r="I167" s="15">
        <v>3.2212040608015635E-2</v>
      </c>
      <c r="J167" s="15">
        <v>-1.3286473512772255E-2</v>
      </c>
      <c r="K167" s="15">
        <v>-2.2036840582505515E-2</v>
      </c>
      <c r="L167" s="15">
        <v>-2.30930870070719E-2</v>
      </c>
      <c r="M167" s="15">
        <v>-1.1424916784161956E-2</v>
      </c>
      <c r="N167" s="15">
        <v>-3.0794630679778823E-2</v>
      </c>
      <c r="O167" s="15">
        <v>4.4254694344122145E-2</v>
      </c>
      <c r="P167" s="15">
        <v>-2.2985616032467336E-3</v>
      </c>
      <c r="Q167" s="15">
        <v>5.2700361474129896E-2</v>
      </c>
      <c r="R167" s="15">
        <v>-2.9985823225592428E-3</v>
      </c>
    </row>
    <row r="168" spans="1:18" s="7" customFormat="1" x14ac:dyDescent="0.2">
      <c r="A168" s="1"/>
      <c r="B168" s="4">
        <v>39294</v>
      </c>
      <c r="C168" s="15">
        <v>4.0000000000000001E-3</v>
      </c>
      <c r="D168" s="15">
        <v>8.4771419921284025E-3</v>
      </c>
      <c r="E168" s="15">
        <v>1.8511988716502191E-2</v>
      </c>
      <c r="F168" s="15">
        <v>3.019454678987048E-3</v>
      </c>
      <c r="G168" s="15">
        <v>7.5641972759347411E-3</v>
      </c>
      <c r="H168" s="15">
        <v>1.7860535816074437E-2</v>
      </c>
      <c r="I168" s="15">
        <v>5.5459690945386192E-2</v>
      </c>
      <c r="J168" s="15">
        <v>-2.2731879651347889E-2</v>
      </c>
      <c r="K168" s="15">
        <v>-4.0715447956215144E-2</v>
      </c>
      <c r="L168" s="15">
        <v>-4.4078789334614468E-2</v>
      </c>
      <c r="M168" s="15">
        <v>-3.0127479378335868E-2</v>
      </c>
      <c r="N168" s="15">
        <v>-8.769850860301398E-2</v>
      </c>
      <c r="O168" s="15">
        <v>5.0087100615838154E-2</v>
      </c>
      <c r="P168" s="15">
        <v>-2.2048159329911006E-2</v>
      </c>
      <c r="Q168" s="15">
        <v>6.9839831440013586E-2</v>
      </c>
      <c r="R168" s="15">
        <v>-2.0679733038457054E-3</v>
      </c>
    </row>
    <row r="169" spans="1:18" s="7" customFormat="1" x14ac:dyDescent="0.2">
      <c r="A169" s="1"/>
      <c r="B169" s="4">
        <v>39325</v>
      </c>
      <c r="C169" s="15">
        <v>4.1999999999999997E-3</v>
      </c>
      <c r="D169" s="15">
        <v>1.1708195737015927E-2</v>
      </c>
      <c r="E169" s="15">
        <v>1.1857365414574954E-2</v>
      </c>
      <c r="F169" s="15">
        <v>9.8466447879570294E-3</v>
      </c>
      <c r="G169" s="15">
        <v>1.2204072512685073E-2</v>
      </c>
      <c r="H169" s="15">
        <v>4.5734552921410758E-3</v>
      </c>
      <c r="I169" s="15">
        <v>-4.18682778612708E-2</v>
      </c>
      <c r="J169" s="15">
        <v>1.471198293232184E-2</v>
      </c>
      <c r="K169" s="15">
        <v>1.1051001657650278E-2</v>
      </c>
      <c r="L169" s="15">
        <v>8.7893636706302177E-3</v>
      </c>
      <c r="M169" s="15">
        <v>1.8187239117471679E-2</v>
      </c>
      <c r="N169" s="15">
        <v>1.1070757135532325E-2</v>
      </c>
      <c r="O169" s="15">
        <v>-2.3178174125673582E-2</v>
      </c>
      <c r="P169" s="15">
        <v>-1.3771054582933259E-2</v>
      </c>
      <c r="Q169" s="15">
        <v>-1.4137523692317182E-2</v>
      </c>
      <c r="R169" s="15">
        <v>-2.9530679082499314E-2</v>
      </c>
    </row>
    <row r="170" spans="1:18" s="7" customFormat="1" x14ac:dyDescent="0.2">
      <c r="A170" s="1"/>
      <c r="B170" s="4">
        <v>39355</v>
      </c>
      <c r="C170" s="15">
        <v>3.2000000000000002E-3</v>
      </c>
      <c r="D170" s="15">
        <v>3.0662710187931556E-3</v>
      </c>
      <c r="E170" s="15">
        <v>-1.2830382345393164E-3</v>
      </c>
      <c r="F170" s="15">
        <v>5.2745649833929684E-3</v>
      </c>
      <c r="G170" s="15">
        <v>8.2925649060407638E-3</v>
      </c>
      <c r="H170" s="15">
        <v>-7.7116045712161884E-3</v>
      </c>
      <c r="I170" s="15">
        <v>0.10225821790076298</v>
      </c>
      <c r="J170" s="15">
        <v>4.2941202236855672E-2</v>
      </c>
      <c r="K170" s="15">
        <v>2.8888804158564207E-2</v>
      </c>
      <c r="L170" s="15">
        <v>2.6059092942022324E-2</v>
      </c>
      <c r="M170" s="15">
        <v>2.7902821549991325E-2</v>
      </c>
      <c r="N170" s="15">
        <v>2.5060114693342341E-3</v>
      </c>
      <c r="O170" s="15">
        <v>0.10848875645251652</v>
      </c>
      <c r="P170" s="15">
        <v>4.999950890357819E-2</v>
      </c>
      <c r="Q170" s="15">
        <v>0.11456218286335154</v>
      </c>
      <c r="R170" s="15">
        <v>1.8053698648766395E-2</v>
      </c>
    </row>
    <row r="171" spans="1:18" s="7" customFormat="1" x14ac:dyDescent="0.2">
      <c r="A171" s="1"/>
      <c r="B171" s="4">
        <v>39386</v>
      </c>
      <c r="C171" s="15">
        <v>3.2000000000000002E-3</v>
      </c>
      <c r="D171" s="15">
        <v>2.0708016960852772E-3</v>
      </c>
      <c r="E171" s="15">
        <v>7.279890373415504E-3</v>
      </c>
      <c r="F171" s="15">
        <v>1.1202982150434273E-2</v>
      </c>
      <c r="G171" s="15">
        <v>1.0407861752394793E-2</v>
      </c>
      <c r="H171" s="15">
        <v>6.7415730337078549E-3</v>
      </c>
      <c r="I171" s="15">
        <v>9.6069341413276291E-2</v>
      </c>
      <c r="J171" s="15">
        <v>2.0803583928321292E-2</v>
      </c>
      <c r="K171" s="15">
        <v>8.8939397682635153E-3</v>
      </c>
      <c r="L171" s="15">
        <v>2.3366806444493439E-2</v>
      </c>
      <c r="M171" s="15">
        <v>3.6565639983197097E-2</v>
      </c>
      <c r="N171" s="15">
        <v>6.8247732101303403E-3</v>
      </c>
      <c r="O171" s="15">
        <v>0.11015483391207939</v>
      </c>
      <c r="P171" s="15">
        <v>4.5500806333930804E-2</v>
      </c>
      <c r="Q171" s="15">
        <v>9.9362735862916579E-2</v>
      </c>
      <c r="R171" s="15">
        <v>-4.0668808953075158E-3</v>
      </c>
    </row>
    <row r="172" spans="1:18" s="7" customFormat="1" x14ac:dyDescent="0.2">
      <c r="A172" s="1"/>
      <c r="B172" s="4">
        <v>39416</v>
      </c>
      <c r="C172" s="15">
        <v>3.4000000000000002E-3</v>
      </c>
      <c r="D172" s="15">
        <v>2.1550875811848037E-2</v>
      </c>
      <c r="E172" s="15">
        <v>4.098290961652927E-2</v>
      </c>
      <c r="F172" s="15">
        <v>8.7915852907329579E-3</v>
      </c>
      <c r="G172" s="15">
        <v>1.8864323663092413E-2</v>
      </c>
      <c r="H172" s="15">
        <v>9.207589285714371E-3</v>
      </c>
      <c r="I172" s="15">
        <v>-3.6972268104637038E-2</v>
      </c>
      <c r="J172" s="15">
        <v>-3.6905480278676794E-2</v>
      </c>
      <c r="K172" s="15">
        <v>-5.1179077797095712E-2</v>
      </c>
      <c r="L172" s="15">
        <v>-5.1591858741070251E-2</v>
      </c>
      <c r="M172" s="15">
        <v>-6.7789267747344978E-2</v>
      </c>
      <c r="N172" s="15">
        <v>-8.1191410256946872E-2</v>
      </c>
      <c r="O172" s="15">
        <v>-7.1445018428115403E-2</v>
      </c>
      <c r="P172" s="15">
        <v>-3.3813853363849081E-2</v>
      </c>
      <c r="Q172" s="15">
        <v>-9.4249711109888432E-2</v>
      </c>
      <c r="R172" s="15">
        <v>-1.8493990268183692E-2</v>
      </c>
    </row>
    <row r="173" spans="1:18" s="7" customFormat="1" x14ac:dyDescent="0.2">
      <c r="A173" s="1"/>
      <c r="B173" s="4">
        <v>39447</v>
      </c>
      <c r="C173" s="15">
        <v>2.7000000000000001E-3</v>
      </c>
      <c r="D173" s="15">
        <v>-3.8531933339761346E-4</v>
      </c>
      <c r="E173" s="15">
        <v>-7.9228947153475362E-3</v>
      </c>
      <c r="F173" s="15">
        <v>-5.597364860028247E-4</v>
      </c>
      <c r="G173" s="15">
        <v>1.942837345291288E-3</v>
      </c>
      <c r="H173" s="15">
        <v>-3.2255091696618606E-3</v>
      </c>
      <c r="I173" s="15">
        <v>5.7652068976117132E-2</v>
      </c>
      <c r="J173" s="15">
        <v>5.8383766464929602E-4</v>
      </c>
      <c r="K173" s="15">
        <v>-1.8053010555655932E-2</v>
      </c>
      <c r="L173" s="15">
        <v>-6.3442975225403656E-3</v>
      </c>
      <c r="M173" s="15">
        <v>-3.8975250715795242E-3</v>
      </c>
      <c r="N173" s="15">
        <v>-2.2273764986261217E-2</v>
      </c>
      <c r="O173" s="15">
        <v>2.8428509664968271E-3</v>
      </c>
      <c r="P173" s="15">
        <v>-1.7828287271329867E-2</v>
      </c>
      <c r="Q173" s="15">
        <v>-1.4643113171684987E-2</v>
      </c>
      <c r="R173" s="15">
        <v>-4.0115006559195303E-2</v>
      </c>
    </row>
    <row r="174" spans="1:18" s="7" customFormat="1" x14ac:dyDescent="0.2">
      <c r="A174" s="1"/>
      <c r="B174" s="4">
        <v>39478</v>
      </c>
      <c r="C174" s="15">
        <v>2.0999999999999999E-3</v>
      </c>
      <c r="D174" s="15">
        <v>1.9273393080851884E-2</v>
      </c>
      <c r="E174" s="15">
        <v>1.9924254898732105E-2</v>
      </c>
      <c r="F174" s="15">
        <v>1.1817883117690409E-2</v>
      </c>
      <c r="G174" s="15">
        <v>1.8231756471356393E-2</v>
      </c>
      <c r="H174" s="15">
        <v>1.2296597633136211E-2</v>
      </c>
      <c r="I174" s="15">
        <v>-2.5474475499702779E-4</v>
      </c>
      <c r="J174" s="15">
        <v>-8.4265505365325941E-2</v>
      </c>
      <c r="K174" s="15">
        <v>-3.676982718969711E-2</v>
      </c>
      <c r="L174" s="15">
        <v>-6.1571028090851944E-2</v>
      </c>
      <c r="M174" s="15">
        <v>-6.9953397843960555E-2</v>
      </c>
      <c r="N174" s="15">
        <v>-3.1869427627316968E-2</v>
      </c>
      <c r="O174" s="15">
        <v>-0.12606354879679904</v>
      </c>
      <c r="P174" s="15">
        <v>-0.10498169724197577</v>
      </c>
      <c r="Q174" s="15">
        <v>-0.13935008129708937</v>
      </c>
      <c r="R174" s="15">
        <v>-4.5747444551622843E-2</v>
      </c>
    </row>
    <row r="175" spans="1:18" s="7" customFormat="1" x14ac:dyDescent="0.2">
      <c r="A175" s="1"/>
      <c r="B175" s="4">
        <v>39507</v>
      </c>
      <c r="C175" s="15">
        <v>1.2999999999999999E-3</v>
      </c>
      <c r="D175" s="15">
        <v>6.9017679871419494E-3</v>
      </c>
      <c r="E175" s="15">
        <v>-6.0542460445592505E-3</v>
      </c>
      <c r="F175" s="15">
        <v>7.23774016337329E-4</v>
      </c>
      <c r="G175" s="15">
        <v>2.5538588116435643E-5</v>
      </c>
      <c r="H175" s="15">
        <v>-1.7353182939082283E-3</v>
      </c>
      <c r="I175" s="15">
        <v>0.11258487794389238</v>
      </c>
      <c r="J175" s="15">
        <v>-1.4733079493356154E-2</v>
      </c>
      <c r="K175" s="15">
        <v>-5.4886284568263388E-2</v>
      </c>
      <c r="L175" s="15">
        <v>-1.9819786865657076E-2</v>
      </c>
      <c r="M175" s="15">
        <v>-2.1013797046418075E-2</v>
      </c>
      <c r="N175" s="15">
        <v>-5.3055722710314134E-2</v>
      </c>
      <c r="O175" s="15">
        <v>7.2505213261434859E-2</v>
      </c>
      <c r="P175" s="15">
        <v>1.4330778253749718E-2</v>
      </c>
      <c r="Q175" s="15">
        <v>6.774315036248936E-2</v>
      </c>
      <c r="R175" s="15">
        <v>6.6155934746128667E-3</v>
      </c>
    </row>
    <row r="176" spans="1:18" s="7" customFormat="1" x14ac:dyDescent="0.2">
      <c r="A176" s="1"/>
      <c r="B176" s="4">
        <v>39538</v>
      </c>
      <c r="C176" s="15">
        <v>1.7000000000000001E-3</v>
      </c>
      <c r="D176" s="15">
        <v>1.5023474178403435E-3</v>
      </c>
      <c r="E176" s="15">
        <v>4.3856087062453669E-3</v>
      </c>
      <c r="F176" s="15">
        <v>-1.3274600165815536E-2</v>
      </c>
      <c r="G176" s="15">
        <v>6.3396200369264374E-3</v>
      </c>
      <c r="H176" s="15">
        <v>-6.5873741994510416E-3</v>
      </c>
      <c r="I176" s="15">
        <v>-1.1741561148029021E-2</v>
      </c>
      <c r="J176" s="15">
        <v>-4.7636323485338132E-3</v>
      </c>
      <c r="K176" s="15">
        <v>-7.1744088691284283E-3</v>
      </c>
      <c r="L176" s="15">
        <v>-1.0946839411109742E-2</v>
      </c>
      <c r="M176" s="15">
        <v>-1.6126188665939407E-2</v>
      </c>
      <c r="N176" s="15">
        <v>7.9154465592973008E-3</v>
      </c>
      <c r="O176" s="15">
        <v>-5.4018982489890767E-2</v>
      </c>
      <c r="P176" s="15">
        <v>3.925684099785518E-4</v>
      </c>
      <c r="Q176" s="15">
        <v>-5.3917950860996482E-2</v>
      </c>
      <c r="R176" s="15">
        <v>-4.8741242354804239E-2</v>
      </c>
    </row>
    <row r="177" spans="1:18" s="7" customFormat="1" x14ac:dyDescent="0.2">
      <c r="A177" s="1"/>
      <c r="B177" s="4">
        <v>39568</v>
      </c>
      <c r="C177" s="15">
        <v>1.8E-3</v>
      </c>
      <c r="D177" s="15">
        <v>-1.8094880930058059E-2</v>
      </c>
      <c r="E177" s="15">
        <v>-2.1589714562949801E-2</v>
      </c>
      <c r="F177" s="15">
        <v>5.7222258433423942E-3</v>
      </c>
      <c r="G177" s="15">
        <v>1.6597965720397103E-4</v>
      </c>
      <c r="H177" s="15">
        <v>-1.7406520537852282E-2</v>
      </c>
      <c r="I177" s="15">
        <v>7.9645562673641784E-2</v>
      </c>
      <c r="J177" s="15">
        <v>5.8831920120453289E-2</v>
      </c>
      <c r="K177" s="15">
        <v>3.5593294269886763E-2</v>
      </c>
      <c r="L177" s="15">
        <v>7.5576825119326896E-2</v>
      </c>
      <c r="M177" s="15">
        <v>6.9162667502897873E-2</v>
      </c>
      <c r="N177" s="15">
        <v>3.3072565961031017E-2</v>
      </c>
      <c r="O177" s="15">
        <v>7.8714812165551401E-2</v>
      </c>
      <c r="P177" s="15">
        <v>3.8867708087317321E-2</v>
      </c>
      <c r="Q177" s="15">
        <v>7.5710789081242388E-2</v>
      </c>
      <c r="R177" s="15">
        <v>7.2479569339456415E-2</v>
      </c>
    </row>
    <row r="178" spans="1:18" s="7" customFormat="1" x14ac:dyDescent="0.2">
      <c r="A178" s="1"/>
      <c r="B178" s="4">
        <v>39599</v>
      </c>
      <c r="C178" s="15">
        <v>1.8E-3</v>
      </c>
      <c r="D178" s="15">
        <v>-1.3081256564499232E-2</v>
      </c>
      <c r="E178" s="15">
        <v>-3.0330578512396709E-2</v>
      </c>
      <c r="F178" s="15">
        <v>-9.1169024449017366E-3</v>
      </c>
      <c r="G178" s="15">
        <v>-5.2069189687378092E-3</v>
      </c>
      <c r="H178" s="15">
        <v>-2.3807292154841054E-2</v>
      </c>
      <c r="I178" s="15">
        <v>9.1039499899220735E-2</v>
      </c>
      <c r="J178" s="15">
        <v>2.2048587722843439E-2</v>
      </c>
      <c r="K178" s="15">
        <v>-1.6005616005615815E-3</v>
      </c>
      <c r="L178" s="15">
        <v>4.9241383342590574E-2</v>
      </c>
      <c r="M178" s="15">
        <v>6.0341486408631455E-2</v>
      </c>
      <c r="N178" s="15">
        <v>1.8616527844232494E-2</v>
      </c>
      <c r="O178" s="15">
        <v>1.553260335833276E-2</v>
      </c>
      <c r="P178" s="15">
        <v>-4.7911102894701713E-3</v>
      </c>
      <c r="Q178" s="15">
        <v>-2.7805508361241918E-2</v>
      </c>
      <c r="R178" s="15">
        <v>2.5015528143519965E-2</v>
      </c>
    </row>
    <row r="179" spans="1:18" s="7" customFormat="1" x14ac:dyDescent="0.2">
      <c r="A179" s="1"/>
      <c r="B179" s="4">
        <v>39629</v>
      </c>
      <c r="C179" s="15">
        <v>1.7000000000000001E-3</v>
      </c>
      <c r="D179" s="15">
        <v>-4.8374613003093227E-4</v>
      </c>
      <c r="E179" s="15">
        <v>1.1761697775505068E-2</v>
      </c>
      <c r="F179" s="15">
        <v>-3.8220658301488398E-3</v>
      </c>
      <c r="G179" s="15">
        <v>-5.4044403267763507E-4</v>
      </c>
      <c r="H179" s="15">
        <v>-6.5290446471436081E-3</v>
      </c>
      <c r="I179" s="15">
        <v>9.2165410981327356E-2</v>
      </c>
      <c r="J179" s="15">
        <v>-5.9988283538371462E-2</v>
      </c>
      <c r="K179" s="15">
        <v>-0.11472205425320983</v>
      </c>
      <c r="L179" s="15">
        <v>-7.1777640326094808E-2</v>
      </c>
      <c r="M179" s="15">
        <v>-6.341287521424932E-2</v>
      </c>
      <c r="N179" s="15">
        <v>-0.12495266762849233</v>
      </c>
      <c r="O179" s="15">
        <v>-0.10145800788514485</v>
      </c>
      <c r="P179" s="15">
        <v>-8.8586051191218554E-2</v>
      </c>
      <c r="Q179" s="15">
        <v>-0.11239973650559917</v>
      </c>
      <c r="R179" s="15">
        <v>-6.8734129041147923E-2</v>
      </c>
    </row>
    <row r="180" spans="1:18" s="7" customFormat="1" x14ac:dyDescent="0.2">
      <c r="A180" s="1"/>
      <c r="B180" s="4">
        <v>39660</v>
      </c>
      <c r="C180" s="15">
        <v>1.5E-3</v>
      </c>
      <c r="D180" s="15">
        <v>1.3551447100958337E-3</v>
      </c>
      <c r="E180" s="15">
        <v>-4.1277061747115578E-3</v>
      </c>
      <c r="F180" s="15">
        <v>-8.6111550479441492E-3</v>
      </c>
      <c r="G180" s="15">
        <v>-1.6353133890851745E-3</v>
      </c>
      <c r="H180" s="15">
        <v>1.6139943945104877E-2</v>
      </c>
      <c r="I180" s="15">
        <v>-0.12226326282242517</v>
      </c>
      <c r="J180" s="15">
        <v>-2.7810669325688681E-2</v>
      </c>
      <c r="K180" s="15">
        <v>1.1246485473289663E-2</v>
      </c>
      <c r="L180" s="15">
        <v>-1.6881183363749816E-2</v>
      </c>
      <c r="M180" s="15">
        <v>4.7623316966663529E-3</v>
      </c>
      <c r="N180" s="15">
        <v>2.4128789123694937E-2</v>
      </c>
      <c r="O180" s="15">
        <v>-4.163573629013928E-2</v>
      </c>
      <c r="P180" s="15">
        <v>-2.9658836892371657E-2</v>
      </c>
      <c r="Q180" s="15">
        <v>-2.2179487739180926E-2</v>
      </c>
      <c r="R180" s="15">
        <v>-3.4110769813955687E-2</v>
      </c>
    </row>
    <row r="181" spans="1:18" s="7" customFormat="1" x14ac:dyDescent="0.2">
      <c r="A181" s="1"/>
      <c r="B181" s="4">
        <v>39691</v>
      </c>
      <c r="C181" s="15">
        <v>1.2999999999999999E-3</v>
      </c>
      <c r="D181" s="15">
        <v>3.866602223296333E-3</v>
      </c>
      <c r="E181" s="15">
        <v>1.6325494840128633E-2</v>
      </c>
      <c r="F181" s="15">
        <v>6.8448449629671029E-3</v>
      </c>
      <c r="G181" s="15">
        <v>1.2621035934961149E-2</v>
      </c>
      <c r="H181" s="15">
        <v>1.692980787521401E-2</v>
      </c>
      <c r="I181" s="15">
        <v>-7.102484269315569E-2</v>
      </c>
      <c r="J181" s="15">
        <v>1.3589961377586208E-2</v>
      </c>
      <c r="K181" s="15">
        <v>1.0618746171125164E-2</v>
      </c>
      <c r="L181" s="15">
        <v>1.6676436823721906E-2</v>
      </c>
      <c r="M181" s="15">
        <v>2.818660899871929E-2</v>
      </c>
      <c r="N181" s="15">
        <v>5.0837848390357633E-2</v>
      </c>
      <c r="O181" s="15">
        <v>-8.216394588119659E-2</v>
      </c>
      <c r="P181" s="15">
        <v>-4.2024119859032143E-2</v>
      </c>
      <c r="Q181" s="15">
        <v>-7.8238255220831984E-2</v>
      </c>
      <c r="R181" s="15">
        <v>-3.9954509859419021E-2</v>
      </c>
    </row>
    <row r="182" spans="1:18" s="7" customFormat="1" x14ac:dyDescent="0.2">
      <c r="A182" s="1"/>
      <c r="B182" s="4">
        <v>39721</v>
      </c>
      <c r="C182" s="15">
        <v>1.5E-3</v>
      </c>
      <c r="D182" s="15">
        <v>1.2518054886855603E-3</v>
      </c>
      <c r="E182" s="15">
        <v>-1.248439450686689E-3</v>
      </c>
      <c r="F182" s="15">
        <v>-7.3213552134241633E-2</v>
      </c>
      <c r="G182" s="15">
        <v>8.5763620969958598E-3</v>
      </c>
      <c r="H182" s="15">
        <v>-7.2951739618406387E-3</v>
      </c>
      <c r="I182" s="15">
        <v>-0.12441777822276549</v>
      </c>
      <c r="J182" s="15">
        <v>-0.10232896421964682</v>
      </c>
      <c r="K182" s="15">
        <v>-7.7544803145934663E-2</v>
      </c>
      <c r="L182" s="15">
        <v>-0.10663383284783325</v>
      </c>
      <c r="M182" s="15">
        <v>-0.12638473397792602</v>
      </c>
      <c r="N182" s="15">
        <v>-6.5449529703978132E-2</v>
      </c>
      <c r="O182" s="15">
        <v>-0.17707552290032036</v>
      </c>
      <c r="P182" s="15">
        <v>-0.15189963431306136</v>
      </c>
      <c r="Q182" s="15">
        <v>-0.16620531486957429</v>
      </c>
      <c r="R182" s="15">
        <v>-0.1190228520411071</v>
      </c>
    </row>
    <row r="183" spans="1:18" s="7" customFormat="1" x14ac:dyDescent="0.2">
      <c r="A183" s="1"/>
      <c r="B183" s="4">
        <v>39752</v>
      </c>
      <c r="C183" s="15">
        <v>8.0000000000000004E-4</v>
      </c>
      <c r="D183" s="15">
        <v>-3.8468936333916379E-4</v>
      </c>
      <c r="E183" s="15">
        <v>-4.1250000000000023E-2</v>
      </c>
      <c r="F183" s="15">
        <v>-7.3814270690177999E-2</v>
      </c>
      <c r="G183" s="15">
        <v>-1.3961567808304494E-2</v>
      </c>
      <c r="H183" s="15">
        <v>-1.3755417373280513E-2</v>
      </c>
      <c r="I183" s="15">
        <v>-0.28198540653369691</v>
      </c>
      <c r="J183" s="15">
        <v>-0.16593571114046671</v>
      </c>
      <c r="K183" s="15">
        <v>-0.17328300869448007</v>
      </c>
      <c r="L183" s="15">
        <v>-0.21727701171835609</v>
      </c>
      <c r="M183" s="15">
        <v>-0.20760946420536552</v>
      </c>
      <c r="N183" s="15">
        <v>-0.21160266429936875</v>
      </c>
      <c r="O183" s="15">
        <v>-0.27499860215217736</v>
      </c>
      <c r="P183" s="15">
        <v>-0.21318257629908813</v>
      </c>
      <c r="Q183" s="15">
        <v>-0.23706025188214522</v>
      </c>
      <c r="R183" s="15">
        <v>-0.14787844392771637</v>
      </c>
    </row>
    <row r="184" spans="1:18" s="7" customFormat="1" x14ac:dyDescent="0.2">
      <c r="A184" s="1"/>
      <c r="B184" s="4">
        <v>39782</v>
      </c>
      <c r="C184" s="15">
        <v>2.9999999999999997E-4</v>
      </c>
      <c r="D184" s="15">
        <v>3.1364248604964451E-2</v>
      </c>
      <c r="E184" s="15">
        <v>0.10934376358105183</v>
      </c>
      <c r="F184" s="15">
        <v>3.8381426220806057E-2</v>
      </c>
      <c r="G184" s="15">
        <v>3.9775564860904541E-2</v>
      </c>
      <c r="H184" s="15">
        <v>5.6075659151700326E-2</v>
      </c>
      <c r="I184" s="15">
        <v>-0.14840835655532733</v>
      </c>
      <c r="J184" s="15">
        <v>-5.8136588250200676E-2</v>
      </c>
      <c r="K184" s="15">
        <v>-9.3449372248491702E-2</v>
      </c>
      <c r="L184" s="15">
        <v>-9.5994777664207234E-2</v>
      </c>
      <c r="M184" s="15">
        <v>-0.11839145729013795</v>
      </c>
      <c r="N184" s="15">
        <v>-0.1223749654600719</v>
      </c>
      <c r="O184" s="15">
        <v>-7.6331984274023185E-2</v>
      </c>
      <c r="P184" s="15">
        <v>-7.228026552405481E-2</v>
      </c>
      <c r="Q184" s="15">
        <v>-5.631759882133916E-2</v>
      </c>
      <c r="R184" s="15">
        <v>-1.2293808459103764E-2</v>
      </c>
    </row>
    <row r="185" spans="1:18" s="7" customFormat="1" x14ac:dyDescent="0.2">
      <c r="A185" s="1"/>
      <c r="B185" s="4">
        <v>39813</v>
      </c>
      <c r="C185" s="15">
        <v>0</v>
      </c>
      <c r="D185" s="15">
        <v>1.7350746268656712E-2</v>
      </c>
      <c r="E185" s="15">
        <v>9.1279479746141118E-2</v>
      </c>
      <c r="F185" s="15">
        <v>5.5947945165042902E-2</v>
      </c>
      <c r="G185" s="15">
        <v>1.670003991594568E-2</v>
      </c>
      <c r="H185" s="15">
        <v>4.2966983265490727E-2</v>
      </c>
      <c r="I185" s="15">
        <v>-0.13319575748003615</v>
      </c>
      <c r="J185" s="15">
        <v>1.0179143965381988E-2</v>
      </c>
      <c r="K185" s="15">
        <v>5.2159446030710967E-3</v>
      </c>
      <c r="L185" s="15">
        <v>4.5835035677976574E-2</v>
      </c>
      <c r="M185" s="15">
        <v>4.3848862790367031E-2</v>
      </c>
      <c r="N185" s="15">
        <v>3.959227045535043E-2</v>
      </c>
      <c r="O185" s="15">
        <v>7.603819557775375E-2</v>
      </c>
      <c r="P185" s="15">
        <v>5.1840655816793937E-2</v>
      </c>
      <c r="Q185" s="15">
        <v>0.10011779988542742</v>
      </c>
      <c r="R185" s="15">
        <v>8.0187552967675768E-2</v>
      </c>
    </row>
    <row r="186" spans="1:18" s="7" customFormat="1" x14ac:dyDescent="0.2">
      <c r="A186" s="1"/>
      <c r="B186" s="4">
        <v>39844</v>
      </c>
      <c r="C186" s="15">
        <v>0</v>
      </c>
      <c r="D186" s="15">
        <v>-1.8430221896203972E-2</v>
      </c>
      <c r="E186" s="15">
        <v>-8.981906950028723E-2</v>
      </c>
      <c r="F186" s="15">
        <v>3.31135715452004E-3</v>
      </c>
      <c r="G186" s="15">
        <v>2.4802124858126842E-3</v>
      </c>
      <c r="H186" s="15">
        <v>-5.0650477016478658E-2</v>
      </c>
      <c r="I186" s="15">
        <v>-8.9388725812135583E-2</v>
      </c>
      <c r="J186" s="15">
        <v>-4.9583841970924372E-2</v>
      </c>
      <c r="K186" s="15">
        <v>-0.12366084408758475</v>
      </c>
      <c r="L186" s="15">
        <v>-7.4388349338154455E-2</v>
      </c>
      <c r="M186" s="15">
        <v>-5.4756428851902128E-2</v>
      </c>
      <c r="N186" s="15">
        <v>-0.14050350179822066</v>
      </c>
      <c r="O186" s="15">
        <v>-6.6150302799439883E-2</v>
      </c>
      <c r="P186" s="15">
        <v>-0.11159778639090889</v>
      </c>
      <c r="Q186" s="15">
        <v>-5.9630722968884532E-2</v>
      </c>
      <c r="R186" s="15">
        <v>-6.7987691642146852E-2</v>
      </c>
    </row>
    <row r="187" spans="1:18" s="7" customFormat="1" x14ac:dyDescent="0.2">
      <c r="A187" s="1"/>
      <c r="B187" s="4">
        <v>39872</v>
      </c>
      <c r="C187" s="15">
        <v>1E-4</v>
      </c>
      <c r="D187" s="15">
        <v>-6.5390004670713561E-3</v>
      </c>
      <c r="E187" s="15">
        <v>-2.2639425731639903E-2</v>
      </c>
      <c r="F187" s="15">
        <v>-1.6113334122768167E-2</v>
      </c>
      <c r="G187" s="15">
        <v>5.6789824568445483E-3</v>
      </c>
      <c r="H187" s="15">
        <v>-3.2888726475424758E-3</v>
      </c>
      <c r="I187" s="15">
        <v>-6.100681948926532E-2</v>
      </c>
      <c r="J187" s="15">
        <v>-8.7877443310525327E-2</v>
      </c>
      <c r="K187" s="15">
        <v>-0.13508754019702926</v>
      </c>
      <c r="L187" s="15">
        <v>-9.803401941442634E-2</v>
      </c>
      <c r="M187" s="15">
        <v>-0.11899352300857939</v>
      </c>
      <c r="N187" s="15">
        <v>-0.13907926496238482</v>
      </c>
      <c r="O187" s="15">
        <v>-5.7084368838899266E-2</v>
      </c>
      <c r="P187" s="15">
        <v>-0.10475399273312833</v>
      </c>
      <c r="Q187" s="15">
        <v>-6.2066652627966741E-2</v>
      </c>
      <c r="R187" s="15">
        <v>-0.12419331525545187</v>
      </c>
    </row>
    <row r="188" spans="1:18" s="7" customFormat="1" x14ac:dyDescent="0.2">
      <c r="A188" s="1"/>
      <c r="B188" s="4">
        <v>39903</v>
      </c>
      <c r="C188" s="15">
        <v>2.0000000000000001E-4</v>
      </c>
      <c r="D188" s="15">
        <v>7.8984485190408005E-3</v>
      </c>
      <c r="E188" s="15">
        <v>3.5673930589184721E-2</v>
      </c>
      <c r="F188" s="15">
        <v>-1.5060405742776755E-3</v>
      </c>
      <c r="G188" s="15">
        <v>1.3966343801976236E-2</v>
      </c>
      <c r="H188" s="15">
        <v>1.3657195233730475E-2</v>
      </c>
      <c r="I188" s="15">
        <v>4.5057344353862147E-2</v>
      </c>
      <c r="J188" s="15">
        <v>7.7013671975011633E-2</v>
      </c>
      <c r="K188" s="15">
        <v>9.5458703414087243E-2</v>
      </c>
      <c r="L188" s="15">
        <v>8.9210511997388345E-2</v>
      </c>
      <c r="M188" s="15">
        <v>8.3487297921478049E-2</v>
      </c>
      <c r="N188" s="15">
        <v>9.8035403663153636E-2</v>
      </c>
      <c r="O188" s="15">
        <v>0.14152300001602219</v>
      </c>
      <c r="P188" s="15">
        <v>6.6538207607079985E-2</v>
      </c>
      <c r="Q188" s="15">
        <v>0.13840959928155061</v>
      </c>
      <c r="R188" s="15">
        <v>1.2247699197995378E-2</v>
      </c>
    </row>
    <row r="189" spans="1:18" s="7" customFormat="1" x14ac:dyDescent="0.2">
      <c r="A189" s="1"/>
      <c r="B189" s="4">
        <v>39933</v>
      </c>
      <c r="C189" s="15">
        <v>1E-4</v>
      </c>
      <c r="D189" s="15">
        <v>-1.287433529247127E-2</v>
      </c>
      <c r="E189" s="15">
        <v>-5.1589775561097187E-2</v>
      </c>
      <c r="F189" s="15">
        <v>3.0837893184427319E-2</v>
      </c>
      <c r="G189" s="15">
        <v>3.1270432745717667E-3</v>
      </c>
      <c r="H189" s="15">
        <v>-1.4196581969436725E-2</v>
      </c>
      <c r="I189" s="15">
        <v>-9.1865487280896486E-3</v>
      </c>
      <c r="J189" s="15">
        <v>8.227547187752568E-2</v>
      </c>
      <c r="K189" s="15">
        <v>0.10766619976295665</v>
      </c>
      <c r="L189" s="15">
        <v>0.14761272017024166</v>
      </c>
      <c r="M189" s="15">
        <v>0.14465878006323482</v>
      </c>
      <c r="N189" s="15">
        <v>0.25069191415605108</v>
      </c>
      <c r="O189" s="15">
        <v>0.16275152772002596</v>
      </c>
      <c r="P189" s="15">
        <v>0.13158244823516793</v>
      </c>
      <c r="Q189" s="15">
        <v>0.16191272716648172</v>
      </c>
      <c r="R189" s="15">
        <v>9.6293162193457765E-2</v>
      </c>
    </row>
    <row r="190" spans="1:18" s="7" customFormat="1" x14ac:dyDescent="0.2">
      <c r="A190" s="1"/>
      <c r="B190" s="4">
        <v>39964</v>
      </c>
      <c r="C190" s="15">
        <v>0</v>
      </c>
      <c r="D190" s="15">
        <v>-9.4509025611945931E-3</v>
      </c>
      <c r="E190" s="15">
        <v>-3.7962202136401023E-2</v>
      </c>
      <c r="F190" s="15">
        <v>4.3166619248457785E-2</v>
      </c>
      <c r="G190" s="15">
        <v>2.2003321064967456E-3</v>
      </c>
      <c r="H190" s="15">
        <v>-3.0361401577692057E-2</v>
      </c>
      <c r="I190" s="15">
        <v>0.19665083781352641</v>
      </c>
      <c r="J190" s="15">
        <v>4.6543809168186033E-2</v>
      </c>
      <c r="K190" s="15">
        <v>6.0698912964178835E-2</v>
      </c>
      <c r="L190" s="15">
        <v>2.5472716509384676E-2</v>
      </c>
      <c r="M190" s="15">
        <v>3.2533130567021562E-2</v>
      </c>
      <c r="N190" s="15">
        <v>4.8817923748072076E-2</v>
      </c>
      <c r="O190" s="15">
        <v>0.16657009641935624</v>
      </c>
      <c r="P190" s="15">
        <v>0.11116588986184373</v>
      </c>
      <c r="Q190" s="15">
        <v>0.13396575732143925</v>
      </c>
      <c r="R190" s="15">
        <v>0.10245959800400189</v>
      </c>
    </row>
    <row r="191" spans="1:18" s="7" customFormat="1" x14ac:dyDescent="0.2">
      <c r="A191" s="1"/>
      <c r="B191" s="4">
        <v>39994</v>
      </c>
      <c r="C191" s="15">
        <v>1E-4</v>
      </c>
      <c r="D191" s="15">
        <v>-7.4420379734758237E-3</v>
      </c>
      <c r="E191" s="15">
        <v>-1.879057055005115E-3</v>
      </c>
      <c r="F191" s="15">
        <v>3.0533262122223022E-2</v>
      </c>
      <c r="G191" s="15">
        <v>7.3183375818426015E-4</v>
      </c>
      <c r="H191" s="15">
        <v>1.2297795856588753E-2</v>
      </c>
      <c r="I191" s="15">
        <v>5.7110000120480673E-3</v>
      </c>
      <c r="J191" s="15">
        <v>7.0520085631531641E-3</v>
      </c>
      <c r="K191" s="15">
        <v>-7.5200036682945394E-3</v>
      </c>
      <c r="L191" s="15">
        <v>5.1106168395673645E-3</v>
      </c>
      <c r="M191" s="15">
        <v>1.7613862650946485E-2</v>
      </c>
      <c r="N191" s="15">
        <v>-8.9297765779847004E-3</v>
      </c>
      <c r="O191" s="15">
        <v>-1.5296441307376235E-2</v>
      </c>
      <c r="P191" s="15">
        <v>-2.2090443686006718E-2</v>
      </c>
      <c r="Q191" s="15">
        <v>-4.7871028187637579E-3</v>
      </c>
      <c r="R191" s="15">
        <v>1.7221937224502232E-2</v>
      </c>
    </row>
    <row r="192" spans="1:18" s="7" customFormat="1" x14ac:dyDescent="0.2">
      <c r="A192" s="1"/>
      <c r="B192" s="4">
        <v>40025</v>
      </c>
      <c r="C192" s="15">
        <v>1E-4</v>
      </c>
      <c r="D192" s="15">
        <v>-6.7288282226274322E-4</v>
      </c>
      <c r="E192" s="15">
        <v>-1.2835871983569354E-3</v>
      </c>
      <c r="F192" s="15">
        <v>3.9477855326000073E-2</v>
      </c>
      <c r="G192" s="15">
        <v>7.6089123779381094E-3</v>
      </c>
      <c r="H192" s="15">
        <v>4.579011307354405E-3</v>
      </c>
      <c r="I192" s="15">
        <v>4.4427907885729936E-3</v>
      </c>
      <c r="J192" s="15">
        <v>6.7254387061814927E-2</v>
      </c>
      <c r="K192" s="15">
        <v>8.1960775254683677E-2</v>
      </c>
      <c r="L192" s="15">
        <v>8.5839048616507208E-2</v>
      </c>
      <c r="M192" s="15">
        <v>7.6214176530966418E-2</v>
      </c>
      <c r="N192" s="15">
        <v>0.12868079249935505</v>
      </c>
      <c r="O192" s="15">
        <v>0.10866878148418162</v>
      </c>
      <c r="P192" s="15">
        <v>0.10385390582055805</v>
      </c>
      <c r="Q192" s="15">
        <v>0.13130511316477</v>
      </c>
      <c r="R192" s="15">
        <v>4.2445682703590865E-2</v>
      </c>
    </row>
    <row r="193" spans="1:18" s="7" customFormat="1" x14ac:dyDescent="0.2">
      <c r="A193" s="1"/>
      <c r="B193" s="4">
        <v>40056</v>
      </c>
      <c r="C193" s="15">
        <v>1E-4</v>
      </c>
      <c r="D193" s="15">
        <v>3.4628703347441268E-3</v>
      </c>
      <c r="E193" s="15">
        <v>4.5411704224145415E-3</v>
      </c>
      <c r="F193" s="15">
        <v>2.1627922072108407E-2</v>
      </c>
      <c r="G193" s="15">
        <v>6.9427789025186685E-3</v>
      </c>
      <c r="H193" s="15">
        <v>1.2651162790697669E-2</v>
      </c>
      <c r="I193" s="15">
        <v>-2.3653998879365291E-2</v>
      </c>
      <c r="J193" s="15">
        <v>1.7223534925501251E-2</v>
      </c>
      <c r="K193" s="15">
        <v>5.1903409697461413E-2</v>
      </c>
      <c r="L193" s="15">
        <v>4.2509664823155199E-2</v>
      </c>
      <c r="M193" s="15">
        <v>2.7953506882024404E-2</v>
      </c>
      <c r="N193" s="15">
        <v>7.5936745840213343E-2</v>
      </c>
      <c r="O193" s="15">
        <v>-5.4074291726301203E-3</v>
      </c>
      <c r="P193" s="15">
        <v>6.0393411627822566E-2</v>
      </c>
      <c r="Q193" s="15">
        <v>-3.7759400458420807E-2</v>
      </c>
      <c r="R193" s="15">
        <v>3.9116014971985788E-2</v>
      </c>
    </row>
    <row r="194" spans="1:18" s="7" customFormat="1" x14ac:dyDescent="0.2">
      <c r="A194" s="1"/>
      <c r="B194" s="4">
        <v>40086</v>
      </c>
      <c r="C194" s="15">
        <v>1E-4</v>
      </c>
      <c r="D194" s="15">
        <v>1.2461656441717355E-3</v>
      </c>
      <c r="E194" s="15">
        <v>1.2708973046741682E-2</v>
      </c>
      <c r="F194" s="15">
        <v>2.0028054393316914E-2</v>
      </c>
      <c r="G194" s="15">
        <v>8.3992641781893296E-3</v>
      </c>
      <c r="H194" s="15">
        <v>3.9500275583318652E-3</v>
      </c>
      <c r="I194" s="15">
        <v>1.7262275449102598E-3</v>
      </c>
      <c r="J194" s="15">
        <v>4.1715459484363941E-2</v>
      </c>
      <c r="K194" s="15">
        <v>2.9207599253064841E-2</v>
      </c>
      <c r="L194" s="15">
        <v>5.5467677430907837E-2</v>
      </c>
      <c r="M194" s="15">
        <v>5.6022053719228963E-2</v>
      </c>
      <c r="N194" s="15">
        <v>6.396642603752864E-2</v>
      </c>
      <c r="O194" s="15">
        <v>8.884878374192938E-2</v>
      </c>
      <c r="P194" s="15">
        <v>4.5563917396671275E-2</v>
      </c>
      <c r="Q194" s="15">
        <v>8.3435677003377229E-2</v>
      </c>
      <c r="R194" s="15">
        <v>-2.3352415767148336E-2</v>
      </c>
    </row>
    <row r="195" spans="1:18" s="7" customFormat="1" x14ac:dyDescent="0.2">
      <c r="A195" s="1"/>
      <c r="B195" s="4">
        <v>40117</v>
      </c>
      <c r="C195" s="15">
        <v>0</v>
      </c>
      <c r="D195" s="15">
        <v>-2.7764480612733964E-3</v>
      </c>
      <c r="E195" s="15">
        <v>-1.5413122210056416E-2</v>
      </c>
      <c r="F195" s="15">
        <v>8.1527998904583256E-3</v>
      </c>
      <c r="G195" s="15">
        <v>6.505071834543733E-3</v>
      </c>
      <c r="H195" s="15">
        <v>-1.2443956446152432E-2</v>
      </c>
      <c r="I195" s="15">
        <v>5.8727126610423501E-2</v>
      </c>
      <c r="J195" s="15">
        <v>-3.2065457762052358E-3</v>
      </c>
      <c r="K195" s="15">
        <v>-3.7805431202792436E-2</v>
      </c>
      <c r="L195" s="15">
        <v>-4.580158068119157E-2</v>
      </c>
      <c r="M195" s="15">
        <v>-5.7967625103502347E-2</v>
      </c>
      <c r="N195" s="15">
        <v>-7.6841568009586469E-2</v>
      </c>
      <c r="O195" s="15">
        <v>2.3412414049630136E-4</v>
      </c>
      <c r="P195" s="15">
        <v>-1.2188896889503574E-2</v>
      </c>
      <c r="Q195" s="15">
        <v>-1.4736096351398438E-3</v>
      </c>
      <c r="R195" s="15">
        <v>-2.5049567706043618E-2</v>
      </c>
    </row>
    <row r="196" spans="1:18" s="7" customFormat="1" x14ac:dyDescent="0.2">
      <c r="A196" s="1"/>
      <c r="B196" s="4">
        <v>40147</v>
      </c>
      <c r="C196" s="15">
        <v>0</v>
      </c>
      <c r="D196" s="15">
        <v>8.1605222734255807E-3</v>
      </c>
      <c r="E196" s="15">
        <v>8.2976903336184678E-3</v>
      </c>
      <c r="F196" s="15">
        <v>1.4168399478451998E-2</v>
      </c>
      <c r="G196" s="15">
        <v>1.3598218684208581E-2</v>
      </c>
      <c r="H196" s="15">
        <v>8.6166960066709208E-3</v>
      </c>
      <c r="I196" s="15">
        <v>1.5243858371711992E-2</v>
      </c>
      <c r="J196" s="15">
        <v>5.5333703087446971E-2</v>
      </c>
      <c r="K196" s="15">
        <v>5.9684361549497737E-2</v>
      </c>
      <c r="L196" s="15">
        <v>3.8168900347461447E-2</v>
      </c>
      <c r="M196" s="15">
        <v>3.3186167286195487E-2</v>
      </c>
      <c r="N196" s="15">
        <v>4.7330877448122928E-2</v>
      </c>
      <c r="O196" s="15">
        <v>4.2514210962101576E-2</v>
      </c>
      <c r="P196" s="15">
        <v>2.6126375153095537E-2</v>
      </c>
      <c r="Q196" s="15">
        <v>1.9469001433213593E-2</v>
      </c>
      <c r="R196" s="15">
        <v>-1.0134749705274617E-2</v>
      </c>
    </row>
    <row r="197" spans="1:18" s="7" customFormat="1" x14ac:dyDescent="0.2">
      <c r="A197" s="1"/>
      <c r="B197" s="4">
        <v>40178</v>
      </c>
      <c r="C197" s="15">
        <v>1E-4</v>
      </c>
      <c r="D197" s="15">
        <v>-2.2569279116274682E-2</v>
      </c>
      <c r="E197" s="15">
        <v>-6.0490370747433575E-2</v>
      </c>
      <c r="F197" s="15">
        <v>-1.0027892603759501E-2</v>
      </c>
      <c r="G197" s="15">
        <v>-1.4821262872186422E-2</v>
      </c>
      <c r="H197" s="15">
        <v>-2.5353665258129623E-2</v>
      </c>
      <c r="I197" s="15">
        <v>8.6434470747642177E-3</v>
      </c>
      <c r="J197" s="15">
        <v>2.021617644482589E-2</v>
      </c>
      <c r="K197" s="15">
        <v>1.5569997292174516E-2</v>
      </c>
      <c r="L197" s="15">
        <v>5.9786913673633937E-2</v>
      </c>
      <c r="M197" s="15">
        <v>7.7053460099750531E-2</v>
      </c>
      <c r="N197" s="15">
        <v>7.1632267800480917E-2</v>
      </c>
      <c r="O197" s="15">
        <v>3.8128142285191506E-2</v>
      </c>
      <c r="P197" s="15">
        <v>1.4313818028616301E-2</v>
      </c>
      <c r="Q197" s="15">
        <v>4.3871126391344092E-2</v>
      </c>
      <c r="R197" s="15">
        <v>6.964714491527183E-3</v>
      </c>
    </row>
    <row r="198" spans="1:18" s="7" customFormat="1" x14ac:dyDescent="0.2">
      <c r="A198" s="1"/>
      <c r="B198" s="4">
        <v>40209</v>
      </c>
      <c r="C198" s="15">
        <v>0</v>
      </c>
      <c r="D198" s="15">
        <v>9.1582229150428459E-3</v>
      </c>
      <c r="E198" s="15">
        <v>1.8240924688459417E-2</v>
      </c>
      <c r="F198" s="15">
        <v>1.9928965328820516E-2</v>
      </c>
      <c r="G198" s="15">
        <v>1.3955711600777255E-2</v>
      </c>
      <c r="H198" s="15">
        <v>5.4665409990574763E-3</v>
      </c>
      <c r="I198" s="15">
        <v>-7.8943920913384716E-2</v>
      </c>
      <c r="J198" s="15">
        <v>-5.2269175953431564E-2</v>
      </c>
      <c r="K198" s="15">
        <v>-2.1406669586912237E-2</v>
      </c>
      <c r="L198" s="15">
        <v>-3.1910523941309873E-2</v>
      </c>
      <c r="M198" s="15">
        <v>-3.4609795657495591E-2</v>
      </c>
      <c r="N198" s="15">
        <v>-2.9047509410322171E-2</v>
      </c>
      <c r="O198" s="15">
        <v>-5.6473724795824846E-2</v>
      </c>
      <c r="P198" s="15">
        <v>-5.9548970823590723E-2</v>
      </c>
      <c r="Q198" s="15">
        <v>-6.2226508937282349E-2</v>
      </c>
      <c r="R198" s="15">
        <v>1.8954633693028668E-2</v>
      </c>
    </row>
    <row r="199" spans="1:18" s="7" customFormat="1" x14ac:dyDescent="0.2">
      <c r="A199" s="1"/>
      <c r="B199" s="4">
        <v>40237</v>
      </c>
      <c r="C199" s="15">
        <v>0</v>
      </c>
      <c r="D199" s="15">
        <v>1.2550685460514545E-3</v>
      </c>
      <c r="E199" s="15">
        <v>-6.2965590634977645E-3</v>
      </c>
      <c r="F199" s="15">
        <v>3.2805200979317633E-3</v>
      </c>
      <c r="G199" s="15">
        <v>1.5951868444287174E-3</v>
      </c>
      <c r="H199" s="15">
        <v>-8.4364454443197796E-4</v>
      </c>
      <c r="I199" s="15">
        <v>5.5584196533566457E-2</v>
      </c>
      <c r="J199" s="15">
        <v>3.2486003659884313E-2</v>
      </c>
      <c r="K199" s="15">
        <v>2.4580114045501419E-2</v>
      </c>
      <c r="L199" s="15">
        <v>5.0852055366209847E-2</v>
      </c>
      <c r="M199" s="15">
        <v>4.052239411900635E-2</v>
      </c>
      <c r="N199" s="15">
        <v>4.9090648402430805E-2</v>
      </c>
      <c r="O199" s="15">
        <v>2.5053824483980565E-3</v>
      </c>
      <c r="P199" s="15">
        <v>-2.1897191293326429E-2</v>
      </c>
      <c r="Q199" s="15">
        <v>2.6684424685226478E-3</v>
      </c>
      <c r="R199" s="15">
        <v>1.085267516860503E-2</v>
      </c>
    </row>
    <row r="200" spans="1:18" s="7" customFormat="1" x14ac:dyDescent="0.2">
      <c r="A200" s="1"/>
      <c r="B200" s="4">
        <v>40268</v>
      </c>
      <c r="C200" s="15">
        <v>1E-4</v>
      </c>
      <c r="D200" s="15">
        <v>-9.5458490020249639E-3</v>
      </c>
      <c r="E200" s="15">
        <v>-2.5167336010709446E-2</v>
      </c>
      <c r="F200" s="15">
        <v>4.09307427983678E-3</v>
      </c>
      <c r="G200" s="15">
        <v>1.5908337044070494E-3</v>
      </c>
      <c r="H200" s="15">
        <v>-1.9701660568534379E-3</v>
      </c>
      <c r="I200" s="15">
        <v>1.9353477657765766E-2</v>
      </c>
      <c r="J200" s="15">
        <v>5.564524620082132E-2</v>
      </c>
      <c r="K200" s="15">
        <v>6.1923033088933668E-2</v>
      </c>
      <c r="L200" s="15">
        <v>6.9499142843904932E-2</v>
      </c>
      <c r="M200" s="15">
        <v>7.556558641512158E-2</v>
      </c>
      <c r="N200" s="15">
        <v>8.3484020185029525E-2</v>
      </c>
      <c r="O200" s="15">
        <v>7.9498551706379525E-2</v>
      </c>
      <c r="P200" s="15">
        <v>6.1809250920998725E-2</v>
      </c>
      <c r="Q200" s="15">
        <v>6.8953781065718048E-2</v>
      </c>
      <c r="R200" s="15">
        <v>4.1894259393753325E-2</v>
      </c>
    </row>
    <row r="201" spans="1:18" s="7" customFormat="1" x14ac:dyDescent="0.2">
      <c r="A201" s="1"/>
      <c r="B201" s="4">
        <v>40298</v>
      </c>
      <c r="C201" s="15">
        <v>1E-4</v>
      </c>
      <c r="D201" s="15">
        <v>3.8940809968847907E-3</v>
      </c>
      <c r="E201" s="15">
        <v>2.1605785956239121E-2</v>
      </c>
      <c r="F201" s="15">
        <v>1.7576750485216782E-2</v>
      </c>
      <c r="G201" s="15">
        <v>5.5563598634285312E-3</v>
      </c>
      <c r="H201" s="15">
        <v>7.2382026696748477E-3</v>
      </c>
      <c r="I201" s="15">
        <v>2.774991143100778E-2</v>
      </c>
      <c r="J201" s="15">
        <v>1.1868942932659518E-2</v>
      </c>
      <c r="K201" s="15">
        <v>1.7600973061925228E-2</v>
      </c>
      <c r="L201" s="15">
        <v>4.1799468996973774E-2</v>
      </c>
      <c r="M201" s="15">
        <v>4.5232328418514808E-2</v>
      </c>
      <c r="N201" s="15">
        <v>5.9789833205577167E-2</v>
      </c>
      <c r="O201" s="15">
        <v>9.5997957111212274E-3</v>
      </c>
      <c r="P201" s="15">
        <v>-3.0992331077099582E-2</v>
      </c>
      <c r="Q201" s="15">
        <v>1.8617238855636837E-2</v>
      </c>
      <c r="R201" s="15">
        <v>-1.9688813478118813E-3</v>
      </c>
    </row>
    <row r="202" spans="1:18" s="7" customFormat="1" x14ac:dyDescent="0.2">
      <c r="A202" s="1"/>
      <c r="B202" s="4">
        <v>40329</v>
      </c>
      <c r="C202" s="15">
        <v>1E-4</v>
      </c>
      <c r="D202" s="15">
        <v>8.8246702870441868E-3</v>
      </c>
      <c r="E202" s="15">
        <v>3.2081727753382902E-2</v>
      </c>
      <c r="F202" s="15">
        <v>-5.7123865628512403E-3</v>
      </c>
      <c r="G202" s="15">
        <v>1.1793987945656521E-2</v>
      </c>
      <c r="H202" s="15">
        <v>1.5305646290247322E-2</v>
      </c>
      <c r="I202" s="15">
        <v>-0.13189152625460357</v>
      </c>
      <c r="J202" s="15">
        <v>-8.2223061884969958E-2</v>
      </c>
      <c r="K202" s="15">
        <v>-8.1754262612058343E-2</v>
      </c>
      <c r="L202" s="15">
        <v>-7.3353729170998305E-2</v>
      </c>
      <c r="M202" s="15">
        <v>-7.4862112968589009E-2</v>
      </c>
      <c r="N202" s="15">
        <v>-8.6607216428774184E-2</v>
      </c>
      <c r="O202" s="15">
        <v>-9.1790167573009909E-2</v>
      </c>
      <c r="P202" s="15">
        <v>-0.12950439889573342</v>
      </c>
      <c r="Q202" s="15">
        <v>-8.8879916820241045E-2</v>
      </c>
      <c r="R202" s="15">
        <v>-8.0910525416318324E-2</v>
      </c>
    </row>
    <row r="203" spans="1:18" s="7" customFormat="1" x14ac:dyDescent="0.2">
      <c r="A203" s="1"/>
      <c r="B203" s="4">
        <v>40359</v>
      </c>
      <c r="C203" s="15">
        <v>1E-4</v>
      </c>
      <c r="D203" s="15">
        <v>9.997116216476077E-3</v>
      </c>
      <c r="E203" s="15">
        <v>3.9506816011113978E-2</v>
      </c>
      <c r="F203" s="15">
        <v>2.0577204833566183E-2</v>
      </c>
      <c r="G203" s="15">
        <v>1.1218947344704869E-2</v>
      </c>
      <c r="H203" s="15">
        <v>2.0865888408861069E-2</v>
      </c>
      <c r="I203" s="15">
        <v>4.1718557125564118E-3</v>
      </c>
      <c r="J203" s="15">
        <v>-4.8544732037375159E-2</v>
      </c>
      <c r="K203" s="15">
        <v>-5.9093780508815266E-2</v>
      </c>
      <c r="L203" s="15">
        <v>-6.7691538397430639E-2</v>
      </c>
      <c r="M203" s="15">
        <v>-6.6445431984763728E-2</v>
      </c>
      <c r="N203" s="15">
        <v>-9.1731946052413943E-2</v>
      </c>
      <c r="O203" s="15">
        <v>-9.087827772764347E-3</v>
      </c>
      <c r="P203" s="15">
        <v>-9.3457865265472364E-3</v>
      </c>
      <c r="Q203" s="15">
        <v>1.1773871154492171E-2</v>
      </c>
      <c r="R203" s="15">
        <v>-2.0454340970278952E-2</v>
      </c>
    </row>
    <row r="204" spans="1:18" s="7" customFormat="1" x14ac:dyDescent="0.2">
      <c r="A204" s="1"/>
      <c r="B204" s="4">
        <v>40390</v>
      </c>
      <c r="C204" s="15">
        <v>1E-4</v>
      </c>
      <c r="D204" s="15">
        <v>4.2828590463499438E-3</v>
      </c>
      <c r="E204" s="15">
        <v>-3.0905446040760971E-3</v>
      </c>
      <c r="F204" s="15">
        <v>2.0451839595493425E-2</v>
      </c>
      <c r="G204" s="15">
        <v>8.1253191817454995E-3</v>
      </c>
      <c r="H204" s="15">
        <v>4.1419052764271004E-3</v>
      </c>
      <c r="I204" s="15">
        <v>5.6301420799394479E-2</v>
      </c>
      <c r="J204" s="15">
        <v>6.8310945554426877E-2</v>
      </c>
      <c r="K204" s="15">
        <v>6.9193522135416657E-2</v>
      </c>
      <c r="L204" s="15">
        <v>6.877630167505569E-2</v>
      </c>
      <c r="M204" s="15">
        <v>6.0640343230895816E-2</v>
      </c>
      <c r="N204" s="15">
        <v>7.6689621683662224E-2</v>
      </c>
      <c r="O204" s="15">
        <v>7.9984967074625352E-2</v>
      </c>
      <c r="P204" s="15">
        <v>0.11537223083621846</v>
      </c>
      <c r="Q204" s="15">
        <v>6.0119853538504971E-2</v>
      </c>
      <c r="R204" s="15">
        <v>3.5238136509742869E-2</v>
      </c>
    </row>
    <row r="205" spans="1:18" s="7" customFormat="1" x14ac:dyDescent="0.2">
      <c r="A205" s="1"/>
      <c r="B205" s="4">
        <v>40421</v>
      </c>
      <c r="C205" s="15">
        <v>1E-4</v>
      </c>
      <c r="D205" s="15">
        <v>8.3396512509477799E-3</v>
      </c>
      <c r="E205" s="15">
        <v>5.3875157100963487E-2</v>
      </c>
      <c r="F205" s="15">
        <v>2.1904967242756399E-2</v>
      </c>
      <c r="G205" s="15">
        <v>1.7884239245174864E-3</v>
      </c>
      <c r="H205" s="15">
        <v>4.1786226685796367E-2</v>
      </c>
      <c r="I205" s="15">
        <v>-5.5247786022850388E-2</v>
      </c>
      <c r="J205" s="15">
        <v>-4.5416923483314192E-2</v>
      </c>
      <c r="K205" s="15">
        <v>-4.9416779251422321E-2</v>
      </c>
      <c r="L205" s="15">
        <v>-5.039567651032615E-2</v>
      </c>
      <c r="M205" s="15">
        <v>-6.1189279927258325E-2</v>
      </c>
      <c r="N205" s="15">
        <v>-6.6230358442410403E-2</v>
      </c>
      <c r="O205" s="15">
        <v>-2.154910682764943E-2</v>
      </c>
      <c r="P205" s="15">
        <v>-3.8923813680616114E-2</v>
      </c>
      <c r="Q205" s="15">
        <v>-1.3966598329250016E-2</v>
      </c>
      <c r="R205" s="15">
        <v>-2.3138656307187942E-2</v>
      </c>
    </row>
    <row r="206" spans="1:18" s="7" customFormat="1" x14ac:dyDescent="0.2">
      <c r="A206" s="1"/>
      <c r="B206" s="4">
        <v>40451</v>
      </c>
      <c r="C206" s="15">
        <v>1E-4</v>
      </c>
      <c r="D206" s="15">
        <v>-4.6992481203004844E-4</v>
      </c>
      <c r="E206" s="15">
        <v>-2.1704563523612688E-2</v>
      </c>
      <c r="F206" s="15">
        <v>5.9017786372683768E-3</v>
      </c>
      <c r="G206" s="15">
        <v>-3.2418637000672639E-3</v>
      </c>
      <c r="H206" s="15">
        <v>-1.4116026854880363E-2</v>
      </c>
      <c r="I206" s="15">
        <v>8.4881319921985068E-2</v>
      </c>
      <c r="J206" s="15">
        <v>9.9822897834187907E-2</v>
      </c>
      <c r="K206" s="15">
        <v>7.5446392825686603E-2</v>
      </c>
      <c r="L206" s="15">
        <v>0.11179089005874103</v>
      </c>
      <c r="M206" s="15">
        <v>0.11591998410609186</v>
      </c>
      <c r="N206" s="15">
        <v>0.11104341955773629</v>
      </c>
      <c r="O206" s="15">
        <v>0.10874020407279648</v>
      </c>
      <c r="P206" s="15">
        <v>0.10894246826358595</v>
      </c>
      <c r="Q206" s="15">
        <v>0.10423964192472214</v>
      </c>
      <c r="R206" s="15">
        <v>3.781335295816371E-2</v>
      </c>
    </row>
    <row r="207" spans="1:18" s="7" customFormat="1" x14ac:dyDescent="0.2">
      <c r="A207" s="1"/>
      <c r="B207" s="4">
        <v>40482</v>
      </c>
      <c r="C207" s="15">
        <v>1E-4</v>
      </c>
      <c r="D207" s="15">
        <v>0</v>
      </c>
      <c r="E207" s="15">
        <v>-3.9577407557903212E-2</v>
      </c>
      <c r="F207" s="15">
        <v>1.9558762330291225E-3</v>
      </c>
      <c r="G207" s="15">
        <v>9.8836145990231425E-3</v>
      </c>
      <c r="H207" s="15">
        <v>-2.2175659158372673E-2</v>
      </c>
      <c r="I207" s="15">
        <v>2.556737426753131E-2</v>
      </c>
      <c r="J207" s="15">
        <v>4.9180602848180974E-2</v>
      </c>
      <c r="K207" s="15">
        <v>2.4420660772452311E-2</v>
      </c>
      <c r="L207" s="15">
        <v>3.3656922430026152E-2</v>
      </c>
      <c r="M207" s="15">
        <v>3.7459872370492725E-2</v>
      </c>
      <c r="N207" s="15">
        <v>3.0914237443869726E-2</v>
      </c>
      <c r="O207" s="15">
        <v>2.8102450050161491E-2</v>
      </c>
      <c r="P207" s="15">
        <v>4.2497155468647276E-2</v>
      </c>
      <c r="Q207" s="15">
        <v>2.7229479971603684E-2</v>
      </c>
      <c r="R207" s="15">
        <v>2.042750781711776E-2</v>
      </c>
    </row>
    <row r="208" spans="1:18" s="7" customFormat="1" x14ac:dyDescent="0.2">
      <c r="A208" s="1"/>
      <c r="B208" s="4">
        <v>40512</v>
      </c>
      <c r="C208" s="15">
        <v>1E-4</v>
      </c>
      <c r="D208" s="15">
        <v>-9.2148566055477565E-3</v>
      </c>
      <c r="E208" s="15">
        <v>-1.9715687933660502E-2</v>
      </c>
      <c r="F208" s="15">
        <v>-8.407695191551972E-3</v>
      </c>
      <c r="G208" s="15">
        <v>-1.8629051746661149E-3</v>
      </c>
      <c r="H208" s="15">
        <v>-3.0714285714285694E-2</v>
      </c>
      <c r="I208" s="15">
        <v>1.0825339585160382E-2</v>
      </c>
      <c r="J208" s="15">
        <v>2.6379318614206098E-3</v>
      </c>
      <c r="K208" s="15">
        <v>-7.3405163798898262E-3</v>
      </c>
      <c r="L208" s="15">
        <v>2.8062728451833455E-2</v>
      </c>
      <c r="M208" s="15">
        <v>3.9094341241580552E-2</v>
      </c>
      <c r="N208" s="15">
        <v>2.055690525135493E-2</v>
      </c>
      <c r="O208" s="15">
        <v>-2.7041276812021536E-2</v>
      </c>
      <c r="P208" s="15">
        <v>-7.8078370423895677E-2</v>
      </c>
      <c r="Q208" s="15">
        <v>-8.8272909252668907E-3</v>
      </c>
      <c r="R208" s="15">
        <v>2.084852557883007E-2</v>
      </c>
    </row>
    <row r="209" spans="1:18" s="7" customFormat="1" x14ac:dyDescent="0.2">
      <c r="A209" s="1"/>
      <c r="B209" s="4">
        <v>40543</v>
      </c>
      <c r="C209" s="15">
        <v>1E-4</v>
      </c>
      <c r="D209" s="15">
        <v>-1.660814273512385E-2</v>
      </c>
      <c r="E209" s="15">
        <v>-4.3763487268019048E-2</v>
      </c>
      <c r="F209" s="15">
        <v>-9.483680163054467E-3</v>
      </c>
      <c r="G209" s="15">
        <v>-4.867039057078356E-3</v>
      </c>
      <c r="H209" s="15">
        <v>-9.5799557848195126E-3</v>
      </c>
      <c r="I209" s="15">
        <v>9.4025496226555691E-2</v>
      </c>
      <c r="J209" s="15">
        <v>5.1009344006123052E-2</v>
      </c>
      <c r="K209" s="15">
        <v>8.0317756667215773E-2</v>
      </c>
      <c r="L209" s="15">
        <v>6.362541575868795E-2</v>
      </c>
      <c r="M209" s="15">
        <v>6.6715867920438349E-2</v>
      </c>
      <c r="N209" s="15">
        <v>8.2120772470525308E-2</v>
      </c>
      <c r="O209" s="15">
        <v>7.0206617446807257E-2</v>
      </c>
      <c r="P209" s="15">
        <v>8.3347152516938028E-2</v>
      </c>
      <c r="Q209" s="15">
        <v>5.1976830619486297E-2</v>
      </c>
      <c r="R209" s="15">
        <v>7.5308482404439339E-2</v>
      </c>
    </row>
    <row r="210" spans="1:18" s="7" customFormat="1" x14ac:dyDescent="0.2">
      <c r="A210" s="1"/>
      <c r="B210" s="4">
        <v>40574</v>
      </c>
      <c r="C210" s="15">
        <v>1E-4</v>
      </c>
      <c r="D210" s="15">
        <v>-3.8602586373293041E-4</v>
      </c>
      <c r="E210" s="15">
        <v>-2.843473551182529E-2</v>
      </c>
      <c r="F210" s="15">
        <v>2.3696429938105819E-3</v>
      </c>
      <c r="G210" s="15">
        <v>1.0724666966283668E-3</v>
      </c>
      <c r="H210" s="15">
        <v>-2.046130952380942E-2</v>
      </c>
      <c r="I210" s="15">
        <v>3.051800275518322E-2</v>
      </c>
      <c r="J210" s="15">
        <v>1.4458452809005769E-2</v>
      </c>
      <c r="K210" s="15">
        <v>3.1226173734772284E-2</v>
      </c>
      <c r="L210" s="15">
        <v>1.9652244237767919E-2</v>
      </c>
      <c r="M210" s="15">
        <v>1.0711745666194296E-2</v>
      </c>
      <c r="N210" s="15">
        <v>1.2669816764944447E-2</v>
      </c>
      <c r="O210" s="15">
        <v>-2.8058381861844683E-2</v>
      </c>
      <c r="P210" s="15">
        <v>3.846502337266533E-2</v>
      </c>
      <c r="Q210" s="15">
        <v>4.6795632407641832E-3</v>
      </c>
      <c r="R210" s="15">
        <v>1.2008010148112007E-3</v>
      </c>
    </row>
    <row r="211" spans="1:18" s="7" customFormat="1" x14ac:dyDescent="0.2">
      <c r="A211" s="1"/>
      <c r="B211" s="4">
        <v>40602</v>
      </c>
      <c r="C211" s="15">
        <v>1E-4</v>
      </c>
      <c r="D211" s="15">
        <v>-4.4410117783355262E-3</v>
      </c>
      <c r="E211" s="15">
        <v>4.4597231255226613E-3</v>
      </c>
      <c r="F211" s="15">
        <v>7.0853577327627511E-3</v>
      </c>
      <c r="G211" s="15">
        <v>1.9083028575239995E-3</v>
      </c>
      <c r="H211" s="15">
        <v>-2.1838207368021644E-3</v>
      </c>
      <c r="I211" s="15">
        <v>3.7455589835880446E-2</v>
      </c>
      <c r="J211" s="15">
        <v>2.9910567403463643E-2</v>
      </c>
      <c r="K211" s="15">
        <v>3.4075972660357536E-2</v>
      </c>
      <c r="L211" s="15">
        <v>4.4712351945854455E-2</v>
      </c>
      <c r="M211" s="15">
        <v>4.35321656462569E-2</v>
      </c>
      <c r="N211" s="15">
        <v>5.1664817107918704E-2</v>
      </c>
      <c r="O211" s="15">
        <v>-1.0108312281795921E-2</v>
      </c>
      <c r="P211" s="15">
        <v>3.0898287820409938E-2</v>
      </c>
      <c r="Q211" s="15">
        <v>-4.2020375123695164E-2</v>
      </c>
      <c r="R211" s="15">
        <v>4.5250759255027674E-2</v>
      </c>
    </row>
    <row r="212" spans="1:18" s="7" customFormat="1" x14ac:dyDescent="0.2">
      <c r="A212" s="1"/>
      <c r="B212" s="4">
        <v>40633</v>
      </c>
      <c r="C212" s="15">
        <v>1E-4</v>
      </c>
      <c r="D212" s="15">
        <v>-2.909231962761803E-3</v>
      </c>
      <c r="E212" s="15">
        <v>-5.6424012579779801E-3</v>
      </c>
      <c r="F212" s="15">
        <v>2.7543186180425581E-4</v>
      </c>
      <c r="G212" s="15">
        <v>2.2288670118997813E-3</v>
      </c>
      <c r="H212" s="15">
        <v>-7.1367399371966879E-3</v>
      </c>
      <c r="I212" s="15">
        <v>4.3514367421356913E-2</v>
      </c>
      <c r="J212" s="15">
        <v>1.5247001423054458E-3</v>
      </c>
      <c r="K212" s="15">
        <v>-3.6702786869616854E-3</v>
      </c>
      <c r="L212" s="15">
        <v>2.3484633761185616E-2</v>
      </c>
      <c r="M212" s="15">
        <v>3.293164584833734E-2</v>
      </c>
      <c r="N212" s="15">
        <v>-3.0026848973506888E-3</v>
      </c>
      <c r="O212" s="15">
        <v>5.6964144987167939E-2</v>
      </c>
      <c r="P212" s="15">
        <v>-1.0953365324196071E-2</v>
      </c>
      <c r="Q212" s="15">
        <v>5.6290814105354858E-2</v>
      </c>
      <c r="R212" s="15">
        <v>-0.10068015490609347</v>
      </c>
    </row>
    <row r="213" spans="1:18" s="7" customFormat="1" x14ac:dyDescent="0.2">
      <c r="A213" s="1"/>
      <c r="B213" s="4">
        <v>40663</v>
      </c>
      <c r="C213" s="15">
        <v>0</v>
      </c>
      <c r="D213" s="15">
        <v>7.4888154055630807E-3</v>
      </c>
      <c r="E213" s="15">
        <v>1.3395348837209281E-2</v>
      </c>
      <c r="F213" s="15">
        <v>1.6835574078924422E-2</v>
      </c>
      <c r="G213" s="15">
        <v>1.1139190785502478E-2</v>
      </c>
      <c r="H213" s="15">
        <v>1.2171746214299367E-2</v>
      </c>
      <c r="I213" s="15">
        <v>4.4117025765272863E-2</v>
      </c>
      <c r="J213" s="15">
        <v>3.2810891534123032E-2</v>
      </c>
      <c r="K213" s="15">
        <v>2.4112140590364716E-2</v>
      </c>
      <c r="L213" s="15">
        <v>2.6303556592950025E-2</v>
      </c>
      <c r="M213" s="15">
        <v>2.9545777525135777E-2</v>
      </c>
      <c r="N213" s="15">
        <v>2.5895958481468001E-2</v>
      </c>
      <c r="O213" s="15">
        <v>2.8319113138093811E-2</v>
      </c>
      <c r="P213" s="15">
        <v>7.4237826322876344E-2</v>
      </c>
      <c r="Q213" s="15">
        <v>4.1089500286631706E-2</v>
      </c>
      <c r="R213" s="15">
        <v>3.5714012034375208E-3</v>
      </c>
    </row>
    <row r="214" spans="1:18" s="7" customFormat="1" x14ac:dyDescent="0.2">
      <c r="A214" s="1"/>
      <c r="B214" s="4">
        <v>40694</v>
      </c>
      <c r="C214" s="15">
        <v>0</v>
      </c>
      <c r="D214" s="15">
        <v>9.074234964764916E-3</v>
      </c>
      <c r="E214" s="15">
        <v>2.5335046814760467E-2</v>
      </c>
      <c r="F214" s="15">
        <v>1.4460276580919142E-2</v>
      </c>
      <c r="G214" s="15">
        <v>1.104561120476857E-2</v>
      </c>
      <c r="H214" s="15">
        <v>1.2498816399962195E-2</v>
      </c>
      <c r="I214" s="15">
        <v>-6.8884112457576918E-2</v>
      </c>
      <c r="J214" s="15">
        <v>-6.3172080747957438E-3</v>
      </c>
      <c r="K214" s="15">
        <v>-2.0928385680250475E-2</v>
      </c>
      <c r="L214" s="15">
        <v>-1.4190377526682159E-2</v>
      </c>
      <c r="M214" s="15">
        <v>-9.0109520379244492E-3</v>
      </c>
      <c r="N214" s="15">
        <v>-2.0514087003628799E-2</v>
      </c>
      <c r="O214" s="15">
        <v>-2.9946147431787334E-2</v>
      </c>
      <c r="P214" s="15">
        <v>-4.1461205291594708E-2</v>
      </c>
      <c r="Q214" s="15">
        <v>-1.3596799821492587E-2</v>
      </c>
      <c r="R214" s="15">
        <v>-1.6551797862579109E-2</v>
      </c>
    </row>
    <row r="215" spans="1:18" s="7" customFormat="1" x14ac:dyDescent="0.2">
      <c r="A215" s="1"/>
      <c r="B215" s="4">
        <v>40724</v>
      </c>
      <c r="C215" s="15">
        <v>0</v>
      </c>
      <c r="D215" s="15">
        <v>-3.3483210561560729E-3</v>
      </c>
      <c r="E215" s="15">
        <v>-2.4619516562220233E-2</v>
      </c>
      <c r="F215" s="15">
        <v>-8.327597752892664E-3</v>
      </c>
      <c r="G215" s="15">
        <v>9.6790379047621399E-4</v>
      </c>
      <c r="H215" s="15">
        <v>-1.2531562704573116E-2</v>
      </c>
      <c r="I215" s="15">
        <v>-5.3054185915045383E-2</v>
      </c>
      <c r="J215" s="15">
        <v>-1.3873191681736055E-2</v>
      </c>
      <c r="K215" s="15">
        <v>-2.2838966202783324E-2</v>
      </c>
      <c r="L215" s="15">
        <v>-2.0621731267412902E-2</v>
      </c>
      <c r="M215" s="15">
        <v>-1.8808217985548898E-2</v>
      </c>
      <c r="N215" s="15">
        <v>-3.011830156528969E-2</v>
      </c>
      <c r="O215" s="15">
        <v>-1.8624590315521203E-2</v>
      </c>
      <c r="P215" s="15">
        <v>-2.1224045229610796E-2</v>
      </c>
      <c r="Q215" s="15">
        <v>-3.1333745619459986E-2</v>
      </c>
      <c r="R215" s="15">
        <v>1.4172398933877997E-2</v>
      </c>
    </row>
    <row r="216" spans="1:18" s="7" customFormat="1" x14ac:dyDescent="0.2">
      <c r="A216" s="1"/>
      <c r="B216" s="4">
        <v>40755</v>
      </c>
      <c r="C216" s="15">
        <v>0</v>
      </c>
      <c r="D216" s="15">
        <v>1.0270685352274843E-2</v>
      </c>
      <c r="E216" s="15">
        <v>3.6714089031665897E-2</v>
      </c>
      <c r="F216" s="15">
        <v>2.2801868118417983E-2</v>
      </c>
      <c r="G216" s="15">
        <v>8.7444828358971358E-3</v>
      </c>
      <c r="H216" s="15">
        <v>1.2974713514537405E-2</v>
      </c>
      <c r="I216" s="15">
        <v>2.4348830054718641E-2</v>
      </c>
      <c r="J216" s="15">
        <v>-6.790636371450688E-3</v>
      </c>
      <c r="K216" s="15">
        <v>-3.6979768550920472E-2</v>
      </c>
      <c r="L216" s="15">
        <v>-3.6197852982717042E-2</v>
      </c>
      <c r="M216" s="15">
        <v>-3.816892098713949E-2</v>
      </c>
      <c r="N216" s="15">
        <v>-4.2768909518598186E-2</v>
      </c>
      <c r="O216" s="15">
        <v>-7.4052166296319083E-3</v>
      </c>
      <c r="P216" s="15">
        <v>-3.4700240378894347E-2</v>
      </c>
      <c r="Q216" s="15">
        <v>1.160857045464409E-2</v>
      </c>
      <c r="R216" s="15">
        <v>3.5042202482598997E-2</v>
      </c>
    </row>
    <row r="217" spans="1:18" s="7" customFormat="1" x14ac:dyDescent="0.2">
      <c r="A217" s="1"/>
      <c r="B217" s="4">
        <v>40786</v>
      </c>
      <c r="C217" s="15">
        <v>1E-4</v>
      </c>
      <c r="D217" s="15">
        <v>1.3491686460807617E-2</v>
      </c>
      <c r="E217" s="15">
        <v>7.8353253652058377E-2</v>
      </c>
      <c r="F217" s="15">
        <v>1.1673351563201257E-3</v>
      </c>
      <c r="G217" s="15">
        <v>1.3409005443736115E-2</v>
      </c>
      <c r="H217" s="15">
        <v>2.6738967838444271E-2</v>
      </c>
      <c r="I217" s="15">
        <v>-1.8445564214147975E-2</v>
      </c>
      <c r="J217" s="15">
        <v>-4.9518232171705416E-2</v>
      </c>
      <c r="K217" s="15">
        <v>-6.471512836547394E-2</v>
      </c>
      <c r="L217" s="15">
        <v>-7.2116529790076517E-2</v>
      </c>
      <c r="M217" s="15">
        <v>-7.2481147522081082E-2</v>
      </c>
      <c r="N217" s="15">
        <v>-8.6963568428015017E-2</v>
      </c>
      <c r="O217" s="15">
        <v>-9.1920673691760088E-2</v>
      </c>
      <c r="P217" s="15">
        <v>-0.10259328585717306</v>
      </c>
      <c r="Q217" s="15">
        <v>-9.9026158380045942E-2</v>
      </c>
      <c r="R217" s="15">
        <v>-8.153955838269511E-2</v>
      </c>
    </row>
    <row r="218" spans="1:18" s="7" customFormat="1" x14ac:dyDescent="0.2">
      <c r="A218" s="1"/>
      <c r="B218" s="4">
        <v>40816</v>
      </c>
      <c r="C218" s="15">
        <v>0</v>
      </c>
      <c r="D218" s="15">
        <v>-4.6873535202022272E-4</v>
      </c>
      <c r="E218" s="15">
        <v>8.9408866995073902E-2</v>
      </c>
      <c r="F218" s="15">
        <v>-1.3367943131972462E-3</v>
      </c>
      <c r="G218" s="15">
        <v>8.9178727422321131E-4</v>
      </c>
      <c r="H218" s="15">
        <v>3.4328901839373482E-2</v>
      </c>
      <c r="I218" s="15">
        <v>-0.12168825556745258</v>
      </c>
      <c r="J218" s="15">
        <v>-6.7410273920631411E-2</v>
      </c>
      <c r="K218" s="15">
        <v>-7.6547761032202025E-2</v>
      </c>
      <c r="L218" s="15">
        <v>-0.1070143031737085</v>
      </c>
      <c r="M218" s="15">
        <v>-0.11381899552461455</v>
      </c>
      <c r="N218" s="15">
        <v>-0.10654487185637943</v>
      </c>
      <c r="O218" s="15">
        <v>-0.14781590282146842</v>
      </c>
      <c r="P218" s="15">
        <v>-0.11111490633188849</v>
      </c>
      <c r="Q218" s="15">
        <v>-0.14119377881184147</v>
      </c>
      <c r="R218" s="15">
        <v>-2.4993691625162642E-2</v>
      </c>
    </row>
    <row r="219" spans="1:18" s="7" customFormat="1" x14ac:dyDescent="0.2">
      <c r="A219" s="1"/>
      <c r="B219" s="4">
        <v>40847</v>
      </c>
      <c r="C219" s="15">
        <v>0</v>
      </c>
      <c r="D219" s="15">
        <v>-4.595760645282396E-3</v>
      </c>
      <c r="E219" s="15">
        <v>-4.3183359710603587E-2</v>
      </c>
      <c r="F219" s="15">
        <v>1.7542829864128529E-2</v>
      </c>
      <c r="G219" s="15">
        <v>2.5929818463699889E-5</v>
      </c>
      <c r="H219" s="15">
        <v>-1.9015758429439179E-2</v>
      </c>
      <c r="I219" s="15">
        <v>9.7461776776329195E-2</v>
      </c>
      <c r="J219" s="15">
        <v>0.10461653621466825</v>
      </c>
      <c r="K219" s="15">
        <v>0.11124809205119165</v>
      </c>
      <c r="L219" s="15">
        <v>0.13938068306096302</v>
      </c>
      <c r="M219" s="15">
        <v>0.15176392029672692</v>
      </c>
      <c r="N219" s="15">
        <v>0.13908070665306341</v>
      </c>
      <c r="O219" s="15">
        <v>0.13076278290025151</v>
      </c>
      <c r="P219" s="15">
        <v>0.12031256004183495</v>
      </c>
      <c r="Q219" s="15">
        <v>0.12359158572470026</v>
      </c>
      <c r="R219" s="15">
        <v>-2.5467360480163825E-3</v>
      </c>
    </row>
    <row r="220" spans="1:18" s="7" customFormat="1" x14ac:dyDescent="0.2">
      <c r="A220" s="1"/>
      <c r="B220" s="4">
        <v>40877</v>
      </c>
      <c r="C220" s="15">
        <v>0</v>
      </c>
      <c r="D220" s="15">
        <v>1.0364647130878511E-3</v>
      </c>
      <c r="E220" s="15">
        <v>1.5201638311279195E-2</v>
      </c>
      <c r="F220" s="15">
        <v>-1.866179822778494E-2</v>
      </c>
      <c r="G220" s="15">
        <v>1.5055455271671479E-3</v>
      </c>
      <c r="H220" s="15">
        <v>-1.7948487839899742E-3</v>
      </c>
      <c r="I220" s="15">
        <v>1.416601923418109E-2</v>
      </c>
      <c r="J220" s="15">
        <v>-3.7712501104859297E-3</v>
      </c>
      <c r="K220" s="15">
        <v>-6.48035641960299E-3</v>
      </c>
      <c r="L220" s="15">
        <v>-5.1832512423348465E-3</v>
      </c>
      <c r="M220" s="15">
        <v>3.8731931188704001E-3</v>
      </c>
      <c r="N220" s="15">
        <v>-2.1731854373005316E-2</v>
      </c>
      <c r="O220" s="15">
        <v>-6.7536727998858903E-2</v>
      </c>
      <c r="P220" s="15">
        <v>-4.8559919946670901E-2</v>
      </c>
      <c r="Q220" s="15">
        <v>-7.5219220762534955E-2</v>
      </c>
      <c r="R220" s="15">
        <v>-4.4822906459463213E-2</v>
      </c>
    </row>
    <row r="221" spans="1:18" s="7" customFormat="1" x14ac:dyDescent="0.2">
      <c r="A221" s="1"/>
      <c r="B221" s="4">
        <v>40908</v>
      </c>
      <c r="C221" s="15">
        <v>0</v>
      </c>
      <c r="D221" s="15">
        <v>2.3531626506024094E-3</v>
      </c>
      <c r="E221" s="15">
        <v>2.3353246954767558E-2</v>
      </c>
      <c r="F221" s="15">
        <v>1.9248140880244357E-2</v>
      </c>
      <c r="G221" s="15">
        <v>6.9418699641558132E-3</v>
      </c>
      <c r="H221" s="15">
        <v>2.7420659893913485E-2</v>
      </c>
      <c r="I221" s="15">
        <v>-2.107475393884219E-2</v>
      </c>
      <c r="J221" s="15">
        <v>2.0258480466092991E-3</v>
      </c>
      <c r="K221" s="15">
        <v>1.6076144561229258E-2</v>
      </c>
      <c r="L221" s="15">
        <v>-4.7581503310855982E-3</v>
      </c>
      <c r="M221" s="15">
        <v>-6.2557024440431895E-3</v>
      </c>
      <c r="N221" s="15">
        <v>5.4355944699573536E-3</v>
      </c>
      <c r="O221" s="15">
        <v>-1.2859720464277045E-2</v>
      </c>
      <c r="P221" s="15">
        <v>-1.6024520722079064E-2</v>
      </c>
      <c r="Q221" s="15">
        <v>1.1732751674122665E-2</v>
      </c>
      <c r="R221" s="15">
        <v>7.1632989416636839E-3</v>
      </c>
    </row>
    <row r="222" spans="1:18" s="7" customFormat="1" x14ac:dyDescent="0.2">
      <c r="A222" s="1"/>
      <c r="B222" s="4">
        <v>40939</v>
      </c>
      <c r="C222" s="15">
        <v>0</v>
      </c>
      <c r="D222" s="15">
        <v>1.7842050896797607E-3</v>
      </c>
      <c r="E222" s="15">
        <v>-6.4442759666413513E-3</v>
      </c>
      <c r="F222" s="15">
        <v>2.1841272187082903E-2</v>
      </c>
      <c r="G222" s="15">
        <v>4.1559922164726417E-3</v>
      </c>
      <c r="H222" s="15">
        <v>2.450122506125316E-3</v>
      </c>
      <c r="I222" s="15">
        <v>2.232248312984348E-2</v>
      </c>
      <c r="J222" s="15">
        <v>4.0346501778256619E-2</v>
      </c>
      <c r="K222" s="15">
        <v>4.7430485294630807E-2</v>
      </c>
      <c r="L222" s="15">
        <v>6.5115506066145898E-2</v>
      </c>
      <c r="M222" s="15">
        <v>6.1534554582615017E-2</v>
      </c>
      <c r="N222" s="15">
        <v>5.9382024356694554E-2</v>
      </c>
      <c r="O222" s="15">
        <v>0.1124055666437869</v>
      </c>
      <c r="P222" s="15">
        <v>4.5633932944919769E-2</v>
      </c>
      <c r="Q222" s="15">
        <v>9.7151750260336234E-2</v>
      </c>
      <c r="R222" s="15">
        <v>4.517464305542742E-2</v>
      </c>
    </row>
    <row r="223" spans="1:18" s="7" customFormat="1" x14ac:dyDescent="0.2">
      <c r="A223" s="1"/>
      <c r="B223" s="4">
        <v>40968</v>
      </c>
      <c r="C223" s="15">
        <v>0</v>
      </c>
      <c r="D223" s="15">
        <v>-7.4053243344582506E-3</v>
      </c>
      <c r="E223" s="15">
        <v>-2.7623044639450624E-2</v>
      </c>
      <c r="F223" s="15">
        <v>8.4889216750143204E-3</v>
      </c>
      <c r="G223" s="15">
        <v>1.0242105951317904E-3</v>
      </c>
      <c r="H223" s="15">
        <v>-3.3170391061452115E-3</v>
      </c>
      <c r="I223" s="15">
        <v>6.0634662881021387E-2</v>
      </c>
      <c r="J223" s="15">
        <v>4.2086897314779291E-2</v>
      </c>
      <c r="K223" s="15">
        <v>3.8820884336747345E-2</v>
      </c>
      <c r="L223" s="15">
        <v>4.3897973619606304E-2</v>
      </c>
      <c r="M223" s="15">
        <v>3.6726581800950446E-2</v>
      </c>
      <c r="N223" s="15">
        <v>2.8040300580440564E-2</v>
      </c>
      <c r="O223" s="15">
        <v>5.8906566057873574E-2</v>
      </c>
      <c r="P223" s="15">
        <v>6.0426711760090915E-2</v>
      </c>
      <c r="Q223" s="15">
        <v>5.9895616040585464E-2</v>
      </c>
      <c r="R223" s="15">
        <v>5.0047172012675598E-2</v>
      </c>
    </row>
    <row r="224" spans="1:18" s="7" customFormat="1" x14ac:dyDescent="0.2">
      <c r="A224" s="1"/>
      <c r="B224" s="4">
        <v>40999</v>
      </c>
      <c r="C224" s="15">
        <v>0</v>
      </c>
      <c r="D224" s="15">
        <v>-7.1772594201530374E-3</v>
      </c>
      <c r="E224" s="15">
        <v>-4.4181119045750679E-2</v>
      </c>
      <c r="F224" s="15">
        <v>-5.9178479408205824E-3</v>
      </c>
      <c r="G224" s="15">
        <v>7.9403953326370388E-4</v>
      </c>
      <c r="H224" s="15">
        <v>-1.1385531616745588E-2</v>
      </c>
      <c r="I224" s="15">
        <v>-2.3502524856370437E-2</v>
      </c>
      <c r="J224" s="15">
        <v>3.0817815528694309E-2</v>
      </c>
      <c r="K224" s="15">
        <v>3.1935359753751558E-2</v>
      </c>
      <c r="L224" s="15">
        <v>1.7702686543367332E-2</v>
      </c>
      <c r="M224" s="15">
        <v>1.8336247370710004E-2</v>
      </c>
      <c r="N224" s="15">
        <v>2.0956094298023802E-2</v>
      </c>
      <c r="O224" s="15">
        <v>-3.51996353674996E-2</v>
      </c>
      <c r="P224" s="15">
        <v>-8.9221066544075741E-3</v>
      </c>
      <c r="Q224" s="15">
        <v>-3.0078902256852558E-2</v>
      </c>
      <c r="R224" s="15">
        <v>3.7172080895789849E-3</v>
      </c>
    </row>
    <row r="225" spans="1:18" s="7" customFormat="1" x14ac:dyDescent="0.2">
      <c r="A225" s="1"/>
      <c r="B225" s="4">
        <v>41029</v>
      </c>
      <c r="C225" s="15">
        <v>0</v>
      </c>
      <c r="D225" s="15">
        <v>6.2779415961191935E-3</v>
      </c>
      <c r="E225" s="15">
        <v>3.5550082101806345E-2</v>
      </c>
      <c r="F225" s="15">
        <v>1.2777014919858947E-2</v>
      </c>
      <c r="G225" s="15">
        <v>6.8301739247234048E-3</v>
      </c>
      <c r="H225" s="15">
        <v>6.4670446491850104E-3</v>
      </c>
      <c r="I225" s="15">
        <v>-5.1329718284889268E-3</v>
      </c>
      <c r="J225" s="15">
        <v>-1.2412845975067887E-3</v>
      </c>
      <c r="K225" s="15">
        <v>-1.4914243102162598E-2</v>
      </c>
      <c r="L225" s="15">
        <v>-2.5213334181936795E-3</v>
      </c>
      <c r="M225" s="15">
        <v>2.1962889688771749E-3</v>
      </c>
      <c r="N225" s="15">
        <v>-1.2762986047353706E-2</v>
      </c>
      <c r="O225" s="15">
        <v>-1.4816884584621241E-2</v>
      </c>
      <c r="P225" s="15">
        <v>-2.9370772298239096E-2</v>
      </c>
      <c r="Q225" s="15">
        <v>3.4658106303797577E-3</v>
      </c>
      <c r="R225" s="15">
        <v>-3.1986083984904948E-2</v>
      </c>
    </row>
    <row r="226" spans="1:18" s="7" customFormat="1" x14ac:dyDescent="0.2">
      <c r="A226" s="1"/>
      <c r="B226" s="4">
        <v>41060</v>
      </c>
      <c r="C226" s="15">
        <v>1E-4</v>
      </c>
      <c r="D226" s="15">
        <v>3.7810757160411327E-3</v>
      </c>
      <c r="E226" s="15">
        <v>6.4695155791643394E-2</v>
      </c>
      <c r="F226" s="15">
        <v>5.786775665055699E-3</v>
      </c>
      <c r="G226" s="15">
        <v>3.3173837497887087E-3</v>
      </c>
      <c r="H226" s="15">
        <v>3.5472229557257297E-2</v>
      </c>
      <c r="I226" s="15">
        <v>-0.12977999201723414</v>
      </c>
      <c r="J226" s="15">
        <v>-5.703784012481157E-2</v>
      </c>
      <c r="K226" s="15">
        <v>-6.937610396164523E-2</v>
      </c>
      <c r="L226" s="15">
        <v>-6.6122841633045729E-2</v>
      </c>
      <c r="M226" s="15">
        <v>-6.354845161795275E-2</v>
      </c>
      <c r="N226" s="15">
        <v>-6.0623128039888535E-2</v>
      </c>
      <c r="O226" s="15">
        <v>-0.11668434020522099</v>
      </c>
      <c r="P226" s="15">
        <v>-0.1302300228118711</v>
      </c>
      <c r="Q226" s="15">
        <v>-9.829896344348682E-2</v>
      </c>
      <c r="R226" s="15">
        <v>-8.95826270084292E-2</v>
      </c>
    </row>
    <row r="227" spans="1:18" s="7" customFormat="1" x14ac:dyDescent="0.2">
      <c r="A227" s="1"/>
      <c r="B227" s="4">
        <v>41090</v>
      </c>
      <c r="C227" s="15">
        <v>0</v>
      </c>
      <c r="D227" s="15">
        <v>-3.861003861003829E-3</v>
      </c>
      <c r="E227" s="15">
        <v>-1.9807878471963636E-2</v>
      </c>
      <c r="F227" s="15">
        <v>4.8596949294664651E-3</v>
      </c>
      <c r="G227" s="15">
        <v>9.3023205736852965E-4</v>
      </c>
      <c r="H227" s="15">
        <v>-1.8786127167630003E-2</v>
      </c>
      <c r="I227" s="15">
        <v>1.2013683093778003E-2</v>
      </c>
      <c r="J227" s="15">
        <v>3.5039259674705565E-2</v>
      </c>
      <c r="K227" s="15">
        <v>4.5077869477537363E-2</v>
      </c>
      <c r="L227" s="15">
        <v>1.7322751878908936E-2</v>
      </c>
      <c r="M227" s="15">
        <v>3.7150538383317666E-2</v>
      </c>
      <c r="N227" s="15">
        <v>3.7312981924490819E-2</v>
      </c>
      <c r="O227" s="15">
        <v>3.4269157096577706E-2</v>
      </c>
      <c r="P227" s="15">
        <v>7.6552464824705249E-2</v>
      </c>
      <c r="Q227" s="15">
        <v>2.0892061420328342E-2</v>
      </c>
      <c r="R227" s="15">
        <v>5.0319295245151087E-2</v>
      </c>
    </row>
    <row r="228" spans="1:18" s="7" customFormat="1" x14ac:dyDescent="0.2">
      <c r="A228" s="1"/>
      <c r="B228" s="4">
        <v>41121</v>
      </c>
      <c r="C228" s="15">
        <v>0</v>
      </c>
      <c r="D228" s="15">
        <v>3.2142181886935469E-3</v>
      </c>
      <c r="E228" s="15">
        <v>2.5829977968548249E-2</v>
      </c>
      <c r="F228" s="15">
        <v>2.8205465348712929E-2</v>
      </c>
      <c r="G228" s="15">
        <v>7.899086175711844E-3</v>
      </c>
      <c r="H228" s="15">
        <v>1.9665598198042068E-2</v>
      </c>
      <c r="I228" s="15">
        <v>6.3735719138478183E-2</v>
      </c>
      <c r="J228" s="15">
        <v>1.7380349232582297E-2</v>
      </c>
      <c r="K228" s="15">
        <v>6.8267687168592365E-3</v>
      </c>
      <c r="L228" s="15">
        <v>-1.5911885351767121E-3</v>
      </c>
      <c r="M228" s="15">
        <v>9.5179255757316273E-3</v>
      </c>
      <c r="N228" s="15">
        <v>-1.2456257477114865E-2</v>
      </c>
      <c r="O228" s="15">
        <v>1.6145447717724588E-2</v>
      </c>
      <c r="P228" s="15">
        <v>1.0307995834057639E-2</v>
      </c>
      <c r="Q228" s="15">
        <v>2.4947992979326733E-2</v>
      </c>
      <c r="R228" s="15">
        <v>-2.3917469301193265E-2</v>
      </c>
    </row>
    <row r="229" spans="1:18" s="7" customFormat="1" x14ac:dyDescent="0.2">
      <c r="A229" s="1"/>
      <c r="B229" s="4">
        <v>41152</v>
      </c>
      <c r="C229" s="15">
        <v>1E-4</v>
      </c>
      <c r="D229" s="15">
        <v>-1.2250282698831082E-3</v>
      </c>
      <c r="E229" s="15">
        <v>-1.9995556542990362E-2</v>
      </c>
      <c r="F229" s="15">
        <v>3.9976848030723591E-3</v>
      </c>
      <c r="G229" s="15">
        <v>1.0143990232741168E-3</v>
      </c>
      <c r="H229" s="15">
        <v>-8.3262531860663035E-3</v>
      </c>
      <c r="I229" s="15">
        <v>6.365125530012275E-2</v>
      </c>
      <c r="J229" s="15">
        <v>2.0279087108199541E-2</v>
      </c>
      <c r="K229" s="15">
        <v>1.9117410210984065E-2</v>
      </c>
      <c r="L229" s="15">
        <v>3.229879228802951E-2</v>
      </c>
      <c r="M229" s="15">
        <v>2.3605949603980603E-2</v>
      </c>
      <c r="N229" s="15">
        <v>2.9373732424081457E-2</v>
      </c>
      <c r="O229" s="15">
        <v>-5.4173910852421047E-3</v>
      </c>
      <c r="P229" s="15">
        <v>4.108677531999276E-2</v>
      </c>
      <c r="Q229" s="15">
        <v>-9.646708845566879E-3</v>
      </c>
      <c r="R229" s="15">
        <v>-7.6439602911903002E-3</v>
      </c>
    </row>
    <row r="230" spans="1:18" s="7" customFormat="1" x14ac:dyDescent="0.2">
      <c r="A230" s="1"/>
      <c r="B230" s="4">
        <v>41182</v>
      </c>
      <c r="C230" s="15">
        <v>1E-4</v>
      </c>
      <c r="D230" s="15">
        <v>-2.3587130861402019E-3</v>
      </c>
      <c r="E230" s="15">
        <v>-2.6978009521650581E-2</v>
      </c>
      <c r="F230" s="15">
        <v>7.1364618882965693E-3</v>
      </c>
      <c r="G230" s="15">
        <v>2.3807023445066569E-3</v>
      </c>
      <c r="H230" s="15">
        <v>-1.2851267991774457E-3</v>
      </c>
      <c r="I230" s="15">
        <v>-1.422246161754882E-2</v>
      </c>
      <c r="J230" s="15">
        <v>1.9928221859706337E-2</v>
      </c>
      <c r="K230" s="15">
        <v>2.9505191459772227E-2</v>
      </c>
      <c r="L230" s="15">
        <v>1.7839598997493808E-2</v>
      </c>
      <c r="M230" s="15">
        <v>1.4375024369955348E-2</v>
      </c>
      <c r="N230" s="15">
        <v>1.784683195592297E-2</v>
      </c>
      <c r="O230" s="15">
        <v>5.8404269693284785E-2</v>
      </c>
      <c r="P230" s="15">
        <v>2.803957975885487E-2</v>
      </c>
      <c r="Q230" s="15">
        <v>6.0770467643258809E-2</v>
      </c>
      <c r="R230" s="15">
        <v>1.3415211621126128E-2</v>
      </c>
    </row>
    <row r="231" spans="1:18" x14ac:dyDescent="0.2">
      <c r="B231" s="4">
        <v>41213</v>
      </c>
      <c r="C231" s="15">
        <v>1E-4</v>
      </c>
      <c r="D231" s="15">
        <v>-3.9720068091545456E-3</v>
      </c>
      <c r="E231" s="15">
        <v>-8.387698042870333E-3</v>
      </c>
      <c r="F231" s="15">
        <v>1.3414222870264243E-2</v>
      </c>
      <c r="G231" s="15">
        <v>-2.046391612772481E-3</v>
      </c>
      <c r="H231" s="15">
        <v>-3.6887706957193685E-3</v>
      </c>
      <c r="I231" s="15">
        <v>-4.0657552566320664E-2</v>
      </c>
      <c r="J231" s="15">
        <v>-2.9058757293479277E-2</v>
      </c>
      <c r="K231" s="15">
        <v>-8.6270416308485871E-3</v>
      </c>
      <c r="L231" s="15">
        <v>-8.677280987299316E-3</v>
      </c>
      <c r="M231" s="15">
        <v>-4.6597048711212999E-3</v>
      </c>
      <c r="N231" s="15">
        <v>-1.1007950667752191E-2</v>
      </c>
      <c r="O231" s="15">
        <v>-7.3105830913095223E-3</v>
      </c>
      <c r="P231" s="15">
        <v>1.3453397642963525E-2</v>
      </c>
      <c r="Q231" s="15">
        <v>6.2224071943269357E-4</v>
      </c>
      <c r="R231" s="15">
        <v>-1.8638837408966401E-2</v>
      </c>
    </row>
    <row r="232" spans="1:18" x14ac:dyDescent="0.2">
      <c r="B232" s="4">
        <v>41243</v>
      </c>
      <c r="C232" s="15">
        <v>1E-4</v>
      </c>
      <c r="D232" s="15">
        <v>1.8989745537408718E-3</v>
      </c>
      <c r="E232" s="15">
        <v>3.9160401002506263E-3</v>
      </c>
      <c r="F232" s="15">
        <v>-8.2135255640871914E-4</v>
      </c>
      <c r="G232" s="15">
        <v>-2.0585813747145969E-3</v>
      </c>
      <c r="H232" s="15">
        <v>9.7296366454278933E-3</v>
      </c>
      <c r="I232" s="15">
        <v>1.4770206518935045E-2</v>
      </c>
      <c r="J232" s="15">
        <v>6.4574794744402114E-3</v>
      </c>
      <c r="K232" s="15">
        <v>-1.4090613483634478E-3</v>
      </c>
      <c r="L232" s="15">
        <v>2.0432495268185757E-2</v>
      </c>
      <c r="M232" s="15">
        <v>1.3752767717684291E-2</v>
      </c>
      <c r="N232" s="15">
        <v>1.0416757888099745E-2</v>
      </c>
      <c r="O232" s="15">
        <v>1.1750923817925007E-2</v>
      </c>
      <c r="P232" s="15">
        <v>2.4075413591503933E-2</v>
      </c>
      <c r="Q232" s="15">
        <v>2.5253379928191228E-2</v>
      </c>
      <c r="R232" s="15">
        <v>2.3686525607863825E-2</v>
      </c>
    </row>
    <row r="233" spans="1:18" x14ac:dyDescent="0.2">
      <c r="B233" s="4">
        <v>41274</v>
      </c>
      <c r="C233" s="15">
        <v>1E-4</v>
      </c>
      <c r="D233" s="15">
        <v>-3.6959818043972763E-3</v>
      </c>
      <c r="E233" s="15">
        <v>-2.4808862537057316E-2</v>
      </c>
      <c r="F233" s="15">
        <v>-1.9428262162362017E-4</v>
      </c>
      <c r="G233" s="15">
        <v>1.3921284667042446E-3</v>
      </c>
      <c r="H233" s="15">
        <v>-4.1783917455444266E-3</v>
      </c>
      <c r="I233" s="15">
        <v>-6.4837548471686256E-3</v>
      </c>
      <c r="J233" s="15">
        <v>-3.11636615992981E-3</v>
      </c>
      <c r="K233" s="15">
        <v>1.9320525344621788E-2</v>
      </c>
      <c r="L233" s="15">
        <v>1.8183145903315278E-2</v>
      </c>
      <c r="M233" s="15">
        <v>2.3542956795584272E-2</v>
      </c>
      <c r="N233" s="15">
        <v>2.5649914846962898E-2</v>
      </c>
      <c r="O233" s="15">
        <v>4.7838080995251206E-2</v>
      </c>
      <c r="P233" s="15">
        <v>2.7353748331871808E-2</v>
      </c>
      <c r="Q233" s="15">
        <v>3.3983951636157424E-2</v>
      </c>
      <c r="R233" s="15">
        <v>5.1769400149332526E-2</v>
      </c>
    </row>
    <row r="234" spans="1:18" x14ac:dyDescent="0.2">
      <c r="B234" s="4">
        <v>41305</v>
      </c>
      <c r="C234" s="15">
        <v>0</v>
      </c>
      <c r="D234" s="15">
        <v>-5.9925806144772711E-3</v>
      </c>
      <c r="E234" s="15">
        <v>-3.9919999999999962E-2</v>
      </c>
      <c r="F234" s="15">
        <v>-7.1759738369660117E-3</v>
      </c>
      <c r="G234" s="15">
        <v>-5.1853617515046739E-3</v>
      </c>
      <c r="H234" s="15">
        <v>-1.6355540332248644E-2</v>
      </c>
      <c r="I234" s="15">
        <v>4.3574279281195664E-2</v>
      </c>
      <c r="J234" s="15">
        <v>3.8629766329975133E-2</v>
      </c>
      <c r="K234" s="15">
        <v>6.3039079970184306E-2</v>
      </c>
      <c r="L234" s="15">
        <v>7.1548447249516048E-2</v>
      </c>
      <c r="M234" s="15">
        <v>5.5890757657840247E-2</v>
      </c>
      <c r="N234" s="15">
        <v>6.9473550785871141E-2</v>
      </c>
      <c r="O234" s="15">
        <v>1.3091406714961087E-2</v>
      </c>
      <c r="P234" s="15">
        <v>5.7281983178397541E-2</v>
      </c>
      <c r="Q234" s="15">
        <v>1.2545581831889637E-2</v>
      </c>
      <c r="R234" s="15">
        <v>3.6682048070466482E-2</v>
      </c>
    </row>
    <row r="235" spans="1:18" x14ac:dyDescent="0.2">
      <c r="B235" s="4">
        <v>41333</v>
      </c>
      <c r="C235" s="15">
        <v>0</v>
      </c>
      <c r="D235" s="15">
        <v>2.5837320574162298E-3</v>
      </c>
      <c r="E235" s="15">
        <v>4.5829514207149169E-3</v>
      </c>
      <c r="F235" s="15">
        <v>7.0715896685217489E-3</v>
      </c>
      <c r="G235" s="15">
        <v>3.5067312408371323E-3</v>
      </c>
      <c r="H235" s="15">
        <v>6.7032297379646206E-3</v>
      </c>
      <c r="I235" s="15">
        <v>-4.3852629231074566E-2</v>
      </c>
      <c r="J235" s="15">
        <v>1.1255279864430758E-2</v>
      </c>
      <c r="K235" s="15">
        <v>1.0832701306506683E-2</v>
      </c>
      <c r="L235" s="15">
        <v>7.9871848073928709E-3</v>
      </c>
      <c r="M235" s="15">
        <v>1.3970375128267241E-2</v>
      </c>
      <c r="N235" s="15">
        <v>1.7809523433271544E-2</v>
      </c>
      <c r="O235" s="15">
        <v>-1.346479452951797E-2</v>
      </c>
      <c r="P235" s="15">
        <v>-2.9678602830346665E-2</v>
      </c>
      <c r="Q235" s="15">
        <v>5.1475211171831022E-3</v>
      </c>
      <c r="R235" s="15">
        <v>2.6339170634749356E-2</v>
      </c>
    </row>
    <row r="236" spans="1:18" x14ac:dyDescent="0.2">
      <c r="B236" s="4">
        <v>41364</v>
      </c>
      <c r="C236" s="15">
        <v>0</v>
      </c>
      <c r="D236" s="15">
        <v>-1.1453660398968249E-3</v>
      </c>
      <c r="E236" s="15">
        <v>-7.2992700729926632E-3</v>
      </c>
      <c r="F236" s="15">
        <v>4.2054840328395227E-4</v>
      </c>
      <c r="G236" s="15">
        <v>1.0133021953457337E-3</v>
      </c>
      <c r="H236" s="15">
        <v>1.6862677274299576E-2</v>
      </c>
      <c r="I236" s="15">
        <v>7.696730729218359E-3</v>
      </c>
      <c r="J236" s="15">
        <v>3.6353859236656558E-2</v>
      </c>
      <c r="K236" s="15">
        <v>3.5618222486480319E-2</v>
      </c>
      <c r="L236" s="15">
        <v>4.6086968069800956E-2</v>
      </c>
      <c r="M236" s="15">
        <v>3.7899827341797712E-2</v>
      </c>
      <c r="N236" s="15">
        <v>4.9011958964565595E-2</v>
      </c>
      <c r="O236" s="15">
        <v>-1.8691163418723015E-2</v>
      </c>
      <c r="P236" s="15">
        <v>-5.2258277654546395E-3</v>
      </c>
      <c r="Q236" s="15">
        <v>-2.2727745158992254E-2</v>
      </c>
      <c r="R236" s="15">
        <v>4.0716413039043692E-2</v>
      </c>
    </row>
    <row r="237" spans="1:18" x14ac:dyDescent="0.2">
      <c r="B237" s="4">
        <v>41394</v>
      </c>
      <c r="C237" s="15">
        <v>0</v>
      </c>
      <c r="D237" s="15">
        <v>2.1978021978020998E-3</v>
      </c>
      <c r="E237" s="15">
        <v>3.3004679144385048E-2</v>
      </c>
      <c r="F237" s="15">
        <v>1.7243398839202957E-2</v>
      </c>
      <c r="G237" s="15">
        <v>5.1601019000060006E-3</v>
      </c>
      <c r="H237" s="15">
        <v>1.7688578960795971E-2</v>
      </c>
      <c r="I237" s="15">
        <v>-4.7300854460223668E-2</v>
      </c>
      <c r="J237" s="15">
        <v>1.9705325143898261E-2</v>
      </c>
      <c r="K237" s="15">
        <v>1.639008119856742E-2</v>
      </c>
      <c r="L237" s="15">
        <v>5.1161609749905404E-3</v>
      </c>
      <c r="M237" s="15">
        <v>-1.1722893135595134E-3</v>
      </c>
      <c r="N237" s="15">
        <v>4.6770123363601918E-3</v>
      </c>
      <c r="O237" s="15">
        <v>4.3946105145984569E-3</v>
      </c>
      <c r="P237" s="15">
        <v>3.6435441445678944E-2</v>
      </c>
      <c r="Q237" s="15">
        <v>1.3582132843469015E-2</v>
      </c>
      <c r="R237" s="15">
        <v>8.7385416258314016E-2</v>
      </c>
    </row>
    <row r="238" spans="1:18" x14ac:dyDescent="0.2">
      <c r="B238" s="4">
        <v>41425</v>
      </c>
      <c r="C238" s="15">
        <v>0</v>
      </c>
      <c r="D238" s="15">
        <v>-1.2204424103737481E-2</v>
      </c>
      <c r="E238" s="15">
        <v>-6.9805063495915309E-2</v>
      </c>
      <c r="F238" s="15">
        <v>-2.281117111868871E-2</v>
      </c>
      <c r="G238" s="15">
        <v>-1.5436935674302835E-2</v>
      </c>
      <c r="H238" s="15">
        <v>-3.9358235146653243E-2</v>
      </c>
      <c r="I238" s="15">
        <v>-1.4890693113956631E-2</v>
      </c>
      <c r="J238" s="15">
        <v>1.9726876834232784E-2</v>
      </c>
      <c r="K238" s="15">
        <v>2.186865358492595E-2</v>
      </c>
      <c r="L238" s="15">
        <v>2.2330845111338444E-2</v>
      </c>
      <c r="M238" s="15">
        <v>3.014642870449713E-2</v>
      </c>
      <c r="N238" s="15">
        <v>1.8742496004006994E-2</v>
      </c>
      <c r="O238" s="15">
        <v>-2.9413575614843163E-2</v>
      </c>
      <c r="P238" s="15">
        <v>-4.5415369162538867E-3</v>
      </c>
      <c r="Q238" s="15">
        <v>-1.4897724801306378E-2</v>
      </c>
      <c r="R238" s="15">
        <v>-5.7142717657975885E-2</v>
      </c>
    </row>
    <row r="239" spans="1:18" x14ac:dyDescent="0.2">
      <c r="B239" s="4">
        <v>41455</v>
      </c>
      <c r="C239" s="15">
        <v>0</v>
      </c>
      <c r="D239" s="15">
        <v>-9.9420849420849521E-3</v>
      </c>
      <c r="E239" s="15">
        <v>-4.0086956521739124E-2</v>
      </c>
      <c r="F239" s="15">
        <v>-2.7837824410916923E-2</v>
      </c>
      <c r="G239" s="15">
        <v>-8.9739704710377569E-3</v>
      </c>
      <c r="H239" s="15">
        <v>-2.5313152400835166E-2</v>
      </c>
      <c r="I239" s="15">
        <v>2.3402599710853306E-3</v>
      </c>
      <c r="J239" s="15">
        <v>-1.8962295900012801E-2</v>
      </c>
      <c r="K239" s="15">
        <v>-1.0858263467537084E-2</v>
      </c>
      <c r="L239" s="15">
        <v>-1.9899268191234012E-2</v>
      </c>
      <c r="M239" s="15">
        <v>-1.0970012405915752E-2</v>
      </c>
      <c r="N239" s="15">
        <v>-1.6969679441526206E-2</v>
      </c>
      <c r="O239" s="15">
        <v>-6.7944786188220974E-2</v>
      </c>
      <c r="P239" s="15">
        <v>-5.0213726447227318E-2</v>
      </c>
      <c r="Q239" s="15">
        <v>-6.1950364567699159E-2</v>
      </c>
      <c r="R239" s="15">
        <v>1.6586635737660088E-2</v>
      </c>
    </row>
    <row r="240" spans="1:18" x14ac:dyDescent="0.2">
      <c r="B240" s="4">
        <v>41486</v>
      </c>
      <c r="C240" s="15">
        <v>0</v>
      </c>
      <c r="D240" s="15">
        <v>-7.7995515257871001E-4</v>
      </c>
      <c r="E240" s="15">
        <v>-2.4368149288884842E-2</v>
      </c>
      <c r="F240" s="15">
        <v>7.6361862568919874E-3</v>
      </c>
      <c r="G240" s="15">
        <v>-3.1176157258406022E-4</v>
      </c>
      <c r="H240" s="15">
        <v>-2.4096385542168321E-3</v>
      </c>
      <c r="I240" s="15">
        <v>4.9132349866047184E-2</v>
      </c>
      <c r="J240" s="15">
        <v>4.9682387593598068E-2</v>
      </c>
      <c r="K240" s="15">
        <v>4.923224312744498E-2</v>
      </c>
      <c r="L240" s="15">
        <v>6.0531700778601046E-2</v>
      </c>
      <c r="M240" s="15">
        <v>7.1315204353295775E-2</v>
      </c>
      <c r="N240" s="15">
        <v>6.3056006060672937E-2</v>
      </c>
      <c r="O240" s="15">
        <v>7.6813459104781894E-3</v>
      </c>
      <c r="P240" s="15">
        <v>7.3067862562368843E-2</v>
      </c>
      <c r="Q240" s="15">
        <v>1.9363056798850399E-2</v>
      </c>
      <c r="R240" s="15">
        <v>5.9937155708094433E-3</v>
      </c>
    </row>
    <row r="241" spans="2:18" x14ac:dyDescent="0.2">
      <c r="B241" s="4">
        <v>41517</v>
      </c>
      <c r="C241" s="15">
        <v>0</v>
      </c>
      <c r="D241" s="15">
        <v>-5.9518001756270226E-3</v>
      </c>
      <c r="E241" s="15">
        <v>-1.6063138347260947E-2</v>
      </c>
      <c r="F241" s="15">
        <v>-6.7014937008725616E-3</v>
      </c>
      <c r="G241" s="15">
        <v>-3.1648497580781519E-3</v>
      </c>
      <c r="H241" s="15">
        <v>-7.6042225800679398E-3</v>
      </c>
      <c r="I241" s="15">
        <v>3.3760656806814351E-2</v>
      </c>
      <c r="J241" s="15">
        <v>-2.4443017005307752E-2</v>
      </c>
      <c r="K241" s="15">
        <v>-3.8400081162655003E-2</v>
      </c>
      <c r="L241" s="15">
        <v>-3.8728669516674127E-2</v>
      </c>
      <c r="M241" s="15">
        <v>-1.4121912005161425E-2</v>
      </c>
      <c r="N241" s="15">
        <v>-5.1864126505294719E-2</v>
      </c>
      <c r="O241" s="15">
        <v>-1.9014239836716192E-2</v>
      </c>
      <c r="P241" s="15">
        <v>-1.5320874675631868E-2</v>
      </c>
      <c r="Q241" s="15">
        <v>-9.4905368046905424E-3</v>
      </c>
      <c r="R241" s="15">
        <v>-2.1788118106991702E-2</v>
      </c>
    </row>
    <row r="242" spans="2:18" x14ac:dyDescent="0.2">
      <c r="B242" s="4">
        <v>41547</v>
      </c>
      <c r="C242" s="15">
        <v>0</v>
      </c>
      <c r="D242" s="15">
        <v>5.6929721240676539E-3</v>
      </c>
      <c r="E242" s="15">
        <v>1.038029631027644E-3</v>
      </c>
      <c r="F242" s="15">
        <v>8.2531012951196601E-3</v>
      </c>
      <c r="G242" s="15">
        <v>1.4323894177351977E-2</v>
      </c>
      <c r="H242" s="15">
        <v>8.7442531326061366E-3</v>
      </c>
      <c r="I242" s="15">
        <v>-3.3916824364700025E-2</v>
      </c>
      <c r="J242" s="15">
        <v>3.6179650679234746E-2</v>
      </c>
      <c r="K242" s="15">
        <v>2.298683828765867E-2</v>
      </c>
      <c r="L242" s="15">
        <v>5.0964051075335137E-2</v>
      </c>
      <c r="M242" s="15">
        <v>5.3037962411534252E-2</v>
      </c>
      <c r="N242" s="15">
        <v>3.527188210354254E-2</v>
      </c>
      <c r="O242" s="15">
        <v>6.2312809832002103E-2</v>
      </c>
      <c r="P242" s="15">
        <v>7.0948113121093767E-2</v>
      </c>
      <c r="Q242" s="15">
        <v>4.8551431393116198E-2</v>
      </c>
      <c r="R242" s="15">
        <v>7.6873217836249119E-2</v>
      </c>
    </row>
    <row r="243" spans="2:18" x14ac:dyDescent="0.2">
      <c r="B243" s="4">
        <v>41578</v>
      </c>
      <c r="C243" s="15">
        <v>0</v>
      </c>
      <c r="D243" s="15">
        <v>1.9519812609797836E-3</v>
      </c>
      <c r="E243" s="15">
        <v>9.2383107088989825E-3</v>
      </c>
      <c r="F243" s="15">
        <v>1.4968260558051739E-2</v>
      </c>
      <c r="G243" s="15">
        <v>7.0976805774603958E-3</v>
      </c>
      <c r="H243" s="15">
        <v>1.1796246648793505E-2</v>
      </c>
      <c r="I243" s="15">
        <v>-1.4428471743950424E-2</v>
      </c>
      <c r="J243" s="15">
        <v>4.7157190635451582E-2</v>
      </c>
      <c r="K243" s="15">
        <v>4.1846613982389771E-2</v>
      </c>
      <c r="L243" s="15">
        <v>3.5550832003200201E-2</v>
      </c>
      <c r="M243" s="15">
        <v>2.5840923289382728E-2</v>
      </c>
      <c r="N243" s="15">
        <v>3.7717894677484147E-2</v>
      </c>
      <c r="O243" s="15">
        <v>4.7558478436551331E-2</v>
      </c>
      <c r="P243" s="15">
        <v>4.2140558989203651E-2</v>
      </c>
      <c r="Q243" s="15">
        <v>3.8321886687961028E-2</v>
      </c>
      <c r="R243" s="15">
        <v>-2.0001656329385968E-4</v>
      </c>
    </row>
    <row r="244" spans="2:18" x14ac:dyDescent="0.2">
      <c r="B244" s="4">
        <v>41608</v>
      </c>
      <c r="C244" s="15">
        <v>0</v>
      </c>
      <c r="D244" s="15">
        <v>-2.1429962984609282E-3</v>
      </c>
      <c r="E244" s="15">
        <v>-2.7928264524565614E-2</v>
      </c>
      <c r="F244" s="15">
        <v>-2.9984883858054784E-3</v>
      </c>
      <c r="G244" s="15">
        <v>-6.8643317712253253E-3</v>
      </c>
      <c r="H244" s="15">
        <v>-9.0090090090089742E-3</v>
      </c>
      <c r="I244" s="15">
        <v>-7.7954152672116278E-3</v>
      </c>
      <c r="J244" s="15">
        <v>3.0245927818588276E-2</v>
      </c>
      <c r="K244" s="15">
        <v>2.5688300439274878E-2</v>
      </c>
      <c r="L244" s="15">
        <v>1.1872661445472827E-2</v>
      </c>
      <c r="M244" s="15">
        <v>2.8452926224963055E-2</v>
      </c>
      <c r="N244" s="15">
        <v>2.3733188425485705E-2</v>
      </c>
      <c r="O244" s="15">
        <v>-1.5599079677500512E-2</v>
      </c>
      <c r="P244" s="15">
        <v>9.9575259729671392E-3</v>
      </c>
      <c r="Q244" s="15">
        <v>4.18993888811679E-3</v>
      </c>
      <c r="R244" s="15">
        <v>1.4376339334414335E-2</v>
      </c>
    </row>
    <row r="245" spans="2:18" x14ac:dyDescent="0.2"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>
    <tabColor rgb="FF92D050"/>
  </sheetPr>
  <dimension ref="A3:F244"/>
  <sheetViews>
    <sheetView tabSelected="1" workbookViewId="0">
      <pane xSplit="2" ySplit="5" topLeftCell="C6" activePane="bottomRight" state="frozenSplit"/>
      <selection activeCell="E214" sqref="E214"/>
      <selection pane="topRight" activeCell="E214" sqref="E214"/>
      <selection pane="bottomLeft" activeCell="E214" sqref="E214"/>
      <selection pane="bottomRight" activeCell="D7" sqref="D7"/>
    </sheetView>
  </sheetViews>
  <sheetFormatPr baseColWidth="10" defaultColWidth="16.6640625" defaultRowHeight="15" x14ac:dyDescent="0.2"/>
  <cols>
    <col min="1" max="1" width="5.33203125" style="1" customWidth="1"/>
    <col min="2" max="16384" width="16.6640625" style="12"/>
  </cols>
  <sheetData>
    <row r="3" spans="2:6" ht="24" customHeight="1" x14ac:dyDescent="0.2"/>
    <row r="4" spans="2:6" s="2" customFormat="1" ht="48" customHeight="1" x14ac:dyDescent="0.2">
      <c r="C4" s="2" t="s">
        <v>46</v>
      </c>
      <c r="D4" s="2" t="s">
        <v>47</v>
      </c>
      <c r="E4" s="2" t="s">
        <v>48</v>
      </c>
      <c r="F4" s="2" t="s">
        <v>49</v>
      </c>
    </row>
    <row r="5" spans="2:6" x14ac:dyDescent="0.2">
      <c r="B5" s="13" t="s">
        <v>50</v>
      </c>
      <c r="C5" s="13" t="s">
        <v>51</v>
      </c>
      <c r="D5" s="13" t="s">
        <v>52</v>
      </c>
      <c r="E5" s="13" t="s">
        <v>53</v>
      </c>
      <c r="F5" s="13" t="s">
        <v>54</v>
      </c>
    </row>
    <row r="6" spans="2:6" x14ac:dyDescent="0.2">
      <c r="B6" s="4">
        <v>34365</v>
      </c>
      <c r="C6" s="16">
        <v>2.87E-2</v>
      </c>
      <c r="D6" s="16">
        <v>1.4000000000000002E-3</v>
      </c>
      <c r="E6" s="16">
        <v>2.1000000000000001E-2</v>
      </c>
      <c r="F6" s="16">
        <v>1E-4</v>
      </c>
    </row>
    <row r="7" spans="2:6" x14ac:dyDescent="0.2">
      <c r="B7" s="4">
        <v>34393</v>
      </c>
      <c r="C7" s="16">
        <v>-2.5600000000000001E-2</v>
      </c>
      <c r="D7" s="16">
        <v>2.7200000000000002E-2</v>
      </c>
      <c r="E7" s="16">
        <v>-1.41E-2</v>
      </c>
      <c r="F7" s="16">
        <v>-2.5999999999999999E-3</v>
      </c>
    </row>
    <row r="8" spans="2:6" x14ac:dyDescent="0.2">
      <c r="B8" s="4">
        <v>34424</v>
      </c>
      <c r="C8" s="16">
        <v>-4.7800000000000002E-2</v>
      </c>
      <c r="D8" s="16">
        <v>-9.5999999999999992E-3</v>
      </c>
      <c r="E8" s="16">
        <v>1.34E-2</v>
      </c>
      <c r="F8" s="16">
        <v>-1.32E-2</v>
      </c>
    </row>
    <row r="9" spans="2:6" x14ac:dyDescent="0.2">
      <c r="B9" s="4">
        <v>34454</v>
      </c>
      <c r="C9" s="16">
        <v>6.8000000000000005E-3</v>
      </c>
      <c r="D9" s="16">
        <v>-9.1000000000000004E-3</v>
      </c>
      <c r="E9" s="16">
        <v>1.6899999999999998E-2</v>
      </c>
      <c r="F9" s="16">
        <v>4.0999999999999995E-3</v>
      </c>
    </row>
    <row r="10" spans="2:6" x14ac:dyDescent="0.2">
      <c r="B10" s="4">
        <v>34485</v>
      </c>
      <c r="C10" s="16">
        <v>5.7999999999999996E-3</v>
      </c>
      <c r="D10" s="16">
        <v>-2.0099999999999996E-2</v>
      </c>
      <c r="E10" s="16">
        <v>1.8E-3</v>
      </c>
      <c r="F10" s="16">
        <v>-2.1899999999999999E-2</v>
      </c>
    </row>
    <row r="11" spans="2:6" x14ac:dyDescent="0.2">
      <c r="B11" s="4">
        <v>34515</v>
      </c>
      <c r="C11" s="16">
        <v>-3.0299999999999997E-2</v>
      </c>
      <c r="D11" s="16">
        <v>-4.7999999999999996E-3</v>
      </c>
      <c r="E11" s="16">
        <v>1.6799999999999999E-2</v>
      </c>
      <c r="F11" s="16">
        <v>-8.3000000000000001E-3</v>
      </c>
    </row>
    <row r="12" spans="2:6" x14ac:dyDescent="0.2">
      <c r="B12" s="4">
        <v>34546</v>
      </c>
      <c r="C12" s="16">
        <v>2.8199999999999999E-2</v>
      </c>
      <c r="D12" s="16">
        <v>-1.78E-2</v>
      </c>
      <c r="E12" s="16">
        <v>9.7999999999999997E-3</v>
      </c>
      <c r="F12" s="16">
        <v>1.9E-3</v>
      </c>
    </row>
    <row r="13" spans="2:6" x14ac:dyDescent="0.2">
      <c r="B13" s="4">
        <v>34577</v>
      </c>
      <c r="C13" s="16">
        <v>4.0099999999999997E-2</v>
      </c>
      <c r="D13" s="16">
        <v>1.4499999999999999E-2</v>
      </c>
      <c r="E13" s="16">
        <v>-3.4700000000000002E-2</v>
      </c>
      <c r="F13" s="16">
        <v>1.54E-2</v>
      </c>
    </row>
    <row r="14" spans="2:6" x14ac:dyDescent="0.2">
      <c r="B14" s="4">
        <v>34607</v>
      </c>
      <c r="C14" s="16">
        <v>-2.3099999999999999E-2</v>
      </c>
      <c r="D14" s="16">
        <v>2.6800000000000001E-2</v>
      </c>
      <c r="E14" s="16">
        <v>-1.8100000000000002E-2</v>
      </c>
      <c r="F14" s="16">
        <v>1.3100000000000001E-2</v>
      </c>
    </row>
    <row r="15" spans="2:6" x14ac:dyDescent="0.2">
      <c r="B15" s="4">
        <v>34638</v>
      </c>
      <c r="C15" s="16">
        <v>1.34E-2</v>
      </c>
      <c r="D15" s="16">
        <v>-2.2000000000000002E-2</v>
      </c>
      <c r="E15" s="16">
        <v>-2.3599999999999999E-2</v>
      </c>
      <c r="F15" s="16">
        <v>1.47E-2</v>
      </c>
    </row>
    <row r="16" spans="2:6" x14ac:dyDescent="0.2">
      <c r="B16" s="4">
        <v>34668</v>
      </c>
      <c r="C16" s="16">
        <v>-4.0399999999999998E-2</v>
      </c>
      <c r="D16" s="16">
        <v>-1.7000000000000001E-3</v>
      </c>
      <c r="E16" s="16">
        <v>-5.0000000000000001E-4</v>
      </c>
      <c r="F16" s="16">
        <v>-1.9E-3</v>
      </c>
    </row>
    <row r="17" spans="2:6" x14ac:dyDescent="0.2">
      <c r="B17" s="4">
        <v>34699</v>
      </c>
      <c r="C17" s="16">
        <v>8.6E-3</v>
      </c>
      <c r="D17" s="16">
        <v>5.0000000000000001E-4</v>
      </c>
      <c r="E17" s="16">
        <v>2.5999999999999999E-3</v>
      </c>
      <c r="F17" s="16">
        <v>3.5000000000000003E-2</v>
      </c>
    </row>
    <row r="18" spans="2:6" x14ac:dyDescent="0.2">
      <c r="B18" s="4">
        <v>34730</v>
      </c>
      <c r="C18" s="16">
        <v>1.8000000000000002E-2</v>
      </c>
      <c r="D18" s="16">
        <v>-2.9600000000000001E-2</v>
      </c>
      <c r="E18" s="16">
        <v>1.6399999999999998E-2</v>
      </c>
      <c r="F18" s="16">
        <v>-1.83E-2</v>
      </c>
    </row>
    <row r="19" spans="2:6" x14ac:dyDescent="0.2">
      <c r="B19" s="4">
        <v>34758</v>
      </c>
      <c r="C19" s="16">
        <v>3.6299999999999999E-2</v>
      </c>
      <c r="D19" s="16">
        <v>-3.3E-3</v>
      </c>
      <c r="E19" s="16">
        <v>3.8E-3</v>
      </c>
      <c r="F19" s="16">
        <v>-3.4000000000000002E-3</v>
      </c>
    </row>
    <row r="20" spans="2:6" x14ac:dyDescent="0.2">
      <c r="B20" s="4">
        <v>34789</v>
      </c>
      <c r="C20" s="16">
        <v>2.18E-2</v>
      </c>
      <c r="D20" s="16">
        <v>-3.7000000000000002E-3</v>
      </c>
      <c r="E20" s="16">
        <v>-2.06E-2</v>
      </c>
      <c r="F20" s="16">
        <v>3.5999999999999999E-3</v>
      </c>
    </row>
    <row r="21" spans="2:6" x14ac:dyDescent="0.2">
      <c r="B21" s="4">
        <v>34819</v>
      </c>
      <c r="C21" s="16">
        <v>2.1099999999999997E-2</v>
      </c>
      <c r="D21" s="16">
        <v>-4.0999999999999995E-3</v>
      </c>
      <c r="E21" s="16">
        <v>1.7000000000000001E-2</v>
      </c>
      <c r="F21" s="16">
        <v>1.8200000000000001E-2</v>
      </c>
    </row>
    <row r="22" spans="2:6" x14ac:dyDescent="0.2">
      <c r="B22" s="4">
        <v>34850</v>
      </c>
      <c r="C22" s="16">
        <v>2.8999999999999998E-2</v>
      </c>
      <c r="D22" s="16">
        <v>-2.23E-2</v>
      </c>
      <c r="E22" s="16">
        <v>1.9099999999999999E-2</v>
      </c>
      <c r="F22" s="16">
        <v>-4.4000000000000003E-3</v>
      </c>
    </row>
    <row r="23" spans="2:6" x14ac:dyDescent="0.2">
      <c r="B23" s="4">
        <v>34880</v>
      </c>
      <c r="C23" s="16">
        <v>2.7200000000000002E-2</v>
      </c>
      <c r="D23" s="16">
        <v>3.0600000000000002E-2</v>
      </c>
      <c r="E23" s="16">
        <v>-2.98E-2</v>
      </c>
      <c r="F23" s="16">
        <v>2.8999999999999998E-2</v>
      </c>
    </row>
    <row r="24" spans="2:6" x14ac:dyDescent="0.2">
      <c r="B24" s="4">
        <v>34911</v>
      </c>
      <c r="C24" s="16">
        <v>3.7200000000000004E-2</v>
      </c>
      <c r="D24" s="16">
        <v>2.2099999999999998E-2</v>
      </c>
      <c r="E24" s="16">
        <v>-2.2099999999999998E-2</v>
      </c>
      <c r="F24" s="16">
        <v>2.5499999999999998E-2</v>
      </c>
    </row>
    <row r="25" spans="2:6" x14ac:dyDescent="0.2">
      <c r="B25" s="4">
        <v>34942</v>
      </c>
      <c r="C25" s="16">
        <v>5.5000000000000005E-3</v>
      </c>
      <c r="D25" s="16">
        <v>1.84E-2</v>
      </c>
      <c r="E25" s="16">
        <v>1.9199999999999998E-2</v>
      </c>
      <c r="F25" s="16">
        <v>8.0000000000000004E-4</v>
      </c>
    </row>
    <row r="26" spans="2:6" x14ac:dyDescent="0.2">
      <c r="B26" s="4">
        <v>34972</v>
      </c>
      <c r="C26" s="16">
        <v>3.3500000000000002E-2</v>
      </c>
      <c r="D26" s="16">
        <v>-2.07E-2</v>
      </c>
      <c r="E26" s="16">
        <v>-9.3999999999999986E-3</v>
      </c>
      <c r="F26" s="16">
        <v>2.7300000000000001E-2</v>
      </c>
    </row>
    <row r="27" spans="2:6" x14ac:dyDescent="0.2">
      <c r="B27" s="4">
        <v>35003</v>
      </c>
      <c r="C27" s="16">
        <v>-1.52E-2</v>
      </c>
      <c r="D27" s="16">
        <v>-3.9399999999999998E-2</v>
      </c>
      <c r="E27" s="16">
        <v>-1.1000000000000001E-3</v>
      </c>
      <c r="F27" s="16">
        <v>4.1399999999999999E-2</v>
      </c>
    </row>
    <row r="28" spans="2:6" x14ac:dyDescent="0.2">
      <c r="B28" s="4">
        <v>35033</v>
      </c>
      <c r="C28" s="16">
        <v>3.95E-2</v>
      </c>
      <c r="D28" s="16">
        <v>-8.199999999999999E-3</v>
      </c>
      <c r="E28" s="16">
        <v>3.3E-3</v>
      </c>
      <c r="F28" s="16">
        <v>-6.0999999999999995E-3</v>
      </c>
    </row>
    <row r="29" spans="2:6" x14ac:dyDescent="0.2">
      <c r="B29" s="4">
        <v>35064</v>
      </c>
      <c r="C29" s="16">
        <v>1.03E-2</v>
      </c>
      <c r="D29" s="16">
        <v>3.7000000000000002E-3</v>
      </c>
      <c r="E29" s="16">
        <v>1.41E-2</v>
      </c>
      <c r="F29" s="16">
        <v>2.5600000000000001E-2</v>
      </c>
    </row>
    <row r="30" spans="2:6" x14ac:dyDescent="0.2">
      <c r="B30" s="4">
        <v>35095</v>
      </c>
      <c r="C30" s="16">
        <v>2.2599999999999999E-2</v>
      </c>
      <c r="D30" s="16">
        <v>-2.4799999999999999E-2</v>
      </c>
      <c r="E30" s="16">
        <v>4.0000000000000001E-3</v>
      </c>
      <c r="F30" s="16">
        <v>5.6000000000000008E-3</v>
      </c>
    </row>
    <row r="31" spans="2:6" x14ac:dyDescent="0.2">
      <c r="B31" s="4">
        <v>35124</v>
      </c>
      <c r="C31" s="16">
        <v>1.3300000000000001E-2</v>
      </c>
      <c r="D31" s="16">
        <v>2.0499999999999997E-2</v>
      </c>
      <c r="E31" s="16">
        <v>-2.3300000000000001E-2</v>
      </c>
      <c r="F31" s="16">
        <v>5.7999999999999996E-3</v>
      </c>
    </row>
    <row r="32" spans="2:6" x14ac:dyDescent="0.2">
      <c r="B32" s="4">
        <v>35155</v>
      </c>
      <c r="C32" s="16">
        <v>7.3000000000000001E-3</v>
      </c>
      <c r="D32" s="16">
        <v>1.3000000000000001E-2</v>
      </c>
      <c r="E32" s="16">
        <v>1.2800000000000001E-2</v>
      </c>
      <c r="F32" s="16">
        <v>-1.89E-2</v>
      </c>
    </row>
    <row r="33" spans="2:6" x14ac:dyDescent="0.2">
      <c r="B33" s="4">
        <v>35185</v>
      </c>
      <c r="C33" s="16">
        <v>2.06E-2</v>
      </c>
      <c r="D33" s="16">
        <v>4.8899999999999999E-2</v>
      </c>
      <c r="E33" s="16">
        <v>-4.0500000000000001E-2</v>
      </c>
      <c r="F33" s="16">
        <v>-9.1999999999999998E-3</v>
      </c>
    </row>
    <row r="34" spans="2:6" x14ac:dyDescent="0.2">
      <c r="B34" s="4">
        <v>35216</v>
      </c>
      <c r="C34" s="16">
        <v>2.3599999999999999E-2</v>
      </c>
      <c r="D34" s="16">
        <v>3.1600000000000003E-2</v>
      </c>
      <c r="E34" s="16">
        <v>-1.3999999999999999E-2</v>
      </c>
      <c r="F34" s="16">
        <v>1.6E-2</v>
      </c>
    </row>
    <row r="35" spans="2:6" x14ac:dyDescent="0.2">
      <c r="B35" s="4">
        <v>35246</v>
      </c>
      <c r="C35" s="16">
        <v>-1.1399999999999999E-2</v>
      </c>
      <c r="D35" s="16">
        <v>-3.6400000000000002E-2</v>
      </c>
      <c r="E35" s="16">
        <v>1.9199999999999998E-2</v>
      </c>
      <c r="F35" s="16">
        <v>9.5999999999999992E-3</v>
      </c>
    </row>
    <row r="36" spans="2:6" x14ac:dyDescent="0.2">
      <c r="B36" s="4">
        <v>35277</v>
      </c>
      <c r="C36" s="16">
        <v>-5.9699999999999996E-2</v>
      </c>
      <c r="D36" s="16">
        <v>-3.5900000000000001E-2</v>
      </c>
      <c r="E36" s="16">
        <v>4.3799999999999999E-2</v>
      </c>
      <c r="F36" s="16">
        <v>-1.4000000000000002E-3</v>
      </c>
    </row>
    <row r="37" spans="2:6" x14ac:dyDescent="0.2">
      <c r="B37" s="4">
        <v>35308</v>
      </c>
      <c r="C37" s="16">
        <v>2.76E-2</v>
      </c>
      <c r="D37" s="16">
        <v>2.3E-2</v>
      </c>
      <c r="E37" s="16">
        <v>-5.6999999999999993E-3</v>
      </c>
      <c r="F37" s="16">
        <v>-1.1999999999999999E-3</v>
      </c>
    </row>
    <row r="38" spans="2:6" x14ac:dyDescent="0.2">
      <c r="B38" s="4">
        <v>35338</v>
      </c>
      <c r="C38" s="16">
        <v>5.0099999999999999E-2</v>
      </c>
      <c r="D38" s="16">
        <v>-8.199999999999999E-3</v>
      </c>
      <c r="E38" s="16">
        <v>-3.7599999999999995E-2</v>
      </c>
      <c r="F38" s="16">
        <v>2.69E-2</v>
      </c>
    </row>
    <row r="39" spans="2:6" x14ac:dyDescent="0.2">
      <c r="B39" s="4">
        <v>35369</v>
      </c>
      <c r="C39" s="16">
        <v>8.6E-3</v>
      </c>
      <c r="D39" s="16">
        <v>-4.1100000000000005E-2</v>
      </c>
      <c r="E39" s="16">
        <v>4.82E-2</v>
      </c>
      <c r="F39" s="16">
        <v>3.9E-2</v>
      </c>
    </row>
    <row r="40" spans="2:6" x14ac:dyDescent="0.2">
      <c r="B40" s="4">
        <v>35399</v>
      </c>
      <c r="C40" s="16">
        <v>6.25E-2</v>
      </c>
      <c r="D40" s="16">
        <v>-3.6000000000000004E-2</v>
      </c>
      <c r="E40" s="16">
        <v>1.6000000000000001E-3</v>
      </c>
      <c r="F40" s="16">
        <v>-2.23E-2</v>
      </c>
    </row>
    <row r="41" spans="2:6" x14ac:dyDescent="0.2">
      <c r="B41" s="4">
        <v>35430</v>
      </c>
      <c r="C41" s="16">
        <v>-1.7000000000000001E-2</v>
      </c>
      <c r="D41" s="16">
        <v>3.0800000000000001E-2</v>
      </c>
      <c r="E41" s="16">
        <v>9.8999999999999991E-3</v>
      </c>
      <c r="F41" s="16">
        <v>5.8999999999999999E-3</v>
      </c>
    </row>
    <row r="42" spans="2:6" x14ac:dyDescent="0.2">
      <c r="B42" s="4">
        <v>35461</v>
      </c>
      <c r="C42" s="16">
        <v>4.99E-2</v>
      </c>
      <c r="D42" s="16">
        <v>-1.52E-2</v>
      </c>
      <c r="E42" s="16">
        <v>-2.3300000000000001E-2</v>
      </c>
      <c r="F42" s="16">
        <v>1.9400000000000001E-2</v>
      </c>
    </row>
    <row r="43" spans="2:6" x14ac:dyDescent="0.2">
      <c r="B43" s="4">
        <v>35489</v>
      </c>
      <c r="C43" s="16">
        <v>-4.8999999999999998E-3</v>
      </c>
      <c r="D43" s="16">
        <v>-2.6099999999999998E-2</v>
      </c>
      <c r="E43" s="16">
        <v>4.6900000000000004E-2</v>
      </c>
      <c r="F43" s="16">
        <v>-2.0400000000000001E-2</v>
      </c>
    </row>
    <row r="44" spans="2:6" x14ac:dyDescent="0.2">
      <c r="B44" s="4">
        <v>35520</v>
      </c>
      <c r="C44" s="16">
        <v>-5.0300000000000004E-2</v>
      </c>
      <c r="D44" s="16">
        <v>-3.2000000000000002E-3</v>
      </c>
      <c r="E44" s="16">
        <v>3.8599999999999995E-2</v>
      </c>
      <c r="F44" s="16">
        <v>9.7999999999999997E-3</v>
      </c>
    </row>
    <row r="45" spans="2:6" x14ac:dyDescent="0.2">
      <c r="B45" s="4">
        <v>35550</v>
      </c>
      <c r="C45" s="16">
        <v>4.0399999999999998E-2</v>
      </c>
      <c r="D45" s="16">
        <v>-5.1900000000000002E-2</v>
      </c>
      <c r="E45" s="16">
        <v>-1.0200000000000001E-2</v>
      </c>
      <c r="F45" s="16">
        <v>4.8899999999999999E-2</v>
      </c>
    </row>
    <row r="46" spans="2:6" x14ac:dyDescent="0.2">
      <c r="B46" s="4">
        <v>35581</v>
      </c>
      <c r="C46" s="16">
        <v>6.7400000000000002E-2</v>
      </c>
      <c r="D46" s="16">
        <v>4.8300000000000003E-2</v>
      </c>
      <c r="E46" s="16">
        <v>-4.3799999999999999E-2</v>
      </c>
      <c r="F46" s="16">
        <v>-5.1900000000000002E-2</v>
      </c>
    </row>
    <row r="47" spans="2:6" x14ac:dyDescent="0.2">
      <c r="B47" s="4">
        <v>35611</v>
      </c>
      <c r="C47" s="16">
        <v>4.0999999999999995E-2</v>
      </c>
      <c r="D47" s="16">
        <v>1.4999999999999999E-2</v>
      </c>
      <c r="E47" s="16">
        <v>7.1999999999999998E-3</v>
      </c>
      <c r="F47" s="16">
        <v>2.5899999999999999E-2</v>
      </c>
    </row>
    <row r="48" spans="2:6" x14ac:dyDescent="0.2">
      <c r="B48" s="4">
        <v>35642</v>
      </c>
      <c r="C48" s="16">
        <v>7.3300000000000004E-2</v>
      </c>
      <c r="D48" s="16">
        <v>-2.52E-2</v>
      </c>
      <c r="E48" s="16">
        <v>-1.2999999999999999E-3</v>
      </c>
      <c r="F48" s="16">
        <v>3.8399999999999997E-2</v>
      </c>
    </row>
    <row r="49" spans="2:6" x14ac:dyDescent="0.2">
      <c r="B49" s="4">
        <v>35673</v>
      </c>
      <c r="C49" s="16">
        <v>-4.1500000000000002E-2</v>
      </c>
      <c r="D49" s="16">
        <v>7.3399999999999993E-2</v>
      </c>
      <c r="E49" s="16">
        <v>1.37E-2</v>
      </c>
      <c r="F49" s="16">
        <v>-2.52E-2</v>
      </c>
    </row>
    <row r="50" spans="2:6" x14ac:dyDescent="0.2">
      <c r="B50" s="4">
        <v>35703</v>
      </c>
      <c r="C50" s="16">
        <v>5.3499999999999999E-2</v>
      </c>
      <c r="D50" s="16">
        <v>2.6800000000000001E-2</v>
      </c>
      <c r="E50" s="16">
        <v>-2.5000000000000001E-3</v>
      </c>
      <c r="F50" s="16">
        <v>1.4499999999999999E-2</v>
      </c>
    </row>
    <row r="51" spans="2:6" x14ac:dyDescent="0.2">
      <c r="B51" s="4">
        <v>35734</v>
      </c>
      <c r="C51" s="16">
        <v>-3.7999999999999999E-2</v>
      </c>
      <c r="D51" s="16">
        <v>-7.9000000000000008E-3</v>
      </c>
      <c r="E51" s="16">
        <v>2.2099999999999998E-2</v>
      </c>
      <c r="F51" s="16">
        <v>-4.3E-3</v>
      </c>
    </row>
    <row r="52" spans="2:6" x14ac:dyDescent="0.2">
      <c r="B52" s="4">
        <v>35764</v>
      </c>
      <c r="C52" s="16">
        <v>2.98E-2</v>
      </c>
      <c r="D52" s="16">
        <v>-5.0700000000000002E-2</v>
      </c>
      <c r="E52" s="16">
        <v>1.01E-2</v>
      </c>
      <c r="F52" s="16">
        <v>2.8000000000000004E-3</v>
      </c>
    </row>
    <row r="53" spans="2:6" x14ac:dyDescent="0.2">
      <c r="B53" s="4">
        <v>35795</v>
      </c>
      <c r="C53" s="16">
        <v>1.32E-2</v>
      </c>
      <c r="D53" s="16">
        <v>-2.4E-2</v>
      </c>
      <c r="E53" s="16">
        <v>3.8399999999999997E-2</v>
      </c>
      <c r="F53" s="16">
        <v>3.85E-2</v>
      </c>
    </row>
    <row r="54" spans="2:6" x14ac:dyDescent="0.2">
      <c r="B54" s="4">
        <v>35826</v>
      </c>
      <c r="C54" s="16">
        <v>1.5E-3</v>
      </c>
      <c r="D54" s="16">
        <v>-9.3999999999999986E-3</v>
      </c>
      <c r="E54" s="16">
        <v>-2.07E-2</v>
      </c>
      <c r="F54" s="16">
        <v>1E-3</v>
      </c>
    </row>
    <row r="55" spans="2:6" x14ac:dyDescent="0.2">
      <c r="B55" s="4">
        <v>35854</v>
      </c>
      <c r="C55" s="16">
        <v>7.0300000000000001E-2</v>
      </c>
      <c r="D55" s="16">
        <v>3.2000000000000002E-3</v>
      </c>
      <c r="E55" s="16">
        <v>-8.6E-3</v>
      </c>
      <c r="F55" s="16">
        <v>-1.1000000000000001E-2</v>
      </c>
    </row>
    <row r="56" spans="2:6" x14ac:dyDescent="0.2">
      <c r="B56" s="4">
        <v>35885</v>
      </c>
      <c r="C56" s="16">
        <v>4.7599999999999996E-2</v>
      </c>
      <c r="D56" s="16">
        <v>-9.8999999999999991E-3</v>
      </c>
      <c r="E56" s="16">
        <v>1.23E-2</v>
      </c>
      <c r="F56" s="16">
        <v>2.1400000000000002E-2</v>
      </c>
    </row>
    <row r="57" spans="2:6" x14ac:dyDescent="0.2">
      <c r="B57" s="4">
        <v>35915</v>
      </c>
      <c r="C57" s="16">
        <v>7.3000000000000001E-3</v>
      </c>
      <c r="D57" s="16">
        <v>4.7999999999999996E-3</v>
      </c>
      <c r="E57" s="16">
        <v>2.7000000000000001E-3</v>
      </c>
      <c r="F57" s="16">
        <v>7.8000000000000005E-3</v>
      </c>
    </row>
    <row r="58" spans="2:6" x14ac:dyDescent="0.2">
      <c r="B58" s="4">
        <v>35946</v>
      </c>
      <c r="C58" s="16">
        <v>-3.0699999999999998E-2</v>
      </c>
      <c r="D58" s="16">
        <v>-3.5400000000000001E-2</v>
      </c>
      <c r="E58" s="16">
        <v>4.1200000000000001E-2</v>
      </c>
      <c r="F58" s="16">
        <v>1.89E-2</v>
      </c>
    </row>
    <row r="59" spans="2:6" x14ac:dyDescent="0.2">
      <c r="B59" s="4">
        <v>35976</v>
      </c>
      <c r="C59" s="16">
        <v>3.1800000000000002E-2</v>
      </c>
      <c r="D59" s="16">
        <v>-3.15E-2</v>
      </c>
      <c r="E59" s="16">
        <v>-2.2200000000000001E-2</v>
      </c>
      <c r="F59" s="16">
        <v>7.2599999999999998E-2</v>
      </c>
    </row>
    <row r="60" spans="2:6" x14ac:dyDescent="0.2">
      <c r="B60" s="4">
        <v>36007</v>
      </c>
      <c r="C60" s="16">
        <v>-2.46E-2</v>
      </c>
      <c r="D60" s="16">
        <v>-4.9200000000000001E-2</v>
      </c>
      <c r="E60" s="16">
        <v>-1.15E-2</v>
      </c>
      <c r="F60" s="16">
        <v>3.7100000000000001E-2</v>
      </c>
    </row>
    <row r="61" spans="2:6" x14ac:dyDescent="0.2">
      <c r="B61" s="4">
        <v>36038</v>
      </c>
      <c r="C61" s="16">
        <v>-0.16079999999999997</v>
      </c>
      <c r="D61" s="16">
        <v>-5.7500000000000002E-2</v>
      </c>
      <c r="E61" s="16">
        <v>5.2400000000000002E-2</v>
      </c>
      <c r="F61" s="16">
        <v>1.8799999999999997E-2</v>
      </c>
    </row>
    <row r="62" spans="2:6" x14ac:dyDescent="0.2">
      <c r="B62" s="4">
        <v>36068</v>
      </c>
      <c r="C62" s="16">
        <v>6.1500000000000006E-2</v>
      </c>
      <c r="D62" s="16">
        <v>-1.5E-3</v>
      </c>
      <c r="E62" s="16">
        <v>-3.8800000000000001E-2</v>
      </c>
      <c r="F62" s="16">
        <v>-5.7999999999999996E-3</v>
      </c>
    </row>
    <row r="63" spans="2:6" x14ac:dyDescent="0.2">
      <c r="B63" s="4">
        <v>36099</v>
      </c>
      <c r="C63" s="16">
        <v>7.1300000000000002E-2</v>
      </c>
      <c r="D63" s="16">
        <v>-3.2000000000000001E-2</v>
      </c>
      <c r="E63" s="16">
        <v>-2.7699999999999999E-2</v>
      </c>
      <c r="F63" s="16">
        <v>-5.3499999999999999E-2</v>
      </c>
    </row>
    <row r="64" spans="2:6" x14ac:dyDescent="0.2">
      <c r="B64" s="4">
        <v>36129</v>
      </c>
      <c r="C64" s="16">
        <v>6.0999999999999999E-2</v>
      </c>
      <c r="D64" s="16">
        <v>1.1399999999999999E-2</v>
      </c>
      <c r="E64" s="16">
        <v>-3.4300000000000004E-2</v>
      </c>
      <c r="F64" s="16">
        <v>1.18E-2</v>
      </c>
    </row>
    <row r="65" spans="2:6" x14ac:dyDescent="0.2">
      <c r="B65" s="4">
        <v>36160</v>
      </c>
      <c r="C65" s="16">
        <v>6.1600000000000002E-2</v>
      </c>
      <c r="D65" s="16">
        <v>-3.0000000000000001E-3</v>
      </c>
      <c r="E65" s="16">
        <v>-4.7E-2</v>
      </c>
      <c r="F65" s="16">
        <v>9.0399999999999994E-2</v>
      </c>
    </row>
    <row r="66" spans="2:6" x14ac:dyDescent="0.2">
      <c r="B66" s="4">
        <v>36191</v>
      </c>
      <c r="C66" s="16">
        <v>3.5000000000000003E-2</v>
      </c>
      <c r="D66" s="16">
        <v>8.6E-3</v>
      </c>
      <c r="E66" s="16">
        <v>-5.5599999999999997E-2</v>
      </c>
      <c r="F66" s="16">
        <v>3.0499999999999999E-2</v>
      </c>
    </row>
    <row r="67" spans="2:6" x14ac:dyDescent="0.2">
      <c r="B67" s="4">
        <v>36219</v>
      </c>
      <c r="C67" s="16">
        <v>-4.0800000000000003E-2</v>
      </c>
      <c r="D67" s="16">
        <v>-5.5500000000000001E-2</v>
      </c>
      <c r="E67" s="16">
        <v>1.5600000000000001E-2</v>
      </c>
      <c r="F67" s="16">
        <v>-1.2999999999999999E-3</v>
      </c>
    </row>
    <row r="68" spans="2:6" x14ac:dyDescent="0.2">
      <c r="B68" s="4">
        <v>36250</v>
      </c>
      <c r="C68" s="16">
        <v>3.4500000000000003E-2</v>
      </c>
      <c r="D68" s="16">
        <v>-3.8399999999999997E-2</v>
      </c>
      <c r="E68" s="16">
        <v>-2.9300000000000003E-2</v>
      </c>
      <c r="F68" s="16">
        <v>-1.3500000000000002E-2</v>
      </c>
    </row>
    <row r="69" spans="2:6" x14ac:dyDescent="0.2">
      <c r="B69" s="4">
        <v>36280</v>
      </c>
      <c r="C69" s="16">
        <v>4.3299999999999998E-2</v>
      </c>
      <c r="D69" s="16">
        <v>3.1800000000000002E-2</v>
      </c>
      <c r="E69" s="16">
        <v>2.4500000000000001E-2</v>
      </c>
      <c r="F69" s="16">
        <v>-9.1300000000000006E-2</v>
      </c>
    </row>
    <row r="70" spans="2:6" x14ac:dyDescent="0.2">
      <c r="B70" s="4">
        <v>36311</v>
      </c>
      <c r="C70" s="16">
        <v>-2.46E-2</v>
      </c>
      <c r="D70" s="16">
        <v>3.6400000000000002E-2</v>
      </c>
      <c r="E70" s="16">
        <v>2.69E-2</v>
      </c>
      <c r="F70" s="16">
        <v>-5.2499999999999998E-2</v>
      </c>
    </row>
    <row r="71" spans="2:6" x14ac:dyDescent="0.2">
      <c r="B71" s="4">
        <v>36341</v>
      </c>
      <c r="C71" s="16">
        <v>4.7699999999999992E-2</v>
      </c>
      <c r="D71" s="16">
        <v>3.4500000000000003E-2</v>
      </c>
      <c r="E71" s="16">
        <v>-4.1900000000000007E-2</v>
      </c>
      <c r="F71" s="16">
        <v>4.9400000000000006E-2</v>
      </c>
    </row>
    <row r="72" spans="2:6" x14ac:dyDescent="0.2">
      <c r="B72" s="4">
        <v>36372</v>
      </c>
      <c r="C72" s="16">
        <v>-3.4700000000000002E-2</v>
      </c>
      <c r="D72" s="16">
        <v>2.2499999999999999E-2</v>
      </c>
      <c r="E72" s="16">
        <v>5.1000000000000004E-3</v>
      </c>
      <c r="F72" s="16">
        <v>1.5900000000000001E-2</v>
      </c>
    </row>
    <row r="73" spans="2:6" x14ac:dyDescent="0.2">
      <c r="B73" s="4">
        <v>36403</v>
      </c>
      <c r="C73" s="16">
        <v>-1.38E-2</v>
      </c>
      <c r="D73" s="16">
        <v>-1.32E-2</v>
      </c>
      <c r="E73" s="16">
        <v>-9.4999999999999998E-3</v>
      </c>
      <c r="F73" s="16">
        <v>3.0099999999999998E-2</v>
      </c>
    </row>
    <row r="74" spans="2:6" x14ac:dyDescent="0.2">
      <c r="B74" s="4">
        <v>36433</v>
      </c>
      <c r="C74" s="16">
        <v>-2.81E-2</v>
      </c>
      <c r="D74" s="16">
        <v>3.1600000000000003E-2</v>
      </c>
      <c r="E74" s="16">
        <v>-2.98E-2</v>
      </c>
      <c r="F74" s="16">
        <v>6.4899999999999999E-2</v>
      </c>
    </row>
    <row r="75" spans="2:6" x14ac:dyDescent="0.2">
      <c r="B75" s="4">
        <v>36464</v>
      </c>
      <c r="C75" s="16">
        <v>6.13E-2</v>
      </c>
      <c r="D75" s="16">
        <v>-6.7799999999999999E-2</v>
      </c>
      <c r="E75" s="16">
        <v>-3.2400000000000005E-2</v>
      </c>
      <c r="F75" s="16">
        <v>5.4699999999999999E-2</v>
      </c>
    </row>
    <row r="76" spans="2:6" x14ac:dyDescent="0.2">
      <c r="B76" s="4">
        <v>36494</v>
      </c>
      <c r="C76" s="16">
        <v>3.3700000000000001E-2</v>
      </c>
      <c r="D76" s="16">
        <v>7.7800000000000008E-2</v>
      </c>
      <c r="E76" s="16">
        <v>-8.0199999999999994E-2</v>
      </c>
      <c r="F76" s="16">
        <v>5.6600000000000004E-2</v>
      </c>
    </row>
    <row r="77" spans="2:6" x14ac:dyDescent="0.2">
      <c r="B77" s="4">
        <v>36525</v>
      </c>
      <c r="C77" s="16">
        <v>7.7199999999999991E-2</v>
      </c>
      <c r="D77" s="16">
        <v>7.0099999999999996E-2</v>
      </c>
      <c r="E77" s="16">
        <v>-9.1999999999999998E-2</v>
      </c>
      <c r="F77" s="16">
        <v>0.13200000000000001</v>
      </c>
    </row>
    <row r="78" spans="2:6" x14ac:dyDescent="0.2">
      <c r="B78" s="4">
        <v>36556</v>
      </c>
      <c r="C78" s="16">
        <v>-4.7400000000000005E-2</v>
      </c>
      <c r="D78" s="16">
        <v>4.3700000000000003E-2</v>
      </c>
      <c r="E78" s="16">
        <v>2.3999999999999998E-3</v>
      </c>
      <c r="F78" s="16">
        <v>1.9E-2</v>
      </c>
    </row>
    <row r="79" spans="2:6" x14ac:dyDescent="0.2">
      <c r="B79" s="4">
        <v>36585</v>
      </c>
      <c r="C79" s="16">
        <v>2.4500000000000001E-2</v>
      </c>
      <c r="D79" s="16">
        <v>-0.22020000000000001</v>
      </c>
      <c r="E79" s="16">
        <v>0.1268</v>
      </c>
      <c r="F79" s="16">
        <v>0.18390000000000001</v>
      </c>
    </row>
    <row r="80" spans="2:6" x14ac:dyDescent="0.2">
      <c r="B80" s="4">
        <v>36616</v>
      </c>
      <c r="C80" s="16">
        <v>-5.21E-2</v>
      </c>
      <c r="D80" s="16">
        <v>0.16390000000000002</v>
      </c>
      <c r="E80" s="16">
        <v>7.6700000000000004E-2</v>
      </c>
      <c r="F80" s="16">
        <v>-6.8499999999999991E-2</v>
      </c>
    </row>
    <row r="81" spans="2:6" x14ac:dyDescent="0.2">
      <c r="B81" s="4">
        <v>36646</v>
      </c>
      <c r="C81" s="16">
        <v>-6.4000000000000001E-2</v>
      </c>
      <c r="D81" s="16">
        <v>-7.7300000000000008E-2</v>
      </c>
      <c r="E81" s="16">
        <v>9.1300000000000006E-2</v>
      </c>
      <c r="F81" s="16">
        <v>-8.4600000000000009E-2</v>
      </c>
    </row>
    <row r="82" spans="2:6" x14ac:dyDescent="0.2">
      <c r="B82" s="4">
        <v>36677</v>
      </c>
      <c r="C82" s="16">
        <v>-4.4299999999999999E-2</v>
      </c>
      <c r="D82" s="16">
        <v>-4.8499999999999995E-2</v>
      </c>
      <c r="E82" s="16">
        <v>3.7200000000000004E-2</v>
      </c>
      <c r="F82" s="16">
        <v>-9.0899999999999995E-2</v>
      </c>
    </row>
    <row r="83" spans="2:6" x14ac:dyDescent="0.2">
      <c r="B83" s="4">
        <v>36707</v>
      </c>
      <c r="C83" s="16">
        <v>4.6399999999999997E-2</v>
      </c>
      <c r="D83" s="16">
        <v>-0.13699999999999998</v>
      </c>
      <c r="E83" s="16">
        <v>0.10050000000000001</v>
      </c>
      <c r="F83" s="16">
        <v>0.1653</v>
      </c>
    </row>
    <row r="84" spans="2:6" x14ac:dyDescent="0.2">
      <c r="B84" s="4">
        <v>36738</v>
      </c>
      <c r="C84" s="16">
        <v>-2.4500000000000001E-2</v>
      </c>
      <c r="D84" s="16">
        <v>-2.81E-2</v>
      </c>
      <c r="E84" s="16">
        <v>8.5099999999999995E-2</v>
      </c>
      <c r="F84" s="16">
        <v>-7.000000000000001E-4</v>
      </c>
    </row>
    <row r="85" spans="2:6" x14ac:dyDescent="0.2">
      <c r="B85" s="4">
        <v>36769</v>
      </c>
      <c r="C85" s="16">
        <v>7.1300000000000002E-2</v>
      </c>
      <c r="D85" s="16">
        <v>-8.8999999999999999E-3</v>
      </c>
      <c r="E85" s="16">
        <v>-1.2800000000000001E-2</v>
      </c>
      <c r="F85" s="16">
        <v>5.7699999999999994E-2</v>
      </c>
    </row>
    <row r="86" spans="2:6" x14ac:dyDescent="0.2">
      <c r="B86" s="4">
        <v>36799</v>
      </c>
      <c r="C86" s="16">
        <v>-5.4400000000000004E-2</v>
      </c>
      <c r="D86" s="16">
        <v>-1.8700000000000001E-2</v>
      </c>
      <c r="E86" s="16">
        <v>6.8499999999999991E-2</v>
      </c>
      <c r="F86" s="16">
        <v>2.2200000000000001E-2</v>
      </c>
    </row>
    <row r="87" spans="2:6" x14ac:dyDescent="0.2">
      <c r="B87" s="4">
        <v>36830</v>
      </c>
      <c r="C87" s="16">
        <v>-2.7699999999999999E-2</v>
      </c>
      <c r="D87" s="16">
        <v>-3.6600000000000001E-2</v>
      </c>
      <c r="E87" s="16">
        <v>4.7899999999999998E-2</v>
      </c>
      <c r="F87" s="16">
        <v>-4.6799999999999994E-2</v>
      </c>
    </row>
    <row r="88" spans="2:6" x14ac:dyDescent="0.2">
      <c r="B88" s="4">
        <v>36860</v>
      </c>
      <c r="C88" s="16">
        <v>-0.10730000000000001</v>
      </c>
      <c r="D88" s="16">
        <v>-3.1E-2</v>
      </c>
      <c r="E88" s="16">
        <v>0.1242</v>
      </c>
      <c r="F88" s="16">
        <v>-2.5000000000000001E-2</v>
      </c>
    </row>
    <row r="89" spans="2:6" x14ac:dyDescent="0.2">
      <c r="B89" s="4">
        <v>36891</v>
      </c>
      <c r="C89" s="16">
        <v>1.1899999999999999E-2</v>
      </c>
      <c r="D89" s="16">
        <v>1.55E-2</v>
      </c>
      <c r="E89" s="16">
        <v>6.13E-2</v>
      </c>
      <c r="F89" s="16">
        <v>6.8099999999999994E-2</v>
      </c>
    </row>
    <row r="90" spans="2:6" x14ac:dyDescent="0.2">
      <c r="B90" s="4">
        <v>36922</v>
      </c>
      <c r="C90" s="16">
        <v>3.1200000000000002E-2</v>
      </c>
      <c r="D90" s="16">
        <v>7.0300000000000001E-2</v>
      </c>
      <c r="E90" s="16">
        <v>-5.7000000000000002E-2</v>
      </c>
      <c r="F90" s="16">
        <v>-0.24969999999999998</v>
      </c>
    </row>
    <row r="91" spans="2:6" x14ac:dyDescent="0.2">
      <c r="B91" s="4">
        <v>36950</v>
      </c>
      <c r="C91" s="16">
        <v>-0.1007</v>
      </c>
      <c r="D91" s="16">
        <v>-1.15E-2</v>
      </c>
      <c r="E91" s="16">
        <v>0.13869999999999999</v>
      </c>
      <c r="F91" s="16">
        <v>0.12590000000000001</v>
      </c>
    </row>
    <row r="92" spans="2:6" x14ac:dyDescent="0.2">
      <c r="B92" s="4">
        <v>36981</v>
      </c>
      <c r="C92" s="16">
        <v>-7.2499999999999995E-2</v>
      </c>
      <c r="D92" s="16">
        <v>5.5000000000000005E-3</v>
      </c>
      <c r="E92" s="16">
        <v>6.3600000000000004E-2</v>
      </c>
      <c r="F92" s="16">
        <v>8.3800000000000013E-2</v>
      </c>
    </row>
    <row r="93" spans="2:6" x14ac:dyDescent="0.2">
      <c r="B93" s="4">
        <v>37011</v>
      </c>
      <c r="C93" s="16">
        <v>7.9500000000000001E-2</v>
      </c>
      <c r="D93" s="16">
        <v>2.7000000000000001E-3</v>
      </c>
      <c r="E93" s="16">
        <v>-4.36E-2</v>
      </c>
      <c r="F93" s="16">
        <v>-8.1500000000000003E-2</v>
      </c>
    </row>
    <row r="94" spans="2:6" x14ac:dyDescent="0.2">
      <c r="B94" s="4">
        <v>37042</v>
      </c>
      <c r="C94" s="16">
        <v>7.3000000000000001E-3</v>
      </c>
      <c r="D94" s="16">
        <v>2.9900000000000003E-2</v>
      </c>
      <c r="E94" s="16">
        <v>2.7699999999999999E-2</v>
      </c>
      <c r="F94" s="16">
        <v>2.1299999999999999E-2</v>
      </c>
    </row>
    <row r="95" spans="2:6" x14ac:dyDescent="0.2">
      <c r="B95" s="4">
        <v>37072</v>
      </c>
      <c r="C95" s="16">
        <v>-1.9299999999999998E-2</v>
      </c>
      <c r="D95" s="16">
        <v>6.3799999999999996E-2</v>
      </c>
      <c r="E95" s="16">
        <v>-2.1400000000000002E-2</v>
      </c>
      <c r="F95" s="16">
        <v>2.8000000000000004E-3</v>
      </c>
    </row>
    <row r="96" spans="2:6" x14ac:dyDescent="0.2">
      <c r="B96" s="4">
        <v>37103</v>
      </c>
      <c r="C96" s="16">
        <v>-2.1299999999999999E-2</v>
      </c>
      <c r="D96" s="16">
        <v>-4.2199999999999994E-2</v>
      </c>
      <c r="E96" s="16">
        <v>5.62E-2</v>
      </c>
      <c r="F96" s="16">
        <v>5.5500000000000001E-2</v>
      </c>
    </row>
    <row r="97" spans="2:6" x14ac:dyDescent="0.2">
      <c r="B97" s="4">
        <v>37134</v>
      </c>
      <c r="C97" s="16">
        <v>-6.4600000000000005E-2</v>
      </c>
      <c r="D97" s="16">
        <v>2.1299999999999999E-2</v>
      </c>
      <c r="E97" s="16">
        <v>3.3700000000000001E-2</v>
      </c>
      <c r="F97" s="16">
        <v>5.57E-2</v>
      </c>
    </row>
    <row r="98" spans="2:6" x14ac:dyDescent="0.2">
      <c r="B98" s="4">
        <v>37164</v>
      </c>
      <c r="C98" s="16">
        <v>-9.2499999999999999E-2</v>
      </c>
      <c r="D98" s="16">
        <v>-6.6100000000000006E-2</v>
      </c>
      <c r="E98" s="16">
        <v>1.8000000000000002E-2</v>
      </c>
      <c r="F98" s="16">
        <v>0.11550000000000001</v>
      </c>
    </row>
    <row r="99" spans="2:6" x14ac:dyDescent="0.2">
      <c r="B99" s="4">
        <v>37195</v>
      </c>
      <c r="C99" s="16">
        <v>2.46E-2</v>
      </c>
      <c r="D99" s="16">
        <v>6.88E-2</v>
      </c>
      <c r="E99" s="16">
        <v>-7.0300000000000001E-2</v>
      </c>
      <c r="F99" s="16">
        <v>-8.43E-2</v>
      </c>
    </row>
    <row r="100" spans="2:6" x14ac:dyDescent="0.2">
      <c r="B100" s="4">
        <v>37225</v>
      </c>
      <c r="C100" s="16">
        <v>7.5399999999999995E-2</v>
      </c>
      <c r="D100" s="16">
        <v>3.8E-3</v>
      </c>
      <c r="E100" s="16">
        <v>6.8999999999999999E-3</v>
      </c>
      <c r="F100" s="16">
        <v>-8.5699999999999998E-2</v>
      </c>
    </row>
    <row r="101" spans="2:6" x14ac:dyDescent="0.2">
      <c r="B101" s="4">
        <v>37256</v>
      </c>
      <c r="C101" s="16">
        <v>1.61E-2</v>
      </c>
      <c r="D101" s="16">
        <v>5.1399999999999994E-2</v>
      </c>
      <c r="E101" s="16">
        <v>4.3E-3</v>
      </c>
      <c r="F101" s="16">
        <v>-2.9999999999999997E-4</v>
      </c>
    </row>
    <row r="102" spans="2:6" x14ac:dyDescent="0.2">
      <c r="B102" s="4">
        <v>37287</v>
      </c>
      <c r="C102" s="16">
        <v>-1.44E-2</v>
      </c>
      <c r="D102" s="16">
        <v>1.1200000000000002E-2</v>
      </c>
      <c r="E102" s="16">
        <v>3.4500000000000003E-2</v>
      </c>
      <c r="F102" s="16">
        <v>3.6900000000000002E-2</v>
      </c>
    </row>
    <row r="103" spans="2:6" x14ac:dyDescent="0.2">
      <c r="B103" s="4">
        <v>37315</v>
      </c>
      <c r="C103" s="16">
        <v>-2.29E-2</v>
      </c>
      <c r="D103" s="16">
        <v>-1.61E-2</v>
      </c>
      <c r="E103" s="16">
        <v>3.9100000000000003E-2</v>
      </c>
      <c r="F103" s="16">
        <v>6.8000000000000005E-2</v>
      </c>
    </row>
    <row r="104" spans="2:6" x14ac:dyDescent="0.2">
      <c r="B104" s="4">
        <v>37346</v>
      </c>
      <c r="C104" s="16">
        <v>4.24E-2</v>
      </c>
      <c r="D104" s="16">
        <v>4.2999999999999997E-2</v>
      </c>
      <c r="E104" s="16">
        <v>1.1699999999999999E-2</v>
      </c>
      <c r="F104" s="16">
        <v>-1.72E-2</v>
      </c>
    </row>
    <row r="105" spans="2:6" x14ac:dyDescent="0.2">
      <c r="B105" s="4">
        <v>37376</v>
      </c>
      <c r="C105" s="16">
        <v>-5.21E-2</v>
      </c>
      <c r="D105" s="16">
        <v>5.8600000000000006E-2</v>
      </c>
      <c r="E105" s="16">
        <v>4.2099999999999999E-2</v>
      </c>
      <c r="F105" s="16">
        <v>7.9199999999999993E-2</v>
      </c>
    </row>
    <row r="106" spans="2:6" x14ac:dyDescent="0.2">
      <c r="B106" s="4">
        <v>37407</v>
      </c>
      <c r="C106" s="16">
        <v>-1.38E-2</v>
      </c>
      <c r="D106" s="16">
        <v>-3.7200000000000004E-2</v>
      </c>
      <c r="E106" s="16">
        <v>2.5399999999999999E-2</v>
      </c>
      <c r="F106" s="16">
        <v>3.1600000000000003E-2</v>
      </c>
    </row>
    <row r="107" spans="2:6" x14ac:dyDescent="0.2">
      <c r="B107" s="4">
        <v>37437</v>
      </c>
      <c r="C107" s="16">
        <v>-7.2099999999999997E-2</v>
      </c>
      <c r="D107" s="16">
        <v>3.49E-2</v>
      </c>
      <c r="E107" s="16">
        <v>1.5600000000000001E-2</v>
      </c>
      <c r="F107" s="16">
        <v>6.1699999999999998E-2</v>
      </c>
    </row>
    <row r="108" spans="2:6" x14ac:dyDescent="0.2">
      <c r="B108" s="4">
        <v>37468</v>
      </c>
      <c r="C108" s="16">
        <v>-8.1799999999999998E-2</v>
      </c>
      <c r="D108" s="16">
        <v>-5.1399999999999994E-2</v>
      </c>
      <c r="E108" s="16">
        <v>-3.6299999999999999E-2</v>
      </c>
      <c r="F108" s="16">
        <v>3.4099999999999998E-2</v>
      </c>
    </row>
    <row r="109" spans="2:6" x14ac:dyDescent="0.2">
      <c r="B109" s="4">
        <v>37499</v>
      </c>
      <c r="C109" s="16">
        <v>5.0000000000000001E-3</v>
      </c>
      <c r="D109" s="16">
        <v>-2.2599999999999999E-2</v>
      </c>
      <c r="E109" s="16">
        <v>2.2400000000000003E-2</v>
      </c>
      <c r="F109" s="16">
        <v>1.7299999999999999E-2</v>
      </c>
    </row>
    <row r="110" spans="2:6" x14ac:dyDescent="0.2">
      <c r="B110" s="4">
        <v>37529</v>
      </c>
      <c r="C110" s="16">
        <v>-0.10349999999999999</v>
      </c>
      <c r="D110" s="16">
        <v>2.7000000000000003E-2</v>
      </c>
      <c r="E110" s="16">
        <v>1.23E-2</v>
      </c>
      <c r="F110" s="16">
        <v>9.11E-2</v>
      </c>
    </row>
    <row r="111" spans="2:6" x14ac:dyDescent="0.2">
      <c r="B111" s="4">
        <v>37560</v>
      </c>
      <c r="C111" s="16">
        <v>7.8399999999999997E-2</v>
      </c>
      <c r="D111" s="16">
        <v>-2.98E-2</v>
      </c>
      <c r="E111" s="16">
        <v>-6.4899999999999999E-2</v>
      </c>
      <c r="F111" s="16">
        <v>-5.4699999999999999E-2</v>
      </c>
    </row>
    <row r="112" spans="2:6" x14ac:dyDescent="0.2">
      <c r="B112" s="4">
        <v>37590</v>
      </c>
      <c r="C112" s="16">
        <v>5.96E-2</v>
      </c>
      <c r="D112" s="16">
        <v>3.1699999999999999E-2</v>
      </c>
      <c r="E112" s="16">
        <v>-1.5700000000000002E-2</v>
      </c>
      <c r="F112" s="16">
        <v>-0.16289999999999999</v>
      </c>
    </row>
    <row r="113" spans="2:6" x14ac:dyDescent="0.2">
      <c r="B113" s="4">
        <v>37621</v>
      </c>
      <c r="C113" s="16">
        <v>-5.7599999999999998E-2</v>
      </c>
      <c r="D113" s="16">
        <v>-4.5000000000000005E-3</v>
      </c>
      <c r="E113" s="16">
        <v>3.9E-2</v>
      </c>
      <c r="F113" s="16">
        <v>9.6500000000000002E-2</v>
      </c>
    </row>
    <row r="114" spans="2:6" x14ac:dyDescent="0.2">
      <c r="B114" s="4">
        <v>37652</v>
      </c>
      <c r="C114" s="16">
        <v>-2.5699999999999997E-2</v>
      </c>
      <c r="D114" s="16">
        <v>1.3999999999999999E-2</v>
      </c>
      <c r="E114" s="16">
        <v>-8.8000000000000005E-3</v>
      </c>
      <c r="F114" s="16">
        <v>1.55E-2</v>
      </c>
    </row>
    <row r="115" spans="2:6" x14ac:dyDescent="0.2">
      <c r="B115" s="4">
        <v>37680</v>
      </c>
      <c r="C115" s="16">
        <v>-1.8799999999999997E-2</v>
      </c>
      <c r="D115" s="16">
        <v>-2.5999999999999999E-3</v>
      </c>
      <c r="E115" s="16">
        <v>-1.46E-2</v>
      </c>
      <c r="F115" s="16">
        <v>1.2199999999999999E-2</v>
      </c>
    </row>
    <row r="116" spans="2:6" x14ac:dyDescent="0.2">
      <c r="B116" s="4">
        <v>37711</v>
      </c>
      <c r="C116" s="16">
        <v>1.09E-2</v>
      </c>
      <c r="D116" s="16">
        <v>7.7000000000000002E-3</v>
      </c>
      <c r="E116" s="16">
        <v>-1.67E-2</v>
      </c>
      <c r="F116" s="16">
        <v>1.55E-2</v>
      </c>
    </row>
    <row r="117" spans="2:6" x14ac:dyDescent="0.2">
      <c r="B117" s="4">
        <v>37741</v>
      </c>
      <c r="C117" s="16">
        <v>8.2200000000000009E-2</v>
      </c>
      <c r="D117" s="16">
        <v>1.15E-2</v>
      </c>
      <c r="E117" s="16">
        <v>-5.9999999999999995E-4</v>
      </c>
      <c r="F117" s="16">
        <v>-9.4499999999999987E-2</v>
      </c>
    </row>
    <row r="118" spans="2:6" x14ac:dyDescent="0.2">
      <c r="B118" s="4">
        <v>37772</v>
      </c>
      <c r="C118" s="16">
        <v>6.0499999999999998E-2</v>
      </c>
      <c r="D118" s="16">
        <v>4.7800000000000002E-2</v>
      </c>
      <c r="E118" s="16">
        <v>1.5E-3</v>
      </c>
      <c r="F118" s="16">
        <v>-0.10730000000000001</v>
      </c>
    </row>
    <row r="119" spans="2:6" x14ac:dyDescent="0.2">
      <c r="B119" s="4">
        <v>37802</v>
      </c>
      <c r="C119" s="16">
        <v>1.4199999999999999E-2</v>
      </c>
      <c r="D119" s="16">
        <v>1.5100000000000001E-2</v>
      </c>
      <c r="E119" s="16">
        <v>6.8000000000000005E-3</v>
      </c>
      <c r="F119" s="16">
        <v>-0.01</v>
      </c>
    </row>
    <row r="120" spans="2:6" x14ac:dyDescent="0.2">
      <c r="B120" s="4">
        <v>37833</v>
      </c>
      <c r="C120" s="16">
        <v>2.3399999999999997E-2</v>
      </c>
      <c r="D120" s="16">
        <v>5.57E-2</v>
      </c>
      <c r="E120" s="16">
        <v>-2.1099999999999997E-2</v>
      </c>
      <c r="F120" s="16">
        <v>-3.3E-3</v>
      </c>
    </row>
    <row r="121" spans="2:6" x14ac:dyDescent="0.2">
      <c r="B121" s="4">
        <v>37864</v>
      </c>
      <c r="C121" s="16">
        <v>2.3399999999999997E-2</v>
      </c>
      <c r="D121" s="16">
        <v>2.6699999999999998E-2</v>
      </c>
      <c r="E121" s="16">
        <v>1.7100000000000001E-2</v>
      </c>
      <c r="F121" s="16">
        <v>-5.1000000000000004E-3</v>
      </c>
    </row>
    <row r="122" spans="2:6" x14ac:dyDescent="0.2">
      <c r="B122" s="4">
        <v>37894</v>
      </c>
      <c r="C122" s="16">
        <v>-1.24E-2</v>
      </c>
      <c r="D122" s="16">
        <v>5.5000000000000005E-3</v>
      </c>
      <c r="E122" s="16">
        <v>0.01</v>
      </c>
      <c r="F122" s="16">
        <v>-5.9999999999999995E-4</v>
      </c>
    </row>
    <row r="123" spans="2:6" x14ac:dyDescent="0.2">
      <c r="B123" s="4">
        <v>37925</v>
      </c>
      <c r="C123" s="16">
        <v>6.08E-2</v>
      </c>
      <c r="D123" s="16">
        <v>2.8900000000000002E-2</v>
      </c>
      <c r="E123" s="16">
        <v>1.8000000000000002E-2</v>
      </c>
      <c r="F123" s="16">
        <v>3.6699999999999997E-2</v>
      </c>
    </row>
    <row r="124" spans="2:6" x14ac:dyDescent="0.2">
      <c r="B124" s="4">
        <v>37955</v>
      </c>
      <c r="C124" s="16">
        <v>1.3500000000000002E-2</v>
      </c>
      <c r="D124" s="16">
        <v>2.2099999999999998E-2</v>
      </c>
      <c r="E124" s="16">
        <v>1.46E-2</v>
      </c>
      <c r="F124" s="16">
        <v>1.6E-2</v>
      </c>
    </row>
    <row r="125" spans="2:6" x14ac:dyDescent="0.2">
      <c r="B125" s="4">
        <v>37986</v>
      </c>
      <c r="C125" s="16">
        <v>4.2900000000000001E-2</v>
      </c>
      <c r="D125" s="16">
        <v>-2.7799999999999998E-2</v>
      </c>
      <c r="E125" s="16">
        <v>2.6800000000000001E-2</v>
      </c>
      <c r="F125" s="16">
        <v>-5.7000000000000002E-2</v>
      </c>
    </row>
    <row r="126" spans="2:6" x14ac:dyDescent="0.2">
      <c r="B126" s="4">
        <v>38017</v>
      </c>
      <c r="C126" s="16">
        <v>2.1499999999999998E-2</v>
      </c>
      <c r="D126" s="16">
        <v>2.63E-2</v>
      </c>
      <c r="E126" s="16">
        <v>1.6399999999999998E-2</v>
      </c>
      <c r="F126" s="16">
        <v>2.5899999999999999E-2</v>
      </c>
    </row>
    <row r="127" spans="2:6" x14ac:dyDescent="0.2">
      <c r="B127" s="4">
        <v>38046</v>
      </c>
      <c r="C127" s="16">
        <v>1.3999999999999999E-2</v>
      </c>
      <c r="D127" s="16">
        <v>-1.15E-2</v>
      </c>
      <c r="E127" s="16">
        <v>4.1999999999999997E-3</v>
      </c>
      <c r="F127" s="16">
        <v>-1.1200000000000002E-2</v>
      </c>
    </row>
    <row r="128" spans="2:6" x14ac:dyDescent="0.2">
      <c r="B128" s="4">
        <v>38077</v>
      </c>
      <c r="C128" s="16">
        <v>-1.32E-2</v>
      </c>
      <c r="D128" s="16">
        <v>1.8500000000000003E-2</v>
      </c>
      <c r="E128" s="16">
        <v>4.0000000000000002E-4</v>
      </c>
      <c r="F128" s="16">
        <v>1.9E-3</v>
      </c>
    </row>
    <row r="129" spans="2:6" x14ac:dyDescent="0.2">
      <c r="B129" s="4">
        <v>38107</v>
      </c>
      <c r="C129" s="16">
        <v>-1.83E-2</v>
      </c>
      <c r="D129" s="16">
        <v>-2.5399999999999999E-2</v>
      </c>
      <c r="E129" s="16">
        <v>-1.6899999999999998E-2</v>
      </c>
      <c r="F129" s="16">
        <v>-5.3699999999999998E-2</v>
      </c>
    </row>
    <row r="130" spans="2:6" x14ac:dyDescent="0.2">
      <c r="B130" s="4">
        <v>38138</v>
      </c>
      <c r="C130" s="16">
        <v>1.18E-2</v>
      </c>
      <c r="D130" s="16">
        <v>-1.6000000000000001E-3</v>
      </c>
      <c r="E130" s="16">
        <v>-2.8999999999999998E-3</v>
      </c>
      <c r="F130" s="16">
        <v>1.6500000000000001E-2</v>
      </c>
    </row>
    <row r="131" spans="2:6" x14ac:dyDescent="0.2">
      <c r="B131" s="4">
        <v>38168</v>
      </c>
      <c r="C131" s="16">
        <v>1.8600000000000002E-2</v>
      </c>
      <c r="D131" s="16">
        <v>2.3199999999999998E-2</v>
      </c>
      <c r="E131" s="16">
        <v>1.66E-2</v>
      </c>
      <c r="F131" s="16">
        <v>2.0799999999999999E-2</v>
      </c>
    </row>
    <row r="132" spans="2:6" x14ac:dyDescent="0.2">
      <c r="B132" s="4">
        <v>38199</v>
      </c>
      <c r="C132" s="16">
        <v>-4.07E-2</v>
      </c>
      <c r="D132" s="16">
        <v>-3.8199999999999998E-2</v>
      </c>
      <c r="E132" s="16">
        <v>4.4800000000000006E-2</v>
      </c>
      <c r="F132" s="16">
        <v>-2.3700000000000002E-2</v>
      </c>
    </row>
    <row r="133" spans="2:6" x14ac:dyDescent="0.2">
      <c r="B133" s="4">
        <v>38230</v>
      </c>
      <c r="C133" s="16">
        <v>8.0000000000000004E-4</v>
      </c>
      <c r="D133" s="16">
        <v>-1.5900000000000001E-2</v>
      </c>
      <c r="E133" s="16">
        <v>1.1299999999999999E-2</v>
      </c>
      <c r="F133" s="16">
        <v>-1.54E-2</v>
      </c>
    </row>
    <row r="134" spans="2:6" x14ac:dyDescent="0.2">
      <c r="B134" s="4">
        <v>38260</v>
      </c>
      <c r="C134" s="16">
        <v>1.6E-2</v>
      </c>
      <c r="D134" s="16">
        <v>2.8900000000000002E-2</v>
      </c>
      <c r="E134" s="16">
        <v>3.5999999999999999E-3</v>
      </c>
      <c r="F134" s="16">
        <v>5.2600000000000001E-2</v>
      </c>
    </row>
    <row r="135" spans="2:6" x14ac:dyDescent="0.2">
      <c r="B135" s="4">
        <v>38291</v>
      </c>
      <c r="C135" s="16">
        <v>1.43E-2</v>
      </c>
      <c r="D135" s="16">
        <v>4.3E-3</v>
      </c>
      <c r="E135" s="16">
        <v>-8.3999999999999995E-3</v>
      </c>
      <c r="F135" s="16">
        <v>-1.52E-2</v>
      </c>
    </row>
    <row r="136" spans="2:6" x14ac:dyDescent="0.2">
      <c r="B136" s="4">
        <v>38321</v>
      </c>
      <c r="C136" s="16">
        <v>4.5400000000000003E-2</v>
      </c>
      <c r="D136" s="16">
        <v>4.1700000000000001E-2</v>
      </c>
      <c r="E136" s="16">
        <v>1.9299999999999998E-2</v>
      </c>
      <c r="F136" s="16">
        <v>3.2300000000000002E-2</v>
      </c>
    </row>
    <row r="137" spans="2:6" x14ac:dyDescent="0.2">
      <c r="B137" s="4">
        <v>38352</v>
      </c>
      <c r="C137" s="16">
        <v>3.4300000000000004E-2</v>
      </c>
      <c r="D137" s="16">
        <v>1.9E-3</v>
      </c>
      <c r="E137" s="16">
        <v>-3.4999999999999996E-3</v>
      </c>
      <c r="F137" s="16">
        <v>-2.8500000000000001E-2</v>
      </c>
    </row>
    <row r="138" spans="2:6" x14ac:dyDescent="0.2">
      <c r="B138" s="4">
        <v>38383</v>
      </c>
      <c r="C138" s="16">
        <v>-2.76E-2</v>
      </c>
      <c r="D138" s="16">
        <v>-1.6500000000000001E-2</v>
      </c>
      <c r="E138" s="16">
        <v>2.6600000000000002E-2</v>
      </c>
      <c r="F138" s="16">
        <v>3.1200000000000002E-2</v>
      </c>
    </row>
    <row r="139" spans="2:6" x14ac:dyDescent="0.2">
      <c r="B139" s="4">
        <v>38411</v>
      </c>
      <c r="C139" s="16">
        <v>1.8799999999999997E-2</v>
      </c>
      <c r="D139" s="16">
        <v>-7.1999999999999998E-3</v>
      </c>
      <c r="E139" s="16">
        <v>2.8300000000000002E-2</v>
      </c>
      <c r="F139" s="16">
        <v>3.1800000000000002E-2</v>
      </c>
    </row>
    <row r="140" spans="2:6" x14ac:dyDescent="0.2">
      <c r="B140" s="4">
        <v>38442</v>
      </c>
      <c r="C140" s="16">
        <v>-1.9599999999999999E-2</v>
      </c>
      <c r="D140" s="16">
        <v>-1.38E-2</v>
      </c>
      <c r="E140" s="16">
        <v>1.7500000000000002E-2</v>
      </c>
      <c r="F140" s="16">
        <v>9.3999999999999986E-3</v>
      </c>
    </row>
    <row r="141" spans="2:6" x14ac:dyDescent="0.2">
      <c r="B141" s="4">
        <v>38472</v>
      </c>
      <c r="C141" s="16">
        <v>-2.6099999999999998E-2</v>
      </c>
      <c r="D141" s="16">
        <v>-0.04</v>
      </c>
      <c r="E141" s="16">
        <v>-4.5999999999999999E-3</v>
      </c>
      <c r="F141" s="16">
        <v>-8.3000000000000001E-3</v>
      </c>
    </row>
    <row r="142" spans="2:6" x14ac:dyDescent="0.2">
      <c r="B142" s="4">
        <v>38503</v>
      </c>
      <c r="C142" s="16">
        <v>3.6499999999999998E-2</v>
      </c>
      <c r="D142" s="16">
        <v>2.9900000000000003E-2</v>
      </c>
      <c r="E142" s="16">
        <v>-1.23E-2</v>
      </c>
      <c r="F142" s="16">
        <v>4.0999999999999995E-3</v>
      </c>
    </row>
    <row r="143" spans="2:6" x14ac:dyDescent="0.2">
      <c r="B143" s="4">
        <v>38533</v>
      </c>
      <c r="C143" s="16">
        <v>5.6999999999999993E-3</v>
      </c>
      <c r="D143" s="16">
        <v>2.5600000000000001E-2</v>
      </c>
      <c r="E143" s="16">
        <v>2.7799999999999998E-2</v>
      </c>
      <c r="F143" s="16">
        <v>2.0799999999999999E-2</v>
      </c>
    </row>
    <row r="144" spans="2:6" x14ac:dyDescent="0.2">
      <c r="B144" s="4">
        <v>38564</v>
      </c>
      <c r="C144" s="16">
        <v>3.9199999999999999E-2</v>
      </c>
      <c r="D144" s="16">
        <v>2.7699999999999999E-2</v>
      </c>
      <c r="E144" s="16">
        <v>-4.5000000000000005E-3</v>
      </c>
      <c r="F144" s="16">
        <v>4.0000000000000002E-4</v>
      </c>
    </row>
    <row r="145" spans="2:6" x14ac:dyDescent="0.2">
      <c r="B145" s="4">
        <v>38595</v>
      </c>
      <c r="C145" s="16">
        <v>-1.2199999999999999E-2</v>
      </c>
      <c r="D145" s="16">
        <v>-8.8000000000000005E-3</v>
      </c>
      <c r="E145" s="16">
        <v>1.41E-2</v>
      </c>
      <c r="F145" s="16">
        <v>2.2099999999999998E-2</v>
      </c>
    </row>
    <row r="146" spans="2:6" x14ac:dyDescent="0.2">
      <c r="B146" s="4">
        <v>38625</v>
      </c>
      <c r="C146" s="16">
        <v>4.7999999999999996E-3</v>
      </c>
      <c r="D146" s="16">
        <v>-6.8000000000000005E-3</v>
      </c>
      <c r="E146" s="16">
        <v>1.1599999999999999E-2</v>
      </c>
      <c r="F146" s="16">
        <v>3.4799999999999998E-2</v>
      </c>
    </row>
    <row r="147" spans="2:6" x14ac:dyDescent="0.2">
      <c r="B147" s="4">
        <v>38656</v>
      </c>
      <c r="C147" s="16">
        <v>-2.0099999999999996E-2</v>
      </c>
      <c r="D147" s="16">
        <v>-1.03E-2</v>
      </c>
      <c r="E147" s="16">
        <v>-6.9999999999999993E-3</v>
      </c>
      <c r="F147" s="16">
        <v>-1.32E-2</v>
      </c>
    </row>
    <row r="148" spans="2:6" x14ac:dyDescent="0.2">
      <c r="B148" s="4">
        <v>38686</v>
      </c>
      <c r="C148" s="16">
        <v>3.6200000000000003E-2</v>
      </c>
      <c r="D148" s="16">
        <v>0.01</v>
      </c>
      <c r="E148" s="16">
        <v>-1.8500000000000003E-2</v>
      </c>
      <c r="F148" s="16">
        <v>3.7000000000000002E-3</v>
      </c>
    </row>
    <row r="149" spans="2:6" x14ac:dyDescent="0.2">
      <c r="B149" s="4">
        <v>38717</v>
      </c>
      <c r="C149" s="16">
        <v>-2.5000000000000001E-3</v>
      </c>
      <c r="D149" s="16">
        <v>-5.1000000000000004E-3</v>
      </c>
      <c r="E149" s="16">
        <v>4.7999999999999996E-3</v>
      </c>
      <c r="F149" s="16">
        <v>7.6E-3</v>
      </c>
    </row>
    <row r="150" spans="2:6" x14ac:dyDescent="0.2">
      <c r="B150" s="4">
        <v>38748</v>
      </c>
      <c r="C150" s="16">
        <v>3.04E-2</v>
      </c>
      <c r="D150" s="16">
        <v>5.33E-2</v>
      </c>
      <c r="E150" s="16">
        <v>1.1699999999999999E-2</v>
      </c>
      <c r="F150" s="16">
        <v>2.7999999999999997E-2</v>
      </c>
    </row>
    <row r="151" spans="2:6" x14ac:dyDescent="0.2">
      <c r="B151" s="4">
        <v>38776</v>
      </c>
      <c r="C151" s="16">
        <v>-3.0000000000000001E-3</v>
      </c>
      <c r="D151" s="16">
        <v>-3.0999999999999999E-3</v>
      </c>
      <c r="E151" s="16">
        <v>-8.5000000000000006E-3</v>
      </c>
      <c r="F151" s="16">
        <v>-1.77E-2</v>
      </c>
    </row>
    <row r="152" spans="2:6" x14ac:dyDescent="0.2">
      <c r="B152" s="4">
        <v>38807</v>
      </c>
      <c r="C152" s="16">
        <v>1.46E-2</v>
      </c>
      <c r="D152" s="16">
        <v>3.56E-2</v>
      </c>
      <c r="E152" s="16">
        <v>-1.1000000000000001E-3</v>
      </c>
      <c r="F152" s="16">
        <v>1.21E-2</v>
      </c>
    </row>
    <row r="153" spans="2:6" x14ac:dyDescent="0.2">
      <c r="B153" s="4">
        <v>38837</v>
      </c>
      <c r="C153" s="16">
        <v>7.3000000000000001E-3</v>
      </c>
      <c r="D153" s="16">
        <v>-1.24E-2</v>
      </c>
      <c r="E153" s="16">
        <v>3.0800000000000001E-2</v>
      </c>
      <c r="F153" s="16">
        <v>6.5000000000000006E-3</v>
      </c>
    </row>
    <row r="154" spans="2:6" x14ac:dyDescent="0.2">
      <c r="B154" s="4">
        <v>38868</v>
      </c>
      <c r="C154" s="16">
        <v>-3.5699999999999996E-2</v>
      </c>
      <c r="D154" s="16">
        <v>-3.04E-2</v>
      </c>
      <c r="E154" s="16">
        <v>2.7699999999999999E-2</v>
      </c>
      <c r="F154" s="16">
        <v>-3.73E-2</v>
      </c>
    </row>
    <row r="155" spans="2:6" x14ac:dyDescent="0.2">
      <c r="B155" s="4">
        <v>38898</v>
      </c>
      <c r="C155" s="16">
        <v>-3.4999999999999996E-3</v>
      </c>
      <c r="D155" s="16">
        <v>-5.3E-3</v>
      </c>
      <c r="E155" s="16">
        <v>1.5100000000000001E-2</v>
      </c>
      <c r="F155" s="16">
        <v>1.47E-2</v>
      </c>
    </row>
    <row r="156" spans="2:6" x14ac:dyDescent="0.2">
      <c r="B156" s="4">
        <v>38929</v>
      </c>
      <c r="C156" s="16">
        <v>-7.8000000000000005E-3</v>
      </c>
      <c r="D156" s="16">
        <v>-3.9900000000000005E-2</v>
      </c>
      <c r="E156" s="16">
        <v>3.27E-2</v>
      </c>
      <c r="F156" s="16">
        <v>-2.2000000000000002E-2</v>
      </c>
    </row>
    <row r="157" spans="2:6" x14ac:dyDescent="0.2">
      <c r="B157" s="4">
        <v>38960</v>
      </c>
      <c r="C157" s="16">
        <v>2.0299999999999999E-2</v>
      </c>
      <c r="D157" s="16">
        <v>8.3000000000000001E-3</v>
      </c>
      <c r="E157" s="16">
        <v>-1.7500000000000002E-2</v>
      </c>
      <c r="F157" s="16">
        <v>-3.4700000000000002E-2</v>
      </c>
    </row>
    <row r="158" spans="2:6" x14ac:dyDescent="0.2">
      <c r="B158" s="4">
        <v>38990</v>
      </c>
      <c r="C158" s="16">
        <v>1.84E-2</v>
      </c>
      <c r="D158" s="16">
        <v>-1.24E-2</v>
      </c>
      <c r="E158" s="16">
        <v>-4.1999999999999997E-3</v>
      </c>
      <c r="F158" s="16">
        <v>-9.3999999999999986E-3</v>
      </c>
    </row>
    <row r="159" spans="2:6" x14ac:dyDescent="0.2">
      <c r="B159" s="4">
        <v>39021</v>
      </c>
      <c r="C159" s="16">
        <v>3.2300000000000002E-2</v>
      </c>
      <c r="D159" s="16">
        <v>1.6399999999999998E-2</v>
      </c>
      <c r="E159" s="16">
        <v>4.7999999999999996E-3</v>
      </c>
      <c r="F159" s="16">
        <v>-2.5999999999999999E-3</v>
      </c>
    </row>
    <row r="160" spans="2:6" x14ac:dyDescent="0.2">
      <c r="B160" s="4">
        <v>39051</v>
      </c>
      <c r="C160" s="16">
        <v>1.7100000000000001E-2</v>
      </c>
      <c r="D160" s="16">
        <v>7.7000000000000002E-3</v>
      </c>
      <c r="E160" s="16">
        <v>4.7999999999999996E-3</v>
      </c>
      <c r="F160" s="16">
        <v>-1.03E-2</v>
      </c>
    </row>
    <row r="161" spans="2:6" x14ac:dyDescent="0.2">
      <c r="B161" s="4">
        <v>39082</v>
      </c>
      <c r="C161" s="16">
        <v>8.6E-3</v>
      </c>
      <c r="D161" s="16">
        <v>-8.8999999999999999E-3</v>
      </c>
      <c r="E161" s="16">
        <v>2.5099999999999997E-2</v>
      </c>
      <c r="F161" s="16">
        <v>8.199999999999999E-3</v>
      </c>
    </row>
    <row r="162" spans="2:6" x14ac:dyDescent="0.2">
      <c r="B162" s="4">
        <v>39113</v>
      </c>
      <c r="C162" s="16">
        <v>1.41E-2</v>
      </c>
      <c r="D162" s="16">
        <v>8.9999999999999998E-4</v>
      </c>
      <c r="E162" s="16">
        <v>-2.0000000000000001E-4</v>
      </c>
      <c r="F162" s="16">
        <v>2.5999999999999999E-3</v>
      </c>
    </row>
    <row r="163" spans="2:6" x14ac:dyDescent="0.2">
      <c r="B163" s="4">
        <v>39141</v>
      </c>
      <c r="C163" s="16">
        <v>-1.9599999999999999E-2</v>
      </c>
      <c r="D163" s="16">
        <v>1.38E-2</v>
      </c>
      <c r="E163" s="16">
        <v>2.3999999999999998E-3</v>
      </c>
      <c r="F163" s="16">
        <v>-1.3300000000000001E-2</v>
      </c>
    </row>
    <row r="164" spans="2:6" x14ac:dyDescent="0.2">
      <c r="B164" s="4">
        <v>39172</v>
      </c>
      <c r="C164" s="16">
        <v>6.8000000000000005E-3</v>
      </c>
      <c r="D164" s="16">
        <v>-2.5999999999999999E-3</v>
      </c>
      <c r="E164" s="16">
        <v>3.9000000000000003E-3</v>
      </c>
      <c r="F164" s="16">
        <v>2.52E-2</v>
      </c>
    </row>
    <row r="165" spans="2:6" x14ac:dyDescent="0.2">
      <c r="B165" s="4">
        <v>39202</v>
      </c>
      <c r="C165" s="16">
        <v>3.49E-2</v>
      </c>
      <c r="D165" s="16">
        <v>-2.0899999999999998E-2</v>
      </c>
      <c r="E165" s="16">
        <v>-9.5999999999999992E-3</v>
      </c>
      <c r="F165" s="16">
        <v>-1.5E-3</v>
      </c>
    </row>
    <row r="166" spans="2:6" x14ac:dyDescent="0.2">
      <c r="B166" s="4">
        <v>39233</v>
      </c>
      <c r="C166" s="16">
        <v>3.2400000000000005E-2</v>
      </c>
      <c r="D166" s="16">
        <v>-4.0000000000000002E-4</v>
      </c>
      <c r="E166" s="16">
        <v>-1.2999999999999999E-3</v>
      </c>
      <c r="F166" s="16">
        <v>-3.0000000000000001E-3</v>
      </c>
    </row>
    <row r="167" spans="2:6" x14ac:dyDescent="0.2">
      <c r="B167" s="4">
        <v>39263</v>
      </c>
      <c r="C167" s="16">
        <v>-1.9599999999999999E-2</v>
      </c>
      <c r="D167" s="16">
        <v>7.6E-3</v>
      </c>
      <c r="E167" s="16">
        <v>-1.06E-2</v>
      </c>
      <c r="F167" s="16">
        <v>2.3999999999999998E-3</v>
      </c>
    </row>
    <row r="168" spans="2:6" x14ac:dyDescent="0.2">
      <c r="B168" s="4">
        <v>39294</v>
      </c>
      <c r="C168" s="16">
        <v>-3.73E-2</v>
      </c>
      <c r="D168" s="16">
        <v>-2.6699999999999998E-2</v>
      </c>
      <c r="E168" s="16">
        <v>-2.9900000000000003E-2</v>
      </c>
      <c r="F168" s="16">
        <v>2.7799999999999998E-2</v>
      </c>
    </row>
    <row r="169" spans="2:6" x14ac:dyDescent="0.2">
      <c r="B169" s="4">
        <v>39325</v>
      </c>
      <c r="C169" s="16">
        <v>9.1999999999999998E-3</v>
      </c>
      <c r="D169" s="16">
        <v>-1.4000000000000002E-3</v>
      </c>
      <c r="E169" s="16">
        <v>-2.3599999999999999E-2</v>
      </c>
      <c r="F169" s="16">
        <v>1E-3</v>
      </c>
    </row>
    <row r="170" spans="2:6" x14ac:dyDescent="0.2">
      <c r="B170" s="4">
        <v>39355</v>
      </c>
      <c r="C170" s="16">
        <v>3.2199999999999999E-2</v>
      </c>
      <c r="D170" s="16">
        <v>-2.46E-2</v>
      </c>
      <c r="E170" s="16">
        <v>-2.1299999999999999E-2</v>
      </c>
      <c r="F170" s="16">
        <v>4.6100000000000002E-2</v>
      </c>
    </row>
    <row r="171" spans="2:6" x14ac:dyDescent="0.2">
      <c r="B171" s="4">
        <v>39386</v>
      </c>
      <c r="C171" s="16">
        <v>1.8000000000000002E-2</v>
      </c>
      <c r="D171" s="16">
        <v>2.0999999999999999E-3</v>
      </c>
      <c r="E171" s="16">
        <v>-1.9699999999999999E-2</v>
      </c>
      <c r="F171" s="16">
        <v>4.8899999999999999E-2</v>
      </c>
    </row>
    <row r="172" spans="2:6" x14ac:dyDescent="0.2">
      <c r="B172" s="4">
        <v>39416</v>
      </c>
      <c r="C172" s="16">
        <v>-4.8300000000000003E-2</v>
      </c>
      <c r="D172" s="16">
        <v>-2.7699999999999999E-2</v>
      </c>
      <c r="E172" s="16">
        <v>-1.09E-2</v>
      </c>
      <c r="F172" s="16">
        <v>8.8000000000000005E-3</v>
      </c>
    </row>
    <row r="173" spans="2:6" x14ac:dyDescent="0.2">
      <c r="B173" s="4">
        <v>39447</v>
      </c>
      <c r="C173" s="16">
        <v>-8.6999999999999994E-3</v>
      </c>
      <c r="D173" s="16">
        <v>5.0000000000000001E-4</v>
      </c>
      <c r="E173" s="16">
        <v>-2.9999999999999997E-4</v>
      </c>
      <c r="F173" s="16">
        <v>6.5500000000000003E-2</v>
      </c>
    </row>
    <row r="174" spans="2:6" x14ac:dyDescent="0.2">
      <c r="B174" s="4">
        <v>39478</v>
      </c>
      <c r="C174" s="16">
        <v>-6.3500000000000001E-2</v>
      </c>
      <c r="D174" s="16">
        <v>-7.7000000000000002E-3</v>
      </c>
      <c r="E174" s="16">
        <v>3.0499999999999999E-2</v>
      </c>
      <c r="F174" s="16">
        <v>-7.8299999999999995E-2</v>
      </c>
    </row>
    <row r="175" spans="2:6" x14ac:dyDescent="0.2">
      <c r="B175" s="4">
        <v>39507</v>
      </c>
      <c r="C175" s="16">
        <v>-3.0899999999999997E-2</v>
      </c>
      <c r="D175" s="16">
        <v>-5.5000000000000005E-3</v>
      </c>
      <c r="E175" s="16">
        <v>-2.9999999999999997E-4</v>
      </c>
      <c r="F175" s="16">
        <v>6.1100000000000002E-2</v>
      </c>
    </row>
    <row r="176" spans="2:6" x14ac:dyDescent="0.2">
      <c r="B176" s="4">
        <v>39538</v>
      </c>
      <c r="C176" s="16">
        <v>-9.3999999999999986E-3</v>
      </c>
      <c r="D176" s="16">
        <v>8.3000000000000001E-3</v>
      </c>
      <c r="E176" s="16">
        <v>2.8000000000000004E-3</v>
      </c>
      <c r="F176" s="16">
        <v>4.1200000000000001E-2</v>
      </c>
    </row>
    <row r="177" spans="2:6" x14ac:dyDescent="0.2">
      <c r="B177" s="4">
        <v>39568</v>
      </c>
      <c r="C177" s="16">
        <v>4.5999999999999999E-2</v>
      </c>
      <c r="D177" s="16">
        <v>-1.49E-2</v>
      </c>
      <c r="E177" s="16">
        <v>-2.9999999999999997E-4</v>
      </c>
      <c r="F177" s="16">
        <v>-2.2000000000000001E-3</v>
      </c>
    </row>
    <row r="178" spans="2:6" x14ac:dyDescent="0.2">
      <c r="B178" s="4">
        <v>39599</v>
      </c>
      <c r="C178" s="16">
        <v>1.8600000000000002E-2</v>
      </c>
      <c r="D178" s="16">
        <v>2.98E-2</v>
      </c>
      <c r="E178" s="16">
        <v>-3.4000000000000002E-3</v>
      </c>
      <c r="F178" s="16">
        <v>3.2000000000000001E-2</v>
      </c>
    </row>
    <row r="179" spans="2:6" x14ac:dyDescent="0.2">
      <c r="B179" s="4">
        <v>39629</v>
      </c>
      <c r="C179" s="16">
        <v>-8.4399999999999989E-2</v>
      </c>
      <c r="D179" s="16">
        <v>1.0700000000000001E-2</v>
      </c>
      <c r="E179" s="16">
        <v>-1.0200000000000001E-2</v>
      </c>
      <c r="F179" s="16">
        <v>0.12529999999999999</v>
      </c>
    </row>
    <row r="180" spans="2:6" x14ac:dyDescent="0.2">
      <c r="B180" s="4">
        <v>39660</v>
      </c>
      <c r="C180" s="16">
        <v>-7.7000000000000002E-3</v>
      </c>
      <c r="D180" s="16">
        <v>3.5799999999999998E-2</v>
      </c>
      <c r="E180" s="16">
        <v>3.6900000000000002E-2</v>
      </c>
      <c r="F180" s="16">
        <v>-5.3200000000000004E-2</v>
      </c>
    </row>
    <row r="181" spans="2:6" x14ac:dyDescent="0.2">
      <c r="B181" s="4">
        <v>39691</v>
      </c>
      <c r="C181" s="16">
        <v>1.5300000000000001E-2</v>
      </c>
      <c r="D181" s="16">
        <v>3.7499999999999999E-2</v>
      </c>
      <c r="E181" s="16">
        <v>1.4800000000000001E-2</v>
      </c>
      <c r="F181" s="16">
        <v>-3.7999999999999999E-2</v>
      </c>
    </row>
    <row r="182" spans="2:6" x14ac:dyDescent="0.2">
      <c r="B182" s="4">
        <v>39721</v>
      </c>
      <c r="C182" s="16">
        <v>-9.2399999999999996E-2</v>
      </c>
      <c r="D182" s="16">
        <v>-3.4000000000000002E-3</v>
      </c>
      <c r="E182" s="16">
        <v>4.4000000000000004E-2</v>
      </c>
      <c r="F182" s="16">
        <v>3.4000000000000002E-3</v>
      </c>
    </row>
    <row r="183" spans="2:6" x14ac:dyDescent="0.2">
      <c r="B183" s="4">
        <v>39752</v>
      </c>
      <c r="C183" s="16">
        <v>-0.17230000000000001</v>
      </c>
      <c r="D183" s="16">
        <v>-2.2799999999999997E-2</v>
      </c>
      <c r="E183" s="16">
        <v>-2.9900000000000003E-2</v>
      </c>
      <c r="F183" s="16">
        <v>7.8299999999999995E-2</v>
      </c>
    </row>
    <row r="184" spans="2:6" x14ac:dyDescent="0.2">
      <c r="B184" s="4">
        <v>39782</v>
      </c>
      <c r="C184" s="16">
        <v>-7.8600000000000003E-2</v>
      </c>
      <c r="D184" s="16">
        <v>-3.6299999999999999E-2</v>
      </c>
      <c r="E184" s="16">
        <v>-4.9400000000000006E-2</v>
      </c>
      <c r="F184" s="16">
        <v>7.1300000000000002E-2</v>
      </c>
    </row>
    <row r="185" spans="2:6" x14ac:dyDescent="0.2">
      <c r="B185" s="4">
        <v>39813</v>
      </c>
      <c r="C185" s="16">
        <v>1.7500000000000002E-2</v>
      </c>
      <c r="D185" s="16">
        <v>3.9699999999999999E-2</v>
      </c>
      <c r="E185" s="16">
        <v>-1.2E-2</v>
      </c>
      <c r="F185" s="16">
        <v>-5.0300000000000004E-2</v>
      </c>
    </row>
    <row r="186" spans="2:6" x14ac:dyDescent="0.2">
      <c r="B186" s="4">
        <v>39844</v>
      </c>
      <c r="C186" s="16">
        <v>-8.1199999999999994E-2</v>
      </c>
      <c r="D186" s="16">
        <v>-9.7999999999999997E-3</v>
      </c>
      <c r="E186" s="16">
        <v>-9.8599999999999993E-2</v>
      </c>
      <c r="F186" s="16">
        <v>-1.8799999999999997E-2</v>
      </c>
    </row>
    <row r="187" spans="2:6" x14ac:dyDescent="0.2">
      <c r="B187" s="4">
        <v>39872</v>
      </c>
      <c r="C187" s="16">
        <v>-0.10099999999999999</v>
      </c>
      <c r="D187" s="16">
        <v>-3.4999999999999996E-3</v>
      </c>
      <c r="E187" s="16">
        <v>-6.9000000000000006E-2</v>
      </c>
      <c r="F187" s="16">
        <v>4.2300000000000004E-2</v>
      </c>
    </row>
    <row r="188" spans="2:6" x14ac:dyDescent="0.2">
      <c r="B188" s="4">
        <v>39903</v>
      </c>
      <c r="C188" s="16">
        <v>8.9499999999999996E-2</v>
      </c>
      <c r="D188" s="16">
        <v>7.3000000000000001E-3</v>
      </c>
      <c r="E188" s="16">
        <v>2.6000000000000002E-2</v>
      </c>
      <c r="F188" s="16">
        <v>-0.11349999999999999</v>
      </c>
    </row>
    <row r="189" spans="2:6" x14ac:dyDescent="0.2">
      <c r="B189" s="4">
        <v>39933</v>
      </c>
      <c r="C189" s="16">
        <v>0.10189999999999999</v>
      </c>
      <c r="D189" s="16">
        <v>5.4000000000000006E-2</v>
      </c>
      <c r="E189" s="16">
        <v>5.4199999999999998E-2</v>
      </c>
      <c r="F189" s="16">
        <v>-0.34720000000000001</v>
      </c>
    </row>
    <row r="190" spans="2:6" x14ac:dyDescent="0.2">
      <c r="B190" s="4">
        <v>39964</v>
      </c>
      <c r="C190" s="16">
        <v>5.21E-2</v>
      </c>
      <c r="D190" s="16">
        <v>-2.6600000000000002E-2</v>
      </c>
      <c r="E190" s="16">
        <v>5.6000000000000008E-3</v>
      </c>
      <c r="F190" s="16">
        <v>-0.12470000000000001</v>
      </c>
    </row>
    <row r="191" spans="2:6" x14ac:dyDescent="0.2">
      <c r="B191" s="4">
        <v>39994</v>
      </c>
      <c r="C191" s="16">
        <v>4.3E-3</v>
      </c>
      <c r="D191" s="16">
        <v>2.6699999999999998E-2</v>
      </c>
      <c r="E191" s="16">
        <v>-2.4399999999999998E-2</v>
      </c>
      <c r="F191" s="16">
        <v>5.3099999999999994E-2</v>
      </c>
    </row>
    <row r="192" spans="2:6" x14ac:dyDescent="0.2">
      <c r="B192" s="4">
        <v>40025</v>
      </c>
      <c r="C192" s="16">
        <v>7.7199999999999991E-2</v>
      </c>
      <c r="D192" s="16">
        <v>2.5000000000000001E-2</v>
      </c>
      <c r="E192" s="16">
        <v>4.7300000000000002E-2</v>
      </c>
      <c r="F192" s="16">
        <v>-5.4699999999999999E-2</v>
      </c>
    </row>
    <row r="193" spans="2:6" x14ac:dyDescent="0.2">
      <c r="B193" s="4">
        <v>40056</v>
      </c>
      <c r="C193" s="16">
        <v>3.32E-2</v>
      </c>
      <c r="D193" s="16">
        <v>-5.1000000000000004E-3</v>
      </c>
      <c r="E193" s="16">
        <v>7.5899999999999995E-2</v>
      </c>
      <c r="F193" s="16">
        <v>-8.8699999999999987E-2</v>
      </c>
    </row>
    <row r="194" spans="2:6" x14ac:dyDescent="0.2">
      <c r="B194" s="4">
        <v>40086</v>
      </c>
      <c r="C194" s="16">
        <v>4.0800000000000003E-2</v>
      </c>
      <c r="D194" s="16">
        <v>2.4700000000000003E-2</v>
      </c>
      <c r="E194" s="16">
        <v>1.3999999999999999E-2</v>
      </c>
      <c r="F194" s="16">
        <v>-5.0199999999999995E-2</v>
      </c>
    </row>
    <row r="195" spans="2:6" x14ac:dyDescent="0.2">
      <c r="B195" s="4">
        <v>40117</v>
      </c>
      <c r="C195" s="16">
        <v>-2.5899999999999999E-2</v>
      </c>
      <c r="D195" s="16">
        <v>-4.2199999999999994E-2</v>
      </c>
      <c r="E195" s="16">
        <v>-4.3700000000000003E-2</v>
      </c>
      <c r="F195" s="16">
        <v>2.6699999999999998E-2</v>
      </c>
    </row>
    <row r="196" spans="2:6" x14ac:dyDescent="0.2">
      <c r="B196" s="4">
        <v>40147</v>
      </c>
      <c r="C196" s="16">
        <v>5.5599999999999997E-2</v>
      </c>
      <c r="D196" s="16">
        <v>-2.6499999999999999E-2</v>
      </c>
      <c r="E196" s="16">
        <v>1.7000000000000001E-3</v>
      </c>
      <c r="F196" s="16">
        <v>3.7000000000000002E-3</v>
      </c>
    </row>
    <row r="197" spans="2:6" x14ac:dyDescent="0.2">
      <c r="B197" s="4">
        <v>40178</v>
      </c>
      <c r="C197" s="16">
        <v>2.75E-2</v>
      </c>
      <c r="D197" s="16">
        <v>5.79E-2</v>
      </c>
      <c r="E197" s="16">
        <v>7.3000000000000001E-3</v>
      </c>
      <c r="F197" s="16">
        <v>2.8900000000000002E-2</v>
      </c>
    </row>
    <row r="198" spans="2:6" x14ac:dyDescent="0.2">
      <c r="B198" s="4">
        <v>40209</v>
      </c>
      <c r="C198" s="16">
        <v>-3.3599999999999998E-2</v>
      </c>
      <c r="D198" s="16">
        <v>1.9E-3</v>
      </c>
      <c r="E198" s="16">
        <v>6.0999999999999995E-3</v>
      </c>
      <c r="F198" s="16">
        <v>-5.3399999999999996E-2</v>
      </c>
    </row>
    <row r="199" spans="2:6" x14ac:dyDescent="0.2">
      <c r="B199" s="4">
        <v>40237</v>
      </c>
      <c r="C199" s="16">
        <v>3.4000000000000002E-2</v>
      </c>
      <c r="D199" s="16">
        <v>1.44E-2</v>
      </c>
      <c r="E199" s="16">
        <v>2.7400000000000001E-2</v>
      </c>
      <c r="F199" s="16">
        <v>3.6200000000000003E-2</v>
      </c>
    </row>
    <row r="200" spans="2:6" x14ac:dyDescent="0.2">
      <c r="B200" s="4">
        <v>40268</v>
      </c>
      <c r="C200" s="16">
        <v>6.3200000000000006E-2</v>
      </c>
      <c r="D200" s="16">
        <v>1.5800000000000002E-2</v>
      </c>
      <c r="E200" s="16">
        <v>2.0299999999999999E-2</v>
      </c>
      <c r="F200" s="16">
        <v>3.7000000000000005E-2</v>
      </c>
    </row>
    <row r="201" spans="2:6" x14ac:dyDescent="0.2">
      <c r="B201" s="4">
        <v>40298</v>
      </c>
      <c r="C201" s="16">
        <v>0.02</v>
      </c>
      <c r="D201" s="16">
        <v>4.9400000000000006E-2</v>
      </c>
      <c r="E201" s="16">
        <v>3.15E-2</v>
      </c>
      <c r="F201" s="16">
        <v>3.1400000000000004E-2</v>
      </c>
    </row>
    <row r="202" spans="2:6" x14ac:dyDescent="0.2">
      <c r="B202" s="4">
        <v>40329</v>
      </c>
      <c r="C202" s="16">
        <v>-7.8899999999999998E-2</v>
      </c>
      <c r="D202" s="16">
        <v>-8.0000000000000004E-4</v>
      </c>
      <c r="E202" s="16">
        <v>-2.3300000000000001E-2</v>
      </c>
      <c r="F202" s="16">
        <v>-2.2000000000000001E-3</v>
      </c>
    </row>
    <row r="203" spans="2:6" x14ac:dyDescent="0.2">
      <c r="B203" s="4">
        <v>40359</v>
      </c>
      <c r="C203" s="16">
        <v>-5.5599999999999997E-2</v>
      </c>
      <c r="D203" s="16">
        <v>-2.1299999999999999E-2</v>
      </c>
      <c r="E203" s="16">
        <v>-4.2599999999999999E-2</v>
      </c>
      <c r="F203" s="16">
        <v>-2.8999999999999998E-2</v>
      </c>
    </row>
    <row r="204" spans="2:6" x14ac:dyDescent="0.2">
      <c r="B204" s="4">
        <v>40390</v>
      </c>
      <c r="C204" s="16">
        <v>6.9199999999999998E-2</v>
      </c>
      <c r="D204" s="16">
        <v>1.7000000000000001E-3</v>
      </c>
      <c r="E204" s="16">
        <v>2.2000000000000001E-3</v>
      </c>
      <c r="F204" s="16">
        <v>1.9199999999999998E-2</v>
      </c>
    </row>
    <row r="205" spans="2:6" x14ac:dyDescent="0.2">
      <c r="B205" s="4">
        <v>40421</v>
      </c>
      <c r="C205" s="16">
        <v>-4.7699999999999992E-2</v>
      </c>
      <c r="D205" s="16">
        <v>-2.9399999999999999E-2</v>
      </c>
      <c r="E205" s="16">
        <v>-1.6399999999999998E-2</v>
      </c>
      <c r="F205" s="16">
        <v>-1.2999999999999999E-3</v>
      </c>
    </row>
    <row r="206" spans="2:6" x14ac:dyDescent="0.2">
      <c r="B206" s="4">
        <v>40451</v>
      </c>
      <c r="C206" s="16">
        <v>9.5399999999999985E-2</v>
      </c>
      <c r="D206" s="16">
        <v>3.8399999999999997E-2</v>
      </c>
      <c r="E206" s="16">
        <v>-3.0200000000000001E-2</v>
      </c>
      <c r="F206" s="16">
        <v>1.3500000000000002E-2</v>
      </c>
    </row>
    <row r="207" spans="2:6" x14ac:dyDescent="0.2">
      <c r="B207" s="4">
        <v>40482</v>
      </c>
      <c r="C207" s="16">
        <v>3.8800000000000001E-2</v>
      </c>
      <c r="D207" s="16">
        <v>1.04E-2</v>
      </c>
      <c r="E207" s="16">
        <v>-2.3E-2</v>
      </c>
      <c r="F207" s="16">
        <v>1.5800000000000002E-2</v>
      </c>
    </row>
    <row r="208" spans="2:6" x14ac:dyDescent="0.2">
      <c r="B208" s="4">
        <v>40512</v>
      </c>
      <c r="C208" s="16">
        <v>6.0000000000000001E-3</v>
      </c>
      <c r="D208" s="16">
        <v>3.6600000000000001E-2</v>
      </c>
      <c r="E208" s="16">
        <v>-5.4000000000000003E-3</v>
      </c>
      <c r="F208" s="16">
        <v>2.5099999999999997E-2</v>
      </c>
    </row>
    <row r="209" spans="2:6" x14ac:dyDescent="0.2">
      <c r="B209" s="4">
        <v>40543</v>
      </c>
      <c r="C209" s="16">
        <v>6.8199999999999997E-2</v>
      </c>
      <c r="D209" s="16">
        <v>7.8000000000000005E-3</v>
      </c>
      <c r="E209" s="16">
        <v>3.5799999999999998E-2</v>
      </c>
      <c r="F209" s="16">
        <v>-3.2099999999999997E-2</v>
      </c>
    </row>
    <row r="210" spans="2:6" x14ac:dyDescent="0.2">
      <c r="B210" s="4">
        <v>40574</v>
      </c>
      <c r="C210" s="16">
        <v>2.0099999999999996E-2</v>
      </c>
      <c r="D210" s="16">
        <v>-2.46E-2</v>
      </c>
      <c r="E210" s="16">
        <v>8.6E-3</v>
      </c>
      <c r="F210" s="16">
        <v>-3.0000000000000001E-3</v>
      </c>
    </row>
    <row r="211" spans="2:6" x14ac:dyDescent="0.2">
      <c r="B211" s="4">
        <v>40602</v>
      </c>
      <c r="C211" s="16">
        <v>3.49E-2</v>
      </c>
      <c r="D211" s="16">
        <v>1.6299999999999999E-2</v>
      </c>
      <c r="E211" s="16">
        <v>1.67E-2</v>
      </c>
      <c r="F211" s="16">
        <v>2.0499999999999997E-2</v>
      </c>
    </row>
    <row r="212" spans="2:6" x14ac:dyDescent="0.2">
      <c r="B212" s="4">
        <v>40633</v>
      </c>
      <c r="C212" s="16">
        <v>4.7999999999999996E-3</v>
      </c>
      <c r="D212" s="16">
        <v>2.6200000000000001E-2</v>
      </c>
      <c r="E212" s="16">
        <v>-1.2199999999999999E-2</v>
      </c>
      <c r="F212" s="16">
        <v>3.5900000000000001E-2</v>
      </c>
    </row>
    <row r="213" spans="2:6" x14ac:dyDescent="0.2">
      <c r="B213" s="4">
        <v>40663</v>
      </c>
      <c r="C213" s="16">
        <v>2.8999999999999998E-2</v>
      </c>
      <c r="D213" s="16">
        <v>-3.2000000000000002E-3</v>
      </c>
      <c r="E213" s="16">
        <v>-2.2499999999999999E-2</v>
      </c>
      <c r="F213" s="16">
        <v>8.0000000000000004E-4</v>
      </c>
    </row>
    <row r="214" spans="2:6" x14ac:dyDescent="0.2">
      <c r="B214" s="4">
        <v>40694</v>
      </c>
      <c r="C214" s="16">
        <v>-1.2699999999999999E-2</v>
      </c>
      <c r="D214" s="16">
        <v>-6.5000000000000006E-3</v>
      </c>
      <c r="E214" s="16">
        <v>-2.2099999999999998E-2</v>
      </c>
      <c r="F214" s="16">
        <v>-5.7999999999999996E-3</v>
      </c>
    </row>
    <row r="215" spans="2:6" x14ac:dyDescent="0.2">
      <c r="B215" s="4">
        <v>40724</v>
      </c>
      <c r="C215" s="16">
        <v>-1.7500000000000002E-2</v>
      </c>
      <c r="D215" s="16">
        <v>-8.0000000000000004E-4</v>
      </c>
      <c r="E215" s="16">
        <v>-4.1999999999999997E-3</v>
      </c>
      <c r="F215" s="16">
        <v>1.7600000000000001E-2</v>
      </c>
    </row>
    <row r="216" spans="2:6" x14ac:dyDescent="0.2">
      <c r="B216" s="4">
        <v>40755</v>
      </c>
      <c r="C216" s="16">
        <v>-2.3399999999999997E-2</v>
      </c>
      <c r="D216" s="16">
        <v>-1.3999999999999999E-2</v>
      </c>
      <c r="E216" s="16">
        <v>-1.2E-2</v>
      </c>
      <c r="F216" s="16">
        <v>1.4000000000000002E-3</v>
      </c>
    </row>
    <row r="217" spans="2:6" x14ac:dyDescent="0.2">
      <c r="B217" s="4">
        <v>40786</v>
      </c>
      <c r="C217" s="16">
        <v>-0.06</v>
      </c>
      <c r="D217" s="16">
        <v>-3.3000000000000002E-2</v>
      </c>
      <c r="E217" s="16">
        <v>-1.5600000000000001E-2</v>
      </c>
      <c r="F217" s="16">
        <v>-3.4999999999999996E-3</v>
      </c>
    </row>
    <row r="218" spans="2:6" x14ac:dyDescent="0.2">
      <c r="B218" s="4">
        <v>40816</v>
      </c>
      <c r="C218" s="16">
        <v>-7.5999999999999998E-2</v>
      </c>
      <c r="D218" s="16">
        <v>-3.6799999999999999E-2</v>
      </c>
      <c r="E218" s="16">
        <v>-1.06E-2</v>
      </c>
      <c r="F218" s="16">
        <v>-2.52E-2</v>
      </c>
    </row>
    <row r="219" spans="2:6" x14ac:dyDescent="0.2">
      <c r="B219" s="4">
        <v>40847</v>
      </c>
      <c r="C219" s="16">
        <v>0.1134</v>
      </c>
      <c r="D219" s="16">
        <v>3.5799999999999998E-2</v>
      </c>
      <c r="E219" s="16">
        <v>-9.0000000000000011E-3</v>
      </c>
      <c r="F219" s="16">
        <v>-1.4499999999999999E-2</v>
      </c>
    </row>
    <row r="220" spans="2:6" x14ac:dyDescent="0.2">
      <c r="B220" s="4">
        <v>40877</v>
      </c>
      <c r="C220" s="16">
        <v>-2.5999999999999999E-3</v>
      </c>
      <c r="D220" s="16">
        <v>-2.5999999999999999E-3</v>
      </c>
      <c r="E220" s="16">
        <v>-1.7000000000000001E-3</v>
      </c>
      <c r="F220" s="16">
        <v>0.04</v>
      </c>
    </row>
    <row r="221" spans="2:6" x14ac:dyDescent="0.2">
      <c r="B221" s="4">
        <v>40908</v>
      </c>
      <c r="C221" s="16">
        <v>7.4000000000000003E-3</v>
      </c>
      <c r="D221" s="16">
        <v>-5.6999999999999993E-3</v>
      </c>
      <c r="E221" s="16">
        <v>1.5300000000000001E-2</v>
      </c>
      <c r="F221" s="16">
        <v>1.89E-2</v>
      </c>
    </row>
    <row r="222" spans="2:6" x14ac:dyDescent="0.2">
      <c r="B222" s="4">
        <v>40939</v>
      </c>
      <c r="C222" s="16">
        <v>5.0599999999999999E-2</v>
      </c>
      <c r="D222" s="16">
        <v>2.52E-2</v>
      </c>
      <c r="E222" s="16">
        <v>-2.1299999999999999E-2</v>
      </c>
      <c r="F222" s="16">
        <v>-7.9500000000000001E-2</v>
      </c>
    </row>
    <row r="223" spans="2:6" x14ac:dyDescent="0.2">
      <c r="B223" s="4">
        <v>40968</v>
      </c>
      <c r="C223" s="16">
        <v>4.4299999999999999E-2</v>
      </c>
      <c r="D223" s="16">
        <v>-1.6500000000000001E-2</v>
      </c>
      <c r="E223" s="16">
        <v>4.0000000000000002E-4</v>
      </c>
      <c r="F223" s="16">
        <v>-2.7000000000000001E-3</v>
      </c>
    </row>
    <row r="224" spans="2:6" x14ac:dyDescent="0.2">
      <c r="B224" s="4">
        <v>40999</v>
      </c>
      <c r="C224" s="16">
        <v>3.1099999999999999E-2</v>
      </c>
      <c r="D224" s="16">
        <v>-2.3E-3</v>
      </c>
      <c r="E224" s="16">
        <v>-7.000000000000001E-4</v>
      </c>
      <c r="F224" s="16">
        <v>1.46E-2</v>
      </c>
    </row>
    <row r="225" spans="2:6" x14ac:dyDescent="0.2">
      <c r="B225" s="4">
        <v>41029</v>
      </c>
      <c r="C225" s="16">
        <v>-8.3999999999999995E-3</v>
      </c>
      <c r="D225" s="16">
        <v>-6.0999999999999995E-3</v>
      </c>
      <c r="E225" s="16">
        <v>-2E-3</v>
      </c>
      <c r="F225" s="16">
        <v>3.8399999999999997E-2</v>
      </c>
    </row>
    <row r="226" spans="2:6" x14ac:dyDescent="0.2">
      <c r="B226" s="4">
        <v>41060</v>
      </c>
      <c r="C226" s="16">
        <v>-6.2E-2</v>
      </c>
      <c r="D226" s="16">
        <v>-1E-3</v>
      </c>
      <c r="E226" s="16">
        <v>1E-3</v>
      </c>
      <c r="F226" s="16">
        <v>6.6100000000000006E-2</v>
      </c>
    </row>
    <row r="227" spans="2:6" x14ac:dyDescent="0.2">
      <c r="B227" s="4">
        <v>41090</v>
      </c>
      <c r="C227" s="16">
        <v>3.8800000000000001E-2</v>
      </c>
      <c r="D227" s="16">
        <v>8.199999999999999E-3</v>
      </c>
      <c r="E227" s="16">
        <v>4.5999999999999999E-3</v>
      </c>
      <c r="F227" s="16">
        <v>-1.1399999999999999E-2</v>
      </c>
    </row>
    <row r="228" spans="2:6" x14ac:dyDescent="0.2">
      <c r="B228" s="4">
        <v>41121</v>
      </c>
      <c r="C228" s="16">
        <v>7.9000000000000008E-3</v>
      </c>
      <c r="D228" s="16">
        <v>-2.5899999999999999E-2</v>
      </c>
      <c r="E228" s="16">
        <v>2.0000000000000001E-4</v>
      </c>
      <c r="F228" s="16">
        <v>3.0600000000000002E-2</v>
      </c>
    </row>
    <row r="229" spans="2:6" x14ac:dyDescent="0.2">
      <c r="B229" s="4">
        <v>41152</v>
      </c>
      <c r="C229" s="16">
        <v>2.5600000000000001E-2</v>
      </c>
      <c r="D229" s="16">
        <v>7.1999999999999998E-3</v>
      </c>
      <c r="E229" s="16">
        <v>5.8999999999999999E-3</v>
      </c>
      <c r="F229" s="16">
        <v>-2.5099999999999997E-2</v>
      </c>
    </row>
    <row r="230" spans="2:6" x14ac:dyDescent="0.2">
      <c r="B230" s="4">
        <v>41182</v>
      </c>
      <c r="C230" s="16">
        <v>2.7400000000000001E-2</v>
      </c>
      <c r="D230" s="16">
        <v>4.8999999999999998E-3</v>
      </c>
      <c r="E230" s="16">
        <v>1.5700000000000002E-2</v>
      </c>
      <c r="F230" s="16">
        <v>-1.0200000000000001E-2</v>
      </c>
    </row>
    <row r="231" spans="2:6" x14ac:dyDescent="0.2">
      <c r="B231" s="4">
        <v>41213</v>
      </c>
      <c r="C231" s="16">
        <v>-1.7500000000000002E-2</v>
      </c>
      <c r="D231" s="16">
        <v>-1.0700000000000001E-2</v>
      </c>
      <c r="E231" s="16">
        <v>4.1700000000000001E-2</v>
      </c>
      <c r="F231" s="16">
        <v>1.1999999999999999E-3</v>
      </c>
    </row>
    <row r="232" spans="2:6" x14ac:dyDescent="0.2">
      <c r="B232" s="4">
        <v>41243</v>
      </c>
      <c r="C232" s="16">
        <v>7.7000000000000002E-3</v>
      </c>
      <c r="D232" s="16">
        <v>6.7000000000000002E-3</v>
      </c>
      <c r="E232" s="16">
        <v>-1.1000000000000001E-2</v>
      </c>
      <c r="F232" s="16">
        <v>3.7000000000000002E-3</v>
      </c>
    </row>
    <row r="233" spans="2:6" x14ac:dyDescent="0.2">
      <c r="B233" s="4">
        <v>41274</v>
      </c>
      <c r="C233" s="16">
        <v>1.18E-2</v>
      </c>
      <c r="D233" s="16">
        <v>1.66E-2</v>
      </c>
      <c r="E233" s="16">
        <v>3.2799999999999996E-2</v>
      </c>
      <c r="F233" s="16">
        <v>-2.92E-2</v>
      </c>
    </row>
    <row r="234" spans="2:6" x14ac:dyDescent="0.2">
      <c r="B234" s="4">
        <v>41305</v>
      </c>
      <c r="C234" s="16">
        <v>5.5800000000000002E-2</v>
      </c>
      <c r="D234" s="16">
        <v>4.8999999999999998E-3</v>
      </c>
      <c r="E234" s="16">
        <v>1.3500000000000002E-2</v>
      </c>
      <c r="F234" s="16">
        <v>-1.8700000000000001E-2</v>
      </c>
    </row>
    <row r="235" spans="2:6" x14ac:dyDescent="0.2">
      <c r="B235" s="4">
        <v>41333</v>
      </c>
      <c r="C235" s="16">
        <v>1.2800000000000001E-2</v>
      </c>
      <c r="D235" s="16">
        <v>-3.8E-3</v>
      </c>
      <c r="E235" s="16">
        <v>3.0999999999999999E-3</v>
      </c>
      <c r="F235" s="16">
        <v>1.47E-2</v>
      </c>
    </row>
    <row r="236" spans="2:6" x14ac:dyDescent="0.2">
      <c r="B236" s="4">
        <v>41364</v>
      </c>
      <c r="C236" s="16">
        <v>4.0300000000000002E-2</v>
      </c>
      <c r="D236" s="16">
        <v>8.3999999999999995E-3</v>
      </c>
      <c r="E236" s="16">
        <v>-5.9999999999999995E-4</v>
      </c>
      <c r="F236" s="16">
        <v>2.0799999999999999E-2</v>
      </c>
    </row>
    <row r="237" spans="2:6" x14ac:dyDescent="0.2">
      <c r="B237" s="4">
        <v>41394</v>
      </c>
      <c r="C237" s="16">
        <v>1.5600000000000001E-2</v>
      </c>
      <c r="D237" s="16">
        <v>-2.4300000000000002E-2</v>
      </c>
      <c r="E237" s="16">
        <v>3.5999999999999999E-3</v>
      </c>
      <c r="F237" s="16">
        <v>3.4000000000000002E-3</v>
      </c>
    </row>
    <row r="238" spans="2:6" x14ac:dyDescent="0.2">
      <c r="B238" s="4">
        <v>41425</v>
      </c>
      <c r="C238" s="16">
        <v>2.81E-2</v>
      </c>
      <c r="D238" s="16">
        <v>1.9299999999999998E-2</v>
      </c>
      <c r="E238" s="16">
        <v>1.3100000000000001E-2</v>
      </c>
      <c r="F238" s="16">
        <v>-1.89E-2</v>
      </c>
    </row>
    <row r="239" spans="2:6" x14ac:dyDescent="0.2">
      <c r="B239" s="4">
        <v>41455</v>
      </c>
      <c r="C239" s="16">
        <v>-1.21E-2</v>
      </c>
      <c r="D239" s="16">
        <v>1.23E-2</v>
      </c>
      <c r="E239" s="16">
        <v>-4.5000000000000005E-3</v>
      </c>
      <c r="F239" s="16">
        <v>6.5000000000000006E-3</v>
      </c>
    </row>
    <row r="240" spans="2:6" x14ac:dyDescent="0.2">
      <c r="B240" s="4">
        <v>41486</v>
      </c>
      <c r="C240" s="16">
        <v>5.6500000000000002E-2</v>
      </c>
      <c r="D240" s="16">
        <v>1.8500000000000003E-2</v>
      </c>
      <c r="E240" s="16">
        <v>7.9000000000000008E-3</v>
      </c>
      <c r="F240" s="16">
        <v>1.6899999999999998E-2</v>
      </c>
    </row>
    <row r="241" spans="2:6" x14ac:dyDescent="0.2">
      <c r="B241" s="4">
        <v>41517</v>
      </c>
      <c r="C241" s="16">
        <v>-2.69E-2</v>
      </c>
      <c r="D241" s="16">
        <v>2.8000000000000004E-3</v>
      </c>
      <c r="E241" s="16">
        <v>-2.46E-2</v>
      </c>
      <c r="F241" s="16">
        <v>5.0000000000000001E-4</v>
      </c>
    </row>
    <row r="242" spans="2:6" x14ac:dyDescent="0.2">
      <c r="B242" s="4">
        <v>41547</v>
      </c>
      <c r="C242" s="16">
        <v>3.7599999999999995E-2</v>
      </c>
      <c r="D242" s="16">
        <v>2.8500000000000001E-2</v>
      </c>
      <c r="E242" s="16">
        <v>-1.52E-2</v>
      </c>
      <c r="F242" s="16">
        <v>3.0200000000000001E-2</v>
      </c>
    </row>
    <row r="243" spans="2:6" x14ac:dyDescent="0.2">
      <c r="B243" s="4">
        <v>41578</v>
      </c>
      <c r="C243" s="16">
        <v>4.1700000000000001E-2</v>
      </c>
      <c r="D243" s="16">
        <v>-1.5300000000000001E-2</v>
      </c>
      <c r="E243" s="16">
        <v>1.3899999999999999E-2</v>
      </c>
      <c r="F243" s="16">
        <v>1.6000000000000001E-3</v>
      </c>
    </row>
    <row r="244" spans="2:6" x14ac:dyDescent="0.2">
      <c r="B244" s="4">
        <v>41608</v>
      </c>
      <c r="C244" s="16">
        <v>3.1200000000000002E-2</v>
      </c>
      <c r="D244" s="16">
        <v>1.32E-2</v>
      </c>
      <c r="E244" s="16">
        <v>-3.8E-3</v>
      </c>
      <c r="F244" s="16">
        <v>3.4999999999999996E-3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StyleOverTime</vt:lpstr>
      <vt:lpstr>TimeVanguardInvGrade</vt:lpstr>
      <vt:lpstr>TimeHarbor</vt:lpstr>
      <vt:lpstr>Front</vt:lpstr>
      <vt:lpstr>100 Guess</vt:lpstr>
      <vt:lpstr>FFWork</vt:lpstr>
      <vt:lpstr>SolverWork</vt:lpstr>
      <vt:lpstr>SolverPretty</vt:lpstr>
      <vt:lpstr>MutualFunds</vt:lpstr>
      <vt:lpstr>Benchmarks</vt:lpstr>
      <vt:lpstr>FamaFrench</vt:lpstr>
    </vt:vector>
  </TitlesOfParts>
  <Company>The University of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ButlerJC</dc:creator>
  <cp:lastModifiedBy>Yang, Siyuan</cp:lastModifiedBy>
  <dcterms:created xsi:type="dcterms:W3CDTF">2014-01-16T04:07:07Z</dcterms:created>
  <dcterms:modified xsi:type="dcterms:W3CDTF">2023-11-27T16:06:36Z</dcterms:modified>
</cp:coreProperties>
</file>